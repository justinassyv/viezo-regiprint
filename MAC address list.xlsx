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Gateways_DynamoDB" sheetId="1" state="visible" r:id="rId1"/>
    <sheet name="Sensors_DynamoDB" sheetId="2" state="visible" r:id="rId2"/>
    <sheet name="Companies" sheetId="3" state="visible" r:id="rId3"/>
    <sheet name="Gateways_MANU" sheetId="4" state="visible" r:id="rId4"/>
    <sheet name="Sensors_MANU" sheetId="5" state="visible" r:id="rId5"/>
    <sheet name="Settings" sheetId="6" state="visible" r:id="rId6"/>
    <sheet name="Wagons" sheetId="7" state="visible" r:id="rId7"/>
    <sheet name="Wagon_types" sheetId="8" state="visible" r:id="rId8"/>
  </sheets>
  <definedNames>
    <definedName name="_xlnm._FilterDatabase" localSheetId="0" hidden="1">'Gateways_DynamoDB'!$A$1:$N$218</definedName>
    <definedName name="_xlnm._FilterDatabase" localSheetId="1" hidden="1">'Sensors_DynamoDB'!$A$1:$P$2376</definedName>
    <definedName name="_xlnm._FilterDatabase" localSheetId="4" hidden="1">'Sensors_MANU'!$A$1:$G$1028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&quot;@\&quot;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  <font>
      <name val="Calibri"/>
      <charset val="186"/>
      <family val="2"/>
      <color rgb="FF9C5700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rgb="FF000000"/>
      <sz val="11"/>
    </font>
    <font>
      <name val="Calibri"/>
      <family val="2"/>
      <color theme="1"/>
      <sz val="8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444444"/>
      <sz val="11"/>
    </font>
    <font>
      <name val="Calibri"/>
      <charset val="1"/>
      <family val="2"/>
      <color rgb="FF444444"/>
      <sz val="11"/>
    </font>
    <font>
      <name val="Calibri"/>
      <family val="2"/>
      <color theme="0"/>
      <sz val="11"/>
      <scheme val="minor"/>
    </font>
    <font>
      <name val="Calibri"/>
      <family val="2"/>
      <color rgb="FF000000"/>
      <sz val="11"/>
      <scheme val="minor"/>
    </font>
    <font>
      <name val="-Apple-System"/>
      <charset val="1"/>
      <color rgb="FF323130"/>
      <sz val="9"/>
    </font>
    <font>
      <name val="Calibri"/>
      <family val="2"/>
      <color rgb="FFFFCCFF"/>
      <sz val="11"/>
      <scheme val="minor"/>
    </font>
    <font>
      <name val="Calibri"/>
      <charset val="1"/>
      <family val="2"/>
      <color rgb="FF212121"/>
      <sz val="11"/>
    </font>
  </fonts>
  <fills count="2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7" borderId="0"/>
    <xf numFmtId="0" fontId="5" fillId="7" borderId="0"/>
    <xf numFmtId="0" fontId="9" fillId="0" borderId="0"/>
  </cellStyleXfs>
  <cellXfs count="122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6" borderId="0" pivotButton="0" quotePrefix="0" xfId="0"/>
    <xf numFmtId="0" fontId="0" fillId="6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4" borderId="0" pivotButton="0" quotePrefix="0" xfId="0"/>
    <xf numFmtId="2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11" fontId="0" fillId="0" borderId="0" pivotButton="0" quotePrefix="0" xfId="0"/>
    <xf numFmtId="2" fontId="0" fillId="8" borderId="0" pivotButton="0" quotePrefix="0" xfId="0"/>
    <xf numFmtId="0" fontId="4" fillId="0" borderId="0" pivotButton="0" quotePrefix="0" xfId="1"/>
    <xf numFmtId="0" fontId="6" fillId="9" borderId="0" applyAlignment="1" pivotButton="0" quotePrefix="0" xfId="0">
      <alignment horizontal="center"/>
    </xf>
    <xf numFmtId="0" fontId="6" fillId="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8" borderId="0" pivotButton="0" quotePrefix="0" xfId="0"/>
    <xf numFmtId="0" fontId="7" fillId="0" borderId="0" pivotButton="0" quotePrefix="0" xfId="0"/>
    <xf numFmtId="0" fontId="0" fillId="10" borderId="0" applyAlignment="1" pivotButton="0" quotePrefix="0" xfId="0">
      <alignment horizontal="left"/>
    </xf>
    <xf numFmtId="2" fontId="0" fillId="10" borderId="0" applyAlignment="1" pivotButton="0" quotePrefix="0" xfId="0">
      <alignment horizontal="left"/>
    </xf>
    <xf numFmtId="14" fontId="0" fillId="10" borderId="0" applyAlignment="1" pivotButton="0" quotePrefix="0" xfId="0">
      <alignment horizontal="center"/>
    </xf>
    <xf numFmtId="14" fontId="0" fillId="10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0" borderId="0" pivotButton="0" quotePrefix="0" xfId="0"/>
    <xf numFmtId="14" fontId="2" fillId="10" borderId="0" applyAlignment="1" pivotButton="0" quotePrefix="0" xfId="0">
      <alignment horizontal="center"/>
    </xf>
    <xf numFmtId="14" fontId="3" fillId="10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2" fillId="10" borderId="0" pivotButton="0" quotePrefix="0" xfId="0"/>
    <xf numFmtId="0" fontId="3" fillId="10" borderId="0" pivotButton="0" quotePrefix="0" xfId="0"/>
    <xf numFmtId="0" fontId="1" fillId="10" borderId="0" applyAlignment="1" pivotButton="0" quotePrefix="0" xfId="0">
      <alignment horizontal="left" vertical="center"/>
    </xf>
    <xf numFmtId="1" fontId="6" fillId="9" borderId="0" applyAlignment="1" pivotButton="0" quotePrefix="0" xfId="0">
      <alignment horizontal="center"/>
    </xf>
    <xf numFmtId="1" fontId="3" fillId="0" borderId="0" pivotButton="0" quotePrefix="0" xfId="0"/>
    <xf numFmtId="0" fontId="0" fillId="11" borderId="0" pivotButton="0" quotePrefix="0" xfId="0"/>
    <xf numFmtId="0" fontId="1" fillId="0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11" fontId="7" fillId="0" borderId="0" pivotButton="0" quotePrefix="0" xfId="0"/>
    <xf numFmtId="14" fontId="0" fillId="8" borderId="0" applyAlignment="1" pivotButton="0" quotePrefix="0" xfId="0">
      <alignment horizontal="left" vertical="center"/>
    </xf>
    <xf numFmtId="0" fontId="7" fillId="8" borderId="0" pivotButton="0" quotePrefix="0" xfId="0"/>
    <xf numFmtId="0" fontId="0" fillId="12" borderId="0" pivotButton="0" quotePrefix="0" xfId="0"/>
    <xf numFmtId="0" fontId="10" fillId="0" borderId="0" pivotButton="0" quotePrefix="0" xfId="0"/>
    <xf numFmtId="0" fontId="11" fillId="0" borderId="0" pivotButton="0" quotePrefix="0" xfId="0"/>
    <xf numFmtId="2" fontId="12" fillId="4" borderId="0" pivotButton="0" quotePrefix="0" xfId="0"/>
    <xf numFmtId="2" fontId="2" fillId="12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wrapText="1"/>
    </xf>
    <xf numFmtId="16" fontId="0" fillId="0" borderId="0" pivotButton="0" quotePrefix="0" xfId="0"/>
    <xf numFmtId="14" fontId="7" fillId="0" borderId="0" pivotButton="0" quotePrefix="0" xfId="0"/>
    <xf numFmtId="49" fontId="1" fillId="10" borderId="0" applyAlignment="1" pivotButton="0" quotePrefix="0" xfId="0">
      <alignment horizontal="left" vertical="center"/>
    </xf>
    <xf numFmtId="49" fontId="0" fillId="10" borderId="0" applyAlignment="1" pivotButton="0" quotePrefix="0" xfId="0">
      <alignment horizontal="left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13" borderId="0" pivotButton="0" quotePrefix="0" xfId="0"/>
    <xf numFmtId="0" fontId="0" fillId="14" borderId="0" pivotButton="0" quotePrefix="0" xfId="0"/>
    <xf numFmtId="0" fontId="7" fillId="15" borderId="0" pivotButton="0" quotePrefix="0" xfId="0"/>
    <xf numFmtId="0" fontId="7" fillId="16" borderId="0" pivotButton="0" quotePrefix="0" xfId="0"/>
    <xf numFmtId="0" fontId="0" fillId="16" borderId="0" pivotButton="0" quotePrefix="0" xfId="0"/>
    <xf numFmtId="0" fontId="8" fillId="0" borderId="5" applyAlignment="1" pivotButton="0" quotePrefix="0" xfId="0">
      <alignment horizontal="center" vertical="center" wrapText="1"/>
    </xf>
    <xf numFmtId="0" fontId="14" fillId="0" borderId="0" pivotButton="0" quotePrefix="1" xfId="0"/>
    <xf numFmtId="0" fontId="13" fillId="0" borderId="0" pivotButton="0" quotePrefix="0" xfId="0"/>
    <xf numFmtId="0" fontId="13" fillId="13" borderId="0" pivotButton="0" quotePrefix="0" xfId="0"/>
    <xf numFmtId="2" fontId="12" fillId="0" borderId="0" pivotButton="0" quotePrefix="0" xfId="0"/>
    <xf numFmtId="2" fontId="2" fillId="0" borderId="0" pivotButton="0" quotePrefix="0" xfId="0"/>
    <xf numFmtId="1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3" borderId="0" applyAlignment="1" pivotButton="0" quotePrefix="0" xfId="0">
      <alignment horizontal="left"/>
    </xf>
    <xf numFmtId="2" fontId="0" fillId="3" borderId="0" pivotButton="0" quotePrefix="0" xfId="0"/>
    <xf numFmtId="0" fontId="1" fillId="0" borderId="3" applyAlignment="1" pivotButton="0" quotePrefix="0" xfId="0">
      <alignment horizontal="center" vertical="center"/>
    </xf>
    <xf numFmtId="49" fontId="8" fillId="0" borderId="4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49" fontId="8" fillId="0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4" applyAlignment="1" pivotButton="0" quotePrefix="1" xfId="0">
      <alignment horizontal="center" vertical="center" wrapText="1"/>
    </xf>
    <xf numFmtId="0" fontId="1" fillId="0" borderId="3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left"/>
    </xf>
    <xf numFmtId="49" fontId="2" fillId="3" borderId="0" pivotButton="0" quotePrefix="0" xfId="0"/>
    <xf numFmtId="49" fontId="0" fillId="0" borderId="0" applyAlignment="1" pivotButton="0" quotePrefix="0" xfId="0">
      <alignment horizontal="center"/>
    </xf>
    <xf numFmtId="49" fontId="7" fillId="0" borderId="0" pivotButton="0" quotePrefix="0" xfId="0"/>
    <xf numFmtId="49" fontId="3" fillId="0" borderId="0" pivotButton="0" quotePrefix="0" xfId="0"/>
    <xf numFmtId="0" fontId="0" fillId="17" borderId="0" pivotButton="0" quotePrefix="0" xfId="0"/>
    <xf numFmtId="49" fontId="9" fillId="0" borderId="4" applyAlignment="1" pivotButton="0" quotePrefix="0" xfId="3">
      <alignment horizontal="center" vertical="center"/>
    </xf>
    <xf numFmtId="0" fontId="9" fillId="0" borderId="4" applyAlignment="1" pivotButton="0" quotePrefix="0" xfId="3">
      <alignment horizontal="center" vertical="center" wrapText="1"/>
    </xf>
    <xf numFmtId="0" fontId="0" fillId="18" borderId="0" pivotButton="0" quotePrefix="0" xfId="0"/>
    <xf numFmtId="0" fontId="13" fillId="18" borderId="0" pivotButton="0" quotePrefix="0" xfId="0"/>
    <xf numFmtId="0" fontId="0" fillId="19" borderId="0" pivotButton="0" quotePrefix="0" xfId="0"/>
    <xf numFmtId="2" fontId="0" fillId="17" borderId="0" pivotButton="0" quotePrefix="0" xfId="0"/>
    <xf numFmtId="2" fontId="15" fillId="20" borderId="0" pivotButton="0" quotePrefix="0" xfId="0"/>
    <xf numFmtId="0" fontId="16" fillId="0" borderId="0" pivotButton="0" quotePrefix="0" xfId="0"/>
    <xf numFmtId="0" fontId="0" fillId="21" borderId="0" pivotButton="0" quotePrefix="0" xfId="0"/>
    <xf numFmtId="0" fontId="1" fillId="0" borderId="3" applyAlignment="1" pivotButton="0" quotePrefix="0" xfId="0">
      <alignment vertical="center"/>
    </xf>
    <xf numFmtId="0" fontId="0" fillId="22" borderId="0" pivotButton="0" quotePrefix="0" xfId="0"/>
    <xf numFmtId="1" fontId="1" fillId="2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/>
    </xf>
    <xf numFmtId="0" fontId="2" fillId="22" borderId="0" pivotButton="0" quotePrefix="0" xfId="0"/>
  </cellXfs>
  <cellStyles count="4">
    <cellStyle name="Normal" xfId="0" builtinId="0"/>
    <cellStyle name="Neutral" xfId="1" builtinId="28"/>
    <cellStyle name="Neutral 2" xfId="2"/>
    <cellStyle name="Hyperlink" xfId="3"/>
  </cellStyles>
  <dxfs count="103">
    <dxf>
      <font>
        <b val="1"/>
        <color auto="1"/>
      </font>
      <fill>
        <patternFill>
          <bgColor theme="7"/>
        </patternFill>
      </fill>
    </dxf>
    <dxf>
      <font>
        <b val="1"/>
        <color rgb="FFFFFF00"/>
      </font>
      <fill>
        <patternFill>
          <bgColor rgb="FF00B0F0"/>
        </patternFill>
      </fill>
    </dxf>
    <dxf>
      <font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 val="1"/>
        <color auto="1"/>
      </font>
      <fill>
        <patternFill>
          <bgColor theme="7"/>
        </patternFill>
      </fill>
    </dxf>
    <dxf>
      <font>
        <b val="1"/>
        <color rgb="FFFFFF00"/>
      </font>
      <fill>
        <patternFill>
          <bgColor rgb="FF00B0F0"/>
        </patternFill>
      </fill>
    </dxf>
    <dxf>
      <font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92D050"/>
        </patternFill>
      </fill>
    </dxf>
    <dxf>
      <font>
        <b val="1"/>
        <color theme="0"/>
      </font>
      <fill>
        <patternFill>
          <bgColor rgb="FF7030A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auto="1"/>
      </font>
      <fill>
        <patternFill>
          <bgColor theme="9" tint="0.5999633777886288"/>
        </patternFill>
      </fill>
    </dxf>
    <dxf>
      <font>
        <b val="1"/>
        <color rgb="FF00B0F0"/>
      </font>
      <fill>
        <patternFill>
          <bgColor theme="2"/>
        </patternFill>
      </fill>
      <border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font>
        <b val="1"/>
        <color theme="2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auto="1"/>
      </font>
      <fill>
        <patternFill>
          <bgColor theme="7"/>
        </patternFill>
      </fill>
    </dxf>
    <dxf>
      <font>
        <b val="1"/>
        <color theme="2"/>
      </font>
      <fill>
        <patternFill>
          <bgColor theme="9" tint="-0.499984740745262"/>
        </patternFill>
      </fill>
    </dxf>
    <dxf>
      <font>
        <b val="1"/>
        <color theme="2"/>
      </font>
      <fill>
        <patternFill>
          <bgColor theme="9" tint="-0.499984740745262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auto="1"/>
      </font>
      <fill>
        <patternFill>
          <bgColor theme="7"/>
        </patternFill>
      </fill>
    </dxf>
    <dxf>
      <font>
        <b val="1"/>
        <color auto="1"/>
      </font>
      <fill>
        <patternFill>
          <bgColor theme="7"/>
        </patternFill>
      </fill>
    </dxf>
    <dxf>
      <font>
        <b val="1"/>
        <color theme="2"/>
      </font>
      <fill>
        <patternFill>
          <bgColor theme="9" tint="-0.499984740745262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color rgb="FFE7E6E6"/>
      </font>
      <fill>
        <patternFill patternType="solid">
          <bgColor rgb="FF7030A0"/>
        </patternFill>
      </fill>
    </dxf>
    <dxf>
      <font>
        <color rgb="FFE7E6E6"/>
      </font>
      <fill>
        <patternFill patternType="solid">
          <bgColor rgb="FF7030A0"/>
        </patternFill>
      </fill>
    </dxf>
    <dxf>
      <font>
        <b val="1"/>
        <color theme="0"/>
      </font>
      <fill>
        <patternFill>
          <bgColor rgb="FFC39BE1"/>
        </patternFill>
      </fill>
    </dxf>
    <dxf>
      <font>
        <b val="1"/>
        <color theme="0"/>
      </font>
      <fill>
        <patternFill>
          <bgColor rgb="FFC39BE1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color rgb="FFE7E6E6"/>
      </font>
      <fill>
        <patternFill patternType="solid">
          <bgColor rgb="FF7030A0"/>
        </patternFill>
      </fill>
    </dxf>
    <dxf>
      <font>
        <color rgb="FFE7E6E6"/>
      </font>
      <fill>
        <patternFill patternType="solid">
          <bgColor rgb="FF7030A0"/>
        </patternFill>
      </fill>
    </dxf>
    <dxf>
      <font>
        <b val="1"/>
        <color theme="0"/>
      </font>
      <fill>
        <patternFill>
          <bgColor rgb="FFC39BE1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39BE1"/>
        </patternFill>
      </fill>
    </dxf>
    <dxf>
      <font>
        <color rgb="FFE7E6E6"/>
      </font>
      <fill>
        <patternFill patternType="solid">
          <bgColor rgb="FF7030A0"/>
        </patternFill>
      </fill>
    </dxf>
    <dxf>
      <font>
        <color rgb="FFE7E6E6"/>
      </font>
      <fill>
        <patternFill patternType="solid">
          <bgColor rgb="FF7030A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rgb="FFFFCCFF"/>
      </font>
      <fill>
        <patternFill>
          <bgColor rgb="FFFF00FF"/>
        </patternFill>
      </fill>
    </dxf>
    <dxf>
      <font>
        <color auto="1"/>
      </font>
      <fill>
        <patternFill>
          <bgColor theme="7"/>
        </patternFill>
      </fill>
    </dxf>
    <dxf>
      <font>
        <color rgb="FFF2F2F2"/>
      </font>
      <fill>
        <patternFill patternType="solid">
          <bgColor rgb="FF7030A0"/>
        </patternFill>
      </fill>
    </dxf>
    <dxf>
      <font>
        <b val="1"/>
        <color rgb="FFFFFF00"/>
      </font>
      <fill>
        <patternFill>
          <bgColor rgb="FF00B0F0"/>
        </patternFill>
      </fill>
    </dxf>
    <dxf>
      <font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2"/>
      </font>
      <fill>
        <patternFill>
          <fgColor auto="1"/>
          <bgColor theme="9" tint="-0.499984740745262"/>
        </patternFill>
      </fill>
    </dxf>
    <dxf>
      <font>
        <b val="1"/>
        <color theme="0"/>
      </font>
      <fill>
        <patternFill>
          <bgColor rgb="FF7030A0"/>
        </patternFill>
      </fill>
    </dxf>
    <dxf>
      <font>
        <b val="1"/>
        <color auto="1"/>
      </font>
      <fill>
        <patternFill>
          <bgColor theme="9" tint="0.5999633777886288"/>
        </patternFill>
      </fill>
    </dxf>
    <dxf>
      <font>
        <b val="1"/>
        <color rgb="FF00B0F0"/>
      </font>
      <fill>
        <patternFill>
          <bgColor theme="2"/>
        </patternFill>
      </fill>
      <border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font>
        <b val="1"/>
        <color auto="1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theme="1"/>
        </patternFill>
      </fill>
    </dxf>
    <dxf>
      <font>
        <color rgb="FFE7E6E6"/>
      </font>
      <fill>
        <patternFill patternType="solid">
          <bgColor rgb="FF7030A0"/>
        </patternFill>
      </fill>
    </dxf>
    <dxf>
      <font>
        <color rgb="FFE7E6E6"/>
      </font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452B6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Donatas Darkšas</author>
  </authors>
  <commentList>
    <comment ref="E37" authorId="0" shapeId="0">
      <text>
        <t>Donatas Darkšas:
Could be GW2203-019</t>
      </text>
    </comment>
  </commentList>
</comments>
</file>

<file path=xl/comments/comment2.xml><?xml version="1.0" encoding="utf-8"?>
<comments xmlns="http://schemas.openxmlformats.org/spreadsheetml/2006/main">
  <authors>
    <author>Donatas Darkšas</author>
    <author>Vitalijus Ponamariov</author>
  </authors>
  <commentList>
    <comment ref="J226" authorId="0" shapeId="0">
      <text>
        <t>Donatas Darkšas:
Nepavyko perprogramuoti</t>
      </text>
    </comment>
    <comment ref="J616" authorId="1" shapeId="0">
      <text>
        <t xml:space="preserve">Vitalijus Ponamariov:
Ubidots'as sita device'a randa kaip Link-PR-2201-007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http://ec2-35-157-185-34.eu-central-1.compute.amazonaws.com:8090/sensor?2.1/0.22/" TargetMode="External" Id="rId1" /><Relationship Type="http://schemas.openxmlformats.org/officeDocument/2006/relationships/hyperlink" Target="http://ec2-35-157-185-34.eu-central-1.compute.amazonaws.com:8090/sensor?2.1/0.31/" TargetMode="External" Id="rId2" /><Relationship Type="http://schemas.openxmlformats.org/officeDocument/2006/relationships/hyperlink" Target="http://ec2-35-157-185-34.eu-central-1.compute.amazonaws.com:8090/sensor?2.1/0.31/" TargetMode="External" Id="rId3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O143"/>
  <sheetViews>
    <sheetView zoomScaleNormal="100" workbookViewId="0">
      <pane ySplit="1" topLeftCell="A119" activePane="bottomLeft" state="frozen"/>
      <selection pane="bottomLeft" activeCell="H145" sqref="H145"/>
    </sheetView>
  </sheetViews>
  <sheetFormatPr baseColWidth="8" defaultColWidth="9.109375" defaultRowHeight="14.4"/>
  <cols>
    <col width="18.88671875" customWidth="1" style="14" min="1" max="1"/>
    <col width="26" bestFit="1" customWidth="1" style="14" min="2" max="2"/>
    <col width="27.44140625" customWidth="1" style="83" min="3" max="3"/>
    <col width="19.109375" customWidth="1" style="14" min="4" max="4"/>
    <col width="26" bestFit="1" customWidth="1" style="14" min="5" max="5"/>
    <col width="18.5546875" bestFit="1" customWidth="1" style="14" min="6" max="6"/>
    <col width="15.88671875" customWidth="1" style="9" min="7" max="7"/>
    <col width="16.44140625" bestFit="1" customWidth="1" style="2" min="8" max="8"/>
    <col width="14.109375" bestFit="1" customWidth="1" style="14" min="9" max="9"/>
    <col width="13.6640625" bestFit="1" customWidth="1" style="2" min="10" max="10"/>
    <col width="16.6640625" bestFit="1" customWidth="1" style="77" min="11" max="11"/>
    <col width="13" bestFit="1" customWidth="1" style="14" min="12" max="13"/>
    <col width="82.33203125" bestFit="1" customWidth="1" style="97" min="14" max="14"/>
    <col width="255.5546875" bestFit="1" customWidth="1" style="14" min="15" max="15"/>
    <col width="9.109375" customWidth="1" style="14" min="16" max="20"/>
    <col width="9.109375" customWidth="1" style="14" min="21" max="16384"/>
  </cols>
  <sheetData>
    <row r="1" customFormat="1" s="16">
      <c r="A1" s="16" t="inlineStr">
        <is>
          <t>operator_name</t>
        </is>
      </c>
      <c r="B1" s="16" t="inlineStr">
        <is>
          <t>operator_id</t>
        </is>
      </c>
      <c r="C1" s="82" t="inlineStr">
        <is>
          <t>id</t>
        </is>
      </c>
      <c r="D1" s="16" t="inlineStr">
        <is>
          <t>sn</t>
        </is>
      </c>
      <c r="E1" s="16" t="inlineStr">
        <is>
          <t>case_nr</t>
        </is>
      </c>
      <c r="F1" s="16" t="inlineStr">
        <is>
          <t>settings</t>
        </is>
      </c>
      <c r="G1" s="9" t="inlineStr">
        <is>
          <t>wagon_nr</t>
        </is>
      </c>
      <c r="H1" s="75" t="inlineStr">
        <is>
          <t>imei</t>
        </is>
      </c>
      <c r="I1" s="16" t="inlineStr">
        <is>
          <t>board_model</t>
        </is>
      </c>
      <c r="J1" s="75" t="inlineStr">
        <is>
          <t>battery_mah</t>
        </is>
      </c>
      <c r="K1" s="76" t="inlineStr">
        <is>
          <t>installation_date</t>
        </is>
      </c>
      <c r="L1" s="16" t="inlineStr">
        <is>
          <t>placement</t>
        </is>
      </c>
      <c r="M1" s="14" t="inlineStr">
        <is>
          <t>installed_by</t>
        </is>
      </c>
      <c r="N1" s="97" t="inlineStr">
        <is>
          <t>note</t>
        </is>
      </c>
      <c r="O1" s="16" t="inlineStr">
        <is>
          <t>setting_string</t>
        </is>
      </c>
    </row>
    <row r="2">
      <c r="B2" s="14">
        <f>IFERROR(INDEX(Companies!$A$3:$A$101,MATCH(A2,Companies!$B$3:$B$101,0)),"")</f>
        <v/>
      </c>
      <c r="C2" s="83" t="inlineStr">
        <is>
          <t>e00fce68d5f6b9fb3caee958</t>
        </is>
      </c>
      <c r="E2" s="14" t="inlineStr">
        <is>
          <t>GW2203-006</t>
        </is>
      </c>
      <c r="F2" s="14" t="inlineStr">
        <is>
          <t>Shipping</t>
        </is>
      </c>
      <c r="I2" s="14" t="inlineStr">
        <is>
          <t>T523M</t>
        </is>
      </c>
      <c r="J2" s="2" t="n">
        <v>19800</v>
      </c>
      <c r="O2" s="14">
        <f>IFERROR(INDEX(Settings!$AC$3:$AC$95,MATCH(Gateways_DynamoDB!$F2,Settings!$B$3:$B$95,0)),"")</f>
        <v/>
      </c>
    </row>
    <row r="3">
      <c r="B3" s="14">
        <f>IFERROR(INDEX(Companies!$A$3:$A$101,MATCH(A3,Companies!$B$3:$B$101,0)),"")</f>
        <v/>
      </c>
      <c r="C3" s="83" t="inlineStr">
        <is>
          <t>e00fce68fe4dbdb9fab37607</t>
        </is>
      </c>
      <c r="E3" s="14" t="inlineStr">
        <is>
          <t>GW2203-017</t>
        </is>
      </c>
      <c r="F3" s="14" t="inlineStr">
        <is>
          <t>Shipping</t>
        </is>
      </c>
      <c r="I3" s="14" t="inlineStr">
        <is>
          <t>T523M</t>
        </is>
      </c>
      <c r="J3" s="2" t="n">
        <v>19800</v>
      </c>
      <c r="N3" s="97" t="inlineStr">
        <is>
          <t>REFURBISHED</t>
        </is>
      </c>
      <c r="O3" s="14">
        <f>IFERROR(INDEX(Settings!$AC$3:$AC$95,MATCH(Gateways_DynamoDB!$F3,Settings!$B$3:$B$95,0)),"")</f>
        <v/>
      </c>
    </row>
    <row r="4">
      <c r="A4" s="14" t="inlineStr">
        <is>
          <t>TANKWAGON</t>
        </is>
      </c>
      <c r="B4" s="14">
        <f>IFERROR(INDEX(Companies!$A$3:$A$101,MATCH(A4,Companies!$B$3:$B$101,0)),"")</f>
        <v/>
      </c>
      <c r="C4" s="83" t="inlineStr">
        <is>
          <t>e00fce6887c2f1e171208217</t>
        </is>
      </c>
      <c r="E4" s="110" t="inlineStr">
        <is>
          <t>GW2203-019</t>
        </is>
      </c>
      <c r="F4" s="14" t="inlineStr">
        <is>
          <t>Slow-5-12h</t>
        </is>
      </c>
      <c r="G4" s="9" t="inlineStr">
        <is>
          <t>33877916669-7</t>
        </is>
      </c>
      <c r="I4" s="14" t="inlineStr">
        <is>
          <t>T523M</t>
        </is>
      </c>
      <c r="J4" s="2" t="n">
        <v>19800</v>
      </c>
      <c r="O4" s="14">
        <f>IFERROR(INDEX(Settings!$AC$3:$AC$95,MATCH(Gateways_DynamoDB!$F4,Settings!$B$3:$B$95,0)),"")</f>
        <v/>
      </c>
    </row>
    <row r="5">
      <c r="A5" s="14">
        <f>IFERROR(INDEX(Gateways_MANU!$A$2:$A$4949,MATCH($E5,Gateways_MANU!$B$2:$B$4949,0)),"")</f>
        <v/>
      </c>
      <c r="B5" s="14">
        <f>IFERROR(INDEX(Companies!$A$3:$A$101,MATCH(A5,Companies!$B$3:$B$101,0)),"")</f>
        <v/>
      </c>
      <c r="C5" s="83" t="inlineStr">
        <is>
          <t>e00fce688ca17b3f3592c148</t>
        </is>
      </c>
      <c r="E5" s="14" t="inlineStr">
        <is>
          <t>GW2203-024</t>
        </is>
      </c>
      <c r="F5" s="14" t="inlineStr">
        <is>
          <t>Shipping</t>
        </is>
      </c>
      <c r="G5" s="9" t="inlineStr">
        <is>
          <t>33854956687-9</t>
        </is>
      </c>
      <c r="I5" s="14" t="inlineStr">
        <is>
          <t>T523M</t>
        </is>
      </c>
      <c r="J5" s="2" t="n">
        <v>19800</v>
      </c>
      <c r="K5" s="77" t="n">
        <v>44832</v>
      </c>
      <c r="L5" s="14" t="inlineStr">
        <is>
          <t>L</t>
        </is>
      </c>
      <c r="M5" s="14" t="inlineStr">
        <is>
          <t>Hupac</t>
        </is>
      </c>
      <c r="N5" s="97" t="inlineStr">
        <is>
          <t>REFURBISHED</t>
        </is>
      </c>
      <c r="O5" s="14">
        <f>IFERROR(INDEX(Settings!$AC$3:$AC$95,MATCH(Gateways_DynamoDB!$F5,Settings!$B$3:$B$95,0)),"")</f>
        <v/>
      </c>
    </row>
    <row r="6">
      <c r="B6" s="14">
        <f>IFERROR(INDEX(Companies!$A$3:$A$101,MATCH(A6,Companies!$B$3:$B$101,0)),"")</f>
        <v/>
      </c>
      <c r="C6" s="83" t="inlineStr">
        <is>
          <t>e00fce68c836b123fe66b5cc</t>
        </is>
      </c>
      <c r="E6" s="14" t="inlineStr">
        <is>
          <t>GW2203-031</t>
        </is>
      </c>
      <c r="F6" s="14" t="inlineStr">
        <is>
          <t>Shipping</t>
        </is>
      </c>
      <c r="I6" s="14" t="inlineStr">
        <is>
          <t>T523M</t>
        </is>
      </c>
      <c r="J6" s="2" t="n">
        <v>19800</v>
      </c>
      <c r="N6" s="97" t="inlineStr">
        <is>
          <t>REFURBISHED</t>
        </is>
      </c>
      <c r="O6" s="14">
        <f>IFERROR(INDEX(Settings!$AC$3:$AC$95,MATCH(Gateways_DynamoDB!$F6,Settings!$B$3:$B$95,0)),"")</f>
        <v/>
      </c>
    </row>
    <row r="7">
      <c r="B7" s="14">
        <f>IFERROR(INDEX(Companies!$A$3:$A$101,MATCH(A7,Companies!$B$3:$B$101,0)),"")</f>
        <v/>
      </c>
      <c r="C7" s="83" t="inlineStr">
        <is>
          <t>e00fce68937b6b32fe0ec8c3</t>
        </is>
      </c>
      <c r="E7" s="14" t="inlineStr">
        <is>
          <t>GW2203-035</t>
        </is>
      </c>
      <c r="F7" s="14" t="inlineStr">
        <is>
          <t>Shipping</t>
        </is>
      </c>
      <c r="G7" s="78" t="n"/>
      <c r="I7" s="14" t="inlineStr">
        <is>
          <t>T523M</t>
        </is>
      </c>
      <c r="J7" s="2" t="n">
        <v>19800</v>
      </c>
      <c r="N7" s="97" t="inlineStr">
        <is>
          <t>REFURBISHED</t>
        </is>
      </c>
      <c r="O7" s="14">
        <f>IFERROR(INDEX(Settings!$AC$3:$AC$95,MATCH(Gateways_DynamoDB!$F7,Settings!$B$3:$B$95,0)),"")</f>
        <v/>
      </c>
    </row>
    <row r="8">
      <c r="A8" s="14">
        <f>IFERROR(INDEX(Gateways_MANU!$A$2:$A$4949,MATCH($E8,Gateways_MANU!$B$2:$B$4949,0)),"")</f>
        <v/>
      </c>
      <c r="B8" s="14">
        <f>IFERROR(INDEX(Companies!$A$3:$A$101,MATCH(A8,Companies!$B$3:$B$101,0)),"")</f>
        <v/>
      </c>
      <c r="C8" s="83" t="inlineStr">
        <is>
          <t>e00fce68f75fe3eac5ee7b0a</t>
        </is>
      </c>
      <c r="E8" s="14" t="inlineStr">
        <is>
          <t>GW2203-037</t>
        </is>
      </c>
      <c r="F8" s="14" t="inlineStr">
        <is>
          <t>Shipping</t>
        </is>
      </c>
      <c r="G8" s="9" t="inlineStr">
        <is>
          <t>33854506155-2</t>
        </is>
      </c>
      <c r="I8" s="14" t="inlineStr">
        <is>
          <t>T523M</t>
        </is>
      </c>
      <c r="J8" s="2" t="n">
        <v>19800</v>
      </c>
      <c r="K8" s="77" t="n">
        <v>44832</v>
      </c>
      <c r="L8" s="14" t="inlineStr">
        <is>
          <t>L</t>
        </is>
      </c>
      <c r="M8" s="14" t="inlineStr">
        <is>
          <t>Hupac</t>
        </is>
      </c>
      <c r="N8" s="97" t="inlineStr">
        <is>
          <t>REFURBISHED</t>
        </is>
      </c>
      <c r="O8" s="14">
        <f>IFERROR(INDEX(Settings!$AC$3:$AC$95,MATCH(Gateways_DynamoDB!$F8,Settings!$B$3:$B$95,0)),"")</f>
        <v/>
      </c>
    </row>
    <row r="9">
      <c r="C9" s="83" t="inlineStr">
        <is>
          <t>e00fce6843cf275e71c9114a</t>
        </is>
      </c>
      <c r="E9" s="14" t="inlineStr">
        <is>
          <t>GW2203-043</t>
        </is>
      </c>
      <c r="F9" s="14" t="inlineStr">
        <is>
          <t>Shipping</t>
        </is>
      </c>
      <c r="I9" s="14" t="inlineStr">
        <is>
          <t>T523M</t>
        </is>
      </c>
      <c r="J9" s="2" t="n">
        <v>19800</v>
      </c>
      <c r="N9" s="97" t="inlineStr">
        <is>
          <t>REFURBISHED</t>
        </is>
      </c>
      <c r="O9" s="14">
        <f>IFERROR(INDEX(Settings!$AC$3:$AC$95,MATCH(Gateways_DynamoDB!$F9,Settings!$B$3:$B$95,0)),"")</f>
        <v/>
      </c>
    </row>
    <row r="10">
      <c r="B10" s="14">
        <f>IFERROR(INDEX(Companies!$A$3:$A$101,MATCH(A10,Companies!$B$3:$B$101,0)),"")</f>
        <v/>
      </c>
      <c r="C10" s="83" t="inlineStr">
        <is>
          <t>e00fce6896f7577f9882a05e</t>
        </is>
      </c>
      <c r="D10" s="14" t="inlineStr">
        <is>
          <t>P025AB035NST2GY</t>
        </is>
      </c>
      <c r="E10" s="14" t="inlineStr">
        <is>
          <t>GW2206-011</t>
        </is>
      </c>
      <c r="F10" s="14" t="inlineStr">
        <is>
          <t>Shipping</t>
        </is>
      </c>
      <c r="I10" s="14" t="inlineStr">
        <is>
          <t>T523M</t>
        </is>
      </c>
      <c r="J10" s="2">
        <f>6600*3</f>
        <v/>
      </c>
      <c r="O10" s="14">
        <f>IFERROR(INDEX(Settings!$AC$3:$AC$95,MATCH(Gateways_DynamoDB!$F10,Settings!$B$3:$B$95,0)),"")</f>
        <v/>
      </c>
    </row>
    <row r="11">
      <c r="A11" s="14" t="inlineStr">
        <is>
          <t>TANKWAGON</t>
        </is>
      </c>
      <c r="B11" s="14">
        <f>IFERROR(INDEX(Companies!$A$3:$A$101,MATCH(A11,Companies!$B$3:$B$101,0)),"")</f>
        <v/>
      </c>
      <c r="C11" s="83" t="inlineStr">
        <is>
          <t>e00fce68ad614837daa82ef5</t>
        </is>
      </c>
      <c r="D11" s="14" t="inlineStr">
        <is>
          <t>P025AB110CYFGSN</t>
        </is>
      </c>
      <c r="E11" s="110" t="inlineStr">
        <is>
          <t>GW2206-060</t>
        </is>
      </c>
      <c r="F11" s="14" t="inlineStr">
        <is>
          <t>Slow-5-12h</t>
        </is>
      </c>
      <c r="G11" s="9" t="inlineStr">
        <is>
          <t>33747913061-5</t>
        </is>
      </c>
      <c r="I11" s="14" t="inlineStr">
        <is>
          <t>T523M</t>
        </is>
      </c>
      <c r="J11" s="2">
        <f>6600*3</f>
        <v/>
      </c>
      <c r="O11" s="14">
        <f>IFERROR(INDEX(Settings!$AC$3:$AC$95,MATCH(Gateways_DynamoDB!$F11,Settings!$B$3:$B$95,0)),"")</f>
        <v/>
      </c>
    </row>
    <row r="12">
      <c r="A12" s="14" t="inlineStr">
        <is>
          <t>HUPAC</t>
        </is>
      </c>
      <c r="B12" s="14">
        <f>IFERROR(INDEX(Companies!$A$3:$A$101,MATCH(A12,Companies!$B$3:$B$101,0)),"")</f>
        <v/>
      </c>
      <c r="C12" s="83" t="inlineStr">
        <is>
          <t>e00fce68fabaf7b85132d014</t>
        </is>
      </c>
      <c r="D12" s="14" t="inlineStr">
        <is>
          <t>P025AB106R9KDYH</t>
        </is>
      </c>
      <c r="E12" s="14" t="inlineStr">
        <is>
          <t>GW2206-089</t>
        </is>
      </c>
      <c r="F12" s="14" t="inlineStr">
        <is>
          <t>Shipping</t>
        </is>
      </c>
      <c r="G12" s="9" t="inlineStr">
        <is>
          <t>33854956687-9</t>
        </is>
      </c>
      <c r="I12" s="14" t="inlineStr">
        <is>
          <t>T523M</t>
        </is>
      </c>
      <c r="J12" s="2">
        <f>6600*3</f>
        <v/>
      </c>
      <c r="K12" s="77" t="n">
        <v>44832</v>
      </c>
      <c r="L12" s="14" t="inlineStr">
        <is>
          <t>R</t>
        </is>
      </c>
      <c r="M12" s="14" t="inlineStr">
        <is>
          <t>Hupac</t>
        </is>
      </c>
      <c r="N12" s="97" t="inlineStr">
        <is>
          <t>REFURBISHED</t>
        </is>
      </c>
      <c r="O12" s="14">
        <f>IFERROR(INDEX(Settings!$AC$3:$AC$95,MATCH(Gateways_DynamoDB!$F12,Settings!$B$3:$B$95,0)),"")</f>
        <v/>
      </c>
    </row>
    <row r="13">
      <c r="A13" s="14" t="inlineStr">
        <is>
          <t>VTG</t>
        </is>
      </c>
      <c r="B13" s="14">
        <f>IFERROR(INDEX(Companies!$A$3:$A$101,MATCH(A13,Companies!$B$3:$B$101,0)),"")</f>
        <v/>
      </c>
      <c r="C13" s="83" t="inlineStr">
        <is>
          <t>e00fce68460536b41089cff8</t>
        </is>
      </c>
      <c r="D13" s="14" t="inlineStr">
        <is>
          <t>P025AB029SKJB5U</t>
        </is>
      </c>
      <c r="E13" s="14" t="inlineStr">
        <is>
          <t>GW2203-041</t>
        </is>
      </c>
      <c r="F13" s="14" t="inlineStr">
        <is>
          <t>Shipping</t>
        </is>
      </c>
      <c r="H13" s="2" t="n">
        <v>867648041711084</v>
      </c>
      <c r="I13" s="14" t="inlineStr">
        <is>
          <t>T523M</t>
        </is>
      </c>
      <c r="J13" s="79" t="inlineStr">
        <is>
          <t>19800</t>
        </is>
      </c>
      <c r="N13" s="97" t="inlineStr">
        <is>
          <t>The device is with VTG, would like to get it back. Not monitored on Ubidots anymore.</t>
        </is>
      </c>
      <c r="O13" s="14">
        <f>IFERROR(INDEX(Settings!$AC$3:$AC$95,MATCH(Gateways_DynamoDB!$F13,Settings!$B$3:$B$95,0)),"")</f>
        <v/>
      </c>
    </row>
    <row r="14">
      <c r="A14" s="14" t="inlineStr">
        <is>
          <t>VTG</t>
        </is>
      </c>
      <c r="B14" s="14">
        <f>IFERROR(INDEX(Companies!$A$3:$A$101,MATCH(A14,Companies!$B$3:$B$101,0)),"")</f>
        <v/>
      </c>
      <c r="C14" s="83" t="inlineStr">
        <is>
          <t>e00fce6851355da59013f2c4</t>
        </is>
      </c>
      <c r="E14" s="14" t="inlineStr">
        <is>
          <t>GW2206-086</t>
        </is>
      </c>
      <c r="F14" s="14" t="inlineStr">
        <is>
          <t>Shipping</t>
        </is>
      </c>
      <c r="J14" s="79" t="n"/>
      <c r="N14" s="97" t="inlineStr">
        <is>
          <t>The device is with VTG, would like to get it back. Not monitored on Ubidots anymore.</t>
        </is>
      </c>
      <c r="O14" s="14">
        <f>IFERROR(INDEX(Settings!$AC$3:$AC$95,MATCH(Gateways_DynamoDB!$F14,Settings!$B$3:$B$95,0)),"")</f>
        <v/>
      </c>
    </row>
    <row r="15">
      <c r="A15" s="14" t="inlineStr">
        <is>
          <t>TANKWAGON</t>
        </is>
      </c>
      <c r="B15" s="14">
        <f>IFERROR(INDEX(Companies!$A$3:$A$101,MATCH(A15,Companies!$B$3:$B$101,0)),"")</f>
        <v/>
      </c>
      <c r="C15" s="83" t="inlineStr">
        <is>
          <t>e00fce68dcd8c78ed63ea671</t>
        </is>
      </c>
      <c r="E15" s="14" t="inlineStr">
        <is>
          <t>GW2203-022</t>
        </is>
      </c>
      <c r="F15" s="14" t="inlineStr">
        <is>
          <t>Shipping</t>
        </is>
      </c>
      <c r="G15" s="9" t="inlineStr">
        <is>
          <t>33857929905-2</t>
        </is>
      </c>
      <c r="I15" s="14" t="inlineStr">
        <is>
          <t>T523M</t>
        </is>
      </c>
      <c r="J15" s="2">
        <f>3*6600</f>
        <v/>
      </c>
      <c r="K15" s="77" t="n">
        <v>45210</v>
      </c>
      <c r="L15" s="14" t="inlineStr">
        <is>
          <t>L</t>
        </is>
      </c>
      <c r="M15" s="14" t="inlineStr">
        <is>
          <t>TANKWAGON</t>
        </is>
      </c>
      <c r="N15" s="97" t="inlineStr">
        <is>
          <t>REFURBISHED</t>
        </is>
      </c>
      <c r="O15" s="14">
        <f>IFERROR(INDEX(Settings!$AC$3:$AC$95,MATCH(Gateways_DynamoDB!$F15,Settings!$B$3:$B$95,0)),"")</f>
        <v/>
      </c>
    </row>
    <row r="16">
      <c r="A16" s="14" t="inlineStr">
        <is>
          <t>AMBROGIO</t>
        </is>
      </c>
      <c r="B16" s="14">
        <f>IFERROR(INDEX(Companies!$A$3:$A$101,MATCH(A16,Companies!$B$3:$B$101,0)),"")</f>
        <v/>
      </c>
      <c r="C16" s="83" t="inlineStr">
        <is>
          <t>e00fce68afcedd2b5f45923c</t>
        </is>
      </c>
      <c r="D16" s="14" t="inlineStr">
        <is>
          <t>P025AB029VMW27B</t>
        </is>
      </c>
      <c r="E16" s="14" t="inlineStr">
        <is>
          <t>GW2206-039</t>
        </is>
      </c>
      <c r="F16" s="14" t="inlineStr">
        <is>
          <t>Shipping</t>
        </is>
      </c>
      <c r="G16" s="9" t="inlineStr">
        <is>
          <t>33-83-495-4-940-6</t>
        </is>
      </c>
      <c r="I16" s="14" t="inlineStr">
        <is>
          <t>T523M</t>
        </is>
      </c>
      <c r="J16" s="2">
        <f>6600*3</f>
        <v/>
      </c>
      <c r="K16" s="77" t="n">
        <v>44832</v>
      </c>
      <c r="L16" s="14" t="inlineStr">
        <is>
          <t>L</t>
        </is>
      </c>
      <c r="M16" s="14" t="inlineStr">
        <is>
          <t>Viezo</t>
        </is>
      </c>
      <c r="O16" s="14">
        <f>IFERROR(INDEX(Settings!$AC$3:$AC$95,MATCH(Gateways_DynamoDB!$F16,Settings!$B$3:$B$95,0)),"")</f>
        <v/>
      </c>
    </row>
    <row r="17">
      <c r="A17" s="14" t="inlineStr">
        <is>
          <t>TRANSFESA</t>
        </is>
      </c>
      <c r="B17" s="14">
        <f>IFERROR(INDEX(Companies!$A$3:$A$101,MATCH(A17,Companies!$B$3:$B$101,0)),"")</f>
        <v/>
      </c>
      <c r="C17" s="83" t="inlineStr">
        <is>
          <t>e00fce6819fe1dab0cbaa87e</t>
        </is>
      </c>
      <c r="D17" s="14" t="inlineStr">
        <is>
          <t>P025AB028DKE4WY</t>
        </is>
      </c>
      <c r="E17" s="14" t="inlineStr">
        <is>
          <t>GW2206-077</t>
        </is>
      </c>
      <c r="F17" s="14" t="inlineStr">
        <is>
          <t>Shipping</t>
        </is>
      </c>
      <c r="G17" s="16" t="inlineStr">
        <is>
          <t>24714450036-7</t>
        </is>
      </c>
      <c r="H17" s="2" t="n">
        <v>867648041714096</v>
      </c>
      <c r="I17" s="14" t="inlineStr">
        <is>
          <t>T523M</t>
        </is>
      </c>
      <c r="J17" s="79" t="inlineStr">
        <is>
          <t>19800</t>
        </is>
      </c>
      <c r="K17" s="77" t="n">
        <v>44893</v>
      </c>
      <c r="O17" s="14">
        <f>IFERROR(INDEX(Settings!$AC$3:$AC$95,MATCH(Gateways_DynamoDB!$F17,Settings!$B$3:$B$95,0)),"")</f>
        <v/>
      </c>
    </row>
    <row r="18">
      <c r="A18" s="14" t="inlineStr">
        <is>
          <t>TANKWAGON</t>
        </is>
      </c>
      <c r="B18" s="14">
        <f>IFERROR(INDEX(Companies!$A$3:$A$101,MATCH(A18,Companies!$B$3:$B$101,0)),"")</f>
        <v/>
      </c>
      <c r="C18" s="83" t="inlineStr">
        <is>
          <t>e00fce68c2592b9188efd2c9</t>
        </is>
      </c>
      <c r="D18" s="14" t="inlineStr">
        <is>
          <t>P025AB028C6AVWK</t>
        </is>
      </c>
      <c r="E18" s="110" t="inlineStr">
        <is>
          <t>GW2203-021</t>
        </is>
      </c>
      <c r="F18" s="14" t="inlineStr">
        <is>
          <t>Slow-5-12h</t>
        </is>
      </c>
      <c r="G18" s="16" t="inlineStr">
        <is>
          <t>33877916663-0</t>
        </is>
      </c>
      <c r="H18" s="2" t="n">
        <v>867648041704329</v>
      </c>
      <c r="I18" s="14" t="inlineStr">
        <is>
          <t>T523M</t>
        </is>
      </c>
      <c r="J18" s="79" t="inlineStr">
        <is>
          <t>19800</t>
        </is>
      </c>
      <c r="N18" s="97" t="inlineStr">
        <is>
          <t>was_GW2206-080</t>
        </is>
      </c>
      <c r="O18" s="14">
        <f>IFERROR(INDEX(Settings!$AC$3:$AC$95,MATCH(Gateways_DynamoDB!$F18,Settings!$B$3:$B$95,0)),"")</f>
        <v/>
      </c>
    </row>
    <row r="19">
      <c r="A19" s="14" t="inlineStr">
        <is>
          <t>TANKWAGON</t>
        </is>
      </c>
      <c r="B19" s="14">
        <f>IFERROR(INDEX(Companies!$A$3:$A$101,MATCH(A19,Companies!$B$3:$B$101,0)),"")</f>
        <v/>
      </c>
      <c r="C19" s="83" t="inlineStr">
        <is>
          <t>e00fce68122c671cbe1f1ff1</t>
        </is>
      </c>
      <c r="E19" s="110" t="inlineStr">
        <is>
          <t>GW2203-003</t>
        </is>
      </c>
      <c r="F19" s="14" t="inlineStr">
        <is>
          <t>Slow-5-12h</t>
        </is>
      </c>
      <c r="G19" s="9" t="inlineStr">
        <is>
          <t>33877916666-3</t>
        </is>
      </c>
      <c r="O19" s="14">
        <f>IFERROR(INDEX(Settings!$AC$3:$AC$95,MATCH(Gateways_DynamoDB!$F19,Settings!$B$3:$B$95,0)),"")</f>
        <v/>
      </c>
    </row>
    <row r="20">
      <c r="B20" s="14">
        <f>IFERROR(INDEX(Companies!$A$3:$A$101,MATCH(A20,Companies!$B$3:$B$101,0)),"")</f>
        <v/>
      </c>
      <c r="C20" s="83" t="inlineStr">
        <is>
          <t>e00fce683054951baa398b52</t>
        </is>
      </c>
      <c r="E20" s="14" t="inlineStr">
        <is>
          <t>GW2203-015</t>
        </is>
      </c>
      <c r="F20" s="14" t="inlineStr">
        <is>
          <t>Shipping</t>
        </is>
      </c>
      <c r="O20" s="14">
        <f>IFERROR(INDEX(Settings!$AC$3:$AC$95,MATCH(Gateways_DynamoDB!$F20,Settings!$B$3:$B$95,0)),"")</f>
        <v/>
      </c>
    </row>
    <row r="21">
      <c r="A21" s="14" t="inlineStr">
        <is>
          <t>RAILIZE</t>
        </is>
      </c>
      <c r="B21" s="14">
        <f>IFERROR(INDEX(Companies!$A$3:$A$101,MATCH(A21,Companies!$B$3:$B$101,0)),"")</f>
        <v/>
      </c>
      <c r="C21" s="83" t="inlineStr">
        <is>
          <t>e00fce68fee664d352aabbb4</t>
        </is>
      </c>
      <c r="D21" s="14" t="inlineStr">
        <is>
          <t>P025AB028UWJH3K</t>
        </is>
      </c>
      <c r="E21" s="14" t="inlineStr">
        <is>
          <t>GW2206-061</t>
        </is>
      </c>
      <c r="F21" s="14" t="inlineStr">
        <is>
          <t>Shipping</t>
        </is>
      </c>
      <c r="G21" s="16" t="n"/>
      <c r="H21" s="2" t="n">
        <v>867648041664994</v>
      </c>
      <c r="I21" s="14" t="inlineStr">
        <is>
          <t>T523M</t>
        </is>
      </c>
      <c r="J21" s="79" t="inlineStr">
        <is>
          <t>19800</t>
        </is>
      </c>
      <c r="O21" s="14">
        <f>IFERROR(INDEX(Settings!$AC$3:$AC$95,MATCH(Gateways_DynamoDB!$F21,Settings!$B$3:$B$95,0)),"")</f>
        <v/>
      </c>
    </row>
    <row r="22">
      <c r="A22" s="14">
        <f>IFERROR(INDEX(Gateways_MANU!$A$2:$A$4949,MATCH($E22,Gateways_MANU!$B$2:$B$4949,0)),"")</f>
        <v/>
      </c>
      <c r="B22" s="14">
        <f>IFERROR(INDEX(Companies!$A$3:$A$101,MATCH(A22,Companies!$B$3:$B$101,0)),"")</f>
        <v/>
      </c>
      <c r="C22" s="83" t="inlineStr">
        <is>
          <t>e00fce68f7915cebf1562e87</t>
        </is>
      </c>
      <c r="E22" s="14" t="inlineStr">
        <is>
          <t>GW2203-007</t>
        </is>
      </c>
      <c r="F22" s="14" t="inlineStr">
        <is>
          <t>Shipping</t>
        </is>
      </c>
      <c r="G22" s="9" t="inlineStr">
        <is>
          <t>3354-3937-523-9</t>
        </is>
      </c>
      <c r="J22" s="2" t="n">
        <v>19800</v>
      </c>
      <c r="K22" s="77" t="n">
        <v>44888</v>
      </c>
      <c r="M22" s="14" t="inlineStr">
        <is>
          <t>SGL</t>
        </is>
      </c>
      <c r="N22" s="97" t="inlineStr">
        <is>
          <t>The operator has the device or its lost (they paid for it), but we dont monitor it on Ubidots anymore.</t>
        </is>
      </c>
      <c r="O22" s="14">
        <f>IFERROR(INDEX(Settings!$AC$3:$AC$95,MATCH(Gateways_DynamoDB!$F22,Settings!$B$3:$B$95,0)),"")</f>
        <v/>
      </c>
    </row>
    <row r="23">
      <c r="A23" s="14">
        <f>IFERROR(INDEX(Gateways_MANU!$A$2:$A$4949,MATCH($E23,Gateways_MANU!$B$2:$B$4949,0)),"")</f>
        <v/>
      </c>
      <c r="B23" s="14">
        <f>IFERROR(INDEX(Companies!$A$3:$A$101,MATCH(A23,Companies!$B$3:$B$101,0)),"")</f>
        <v/>
      </c>
      <c r="C23" s="83" t="inlineStr">
        <is>
          <t>e00fce6831de67dd448473e9</t>
        </is>
      </c>
      <c r="D23" s="14" t="inlineStr">
        <is>
          <t>P025AB0296GK27H</t>
        </is>
      </c>
      <c r="E23" s="14" t="inlineStr">
        <is>
          <t>GW2206-094</t>
        </is>
      </c>
      <c r="F23" s="74" t="inlineStr">
        <is>
          <t>Shipping</t>
        </is>
      </c>
      <c r="G23" s="9" t="inlineStr">
        <is>
          <t>83546985088-6</t>
        </is>
      </c>
      <c r="H23" s="2" t="n">
        <v>867648041698265</v>
      </c>
      <c r="J23" s="2">
        <f>3*6600</f>
        <v/>
      </c>
      <c r="K23" s="77" t="n">
        <v>44909</v>
      </c>
      <c r="L23" s="14" t="inlineStr">
        <is>
          <t>R</t>
        </is>
      </c>
      <c r="M23" s="14" t="inlineStr">
        <is>
          <t>HVLE</t>
        </is>
      </c>
      <c r="N23" s="97" t="n">
        <v>44876</v>
      </c>
      <c r="O23" s="14">
        <f>IFERROR(INDEX(Settings!$AC$3:$AC$95,MATCH(Gateways_DynamoDB!$F23,Settings!$B$3:$B$95,0)),"")</f>
        <v/>
      </c>
    </row>
    <row r="24">
      <c r="A24" s="14" t="inlineStr">
        <is>
          <t>CFLCARGO</t>
        </is>
      </c>
      <c r="B24" s="14">
        <f>IFERROR(INDEX(Companies!$A$3:$A$101,MATCH(A24,Companies!$B$3:$B$101,0)),"")</f>
        <v/>
      </c>
      <c r="C24" s="83" t="inlineStr">
        <is>
          <t>e00fce6884e6fce92e4a8614</t>
        </is>
      </c>
      <c r="D24" s="14" t="inlineStr">
        <is>
          <t>P025AB110468W3Y</t>
        </is>
      </c>
      <c r="E24" s="14" t="inlineStr">
        <is>
          <t>GW2206-093</t>
        </is>
      </c>
      <c r="F24" s="14" t="inlineStr">
        <is>
          <t>Normal-2-6h</t>
        </is>
      </c>
      <c r="G24" s="9" t="inlineStr">
        <is>
          <t>MAK314</t>
        </is>
      </c>
      <c r="I24" s="14" t="inlineStr">
        <is>
          <t>T523M</t>
        </is>
      </c>
      <c r="J24" s="2">
        <f>6600*3</f>
        <v/>
      </c>
      <c r="O24" s="14">
        <f>IFERROR(INDEX(Settings!$AC$3:$AC$95,MATCH(Gateways_DynamoDB!$F24,Settings!$B$3:$B$95,0)),"")</f>
        <v/>
      </c>
    </row>
    <row r="25">
      <c r="A25" s="14">
        <f>IFERROR(T(INDEX(Gateways_MANU!$A$2:$A$4949,MATCH($E25,Gateways_MANU!$B$2:$B$4949,0))),"")</f>
        <v/>
      </c>
      <c r="B25" s="14">
        <f>IFERROR(INDEX(Companies!$A$3:$A$101,MATCH(A25,Companies!$B$3:$B$101,0)),"")</f>
        <v/>
      </c>
      <c r="C25" s="83" t="inlineStr">
        <is>
          <t>e00fce68e97726618903cccc</t>
        </is>
      </c>
      <c r="D25" s="14" t="inlineStr">
        <is>
          <t>P025AB029EJ2594</t>
        </is>
      </c>
      <c r="E25" s="14" t="inlineStr">
        <is>
          <t>GW2206-084</t>
        </is>
      </c>
      <c r="F25" s="14" t="inlineStr">
        <is>
          <t>Shipping</t>
        </is>
      </c>
      <c r="G25" s="9" t="inlineStr">
        <is>
          <t>33854668206-7</t>
        </is>
      </c>
      <c r="I25" s="14" t="inlineStr">
        <is>
          <t>T523M</t>
        </is>
      </c>
      <c r="J25" s="2">
        <f>6600*3</f>
        <v/>
      </c>
      <c r="K25" s="77" t="n">
        <v>44918</v>
      </c>
      <c r="L25" s="14" t="inlineStr">
        <is>
          <t>L</t>
        </is>
      </c>
      <c r="M25" s="14" t="inlineStr">
        <is>
          <t>Viezo</t>
        </is>
      </c>
      <c r="O25" s="14">
        <f>IFERROR(INDEX(Settings!$AC$3:$AC$95,MATCH(Gateways_DynamoDB!$F25,Settings!$B$3:$B$95,0)),"")</f>
        <v/>
      </c>
    </row>
    <row r="26">
      <c r="A26" s="14" t="inlineStr">
        <is>
          <t>RENFE</t>
        </is>
      </c>
      <c r="B26" s="14">
        <f>IFERROR(INDEX(Companies!$A$3:$A$101,MATCH(A26,Companies!$B$3:$B$101,0)),"")</f>
        <v/>
      </c>
      <c r="C26" s="83" t="inlineStr">
        <is>
          <t>e00fce6806eb219a43754b61</t>
        </is>
      </c>
      <c r="D26" s="14" t="inlineStr">
        <is>
          <t>P025AB1109GN7DK</t>
        </is>
      </c>
      <c r="E26" s="14" t="inlineStr">
        <is>
          <t>GW2203-027</t>
        </is>
      </c>
      <c r="F26" s="14" t="inlineStr">
        <is>
          <t>Shipping</t>
        </is>
      </c>
      <c r="G26" s="9" t="n">
        <v>527017</v>
      </c>
      <c r="I26" s="14" t="inlineStr">
        <is>
          <t>T523M</t>
        </is>
      </c>
      <c r="J26" s="2">
        <f>6600*3</f>
        <v/>
      </c>
      <c r="O26" s="14">
        <f>IFERROR(INDEX(Settings!$AC$3:$AC$95,MATCH(Gateways_DynamoDB!$F26,Settings!$B$3:$B$95,0)),"")</f>
        <v/>
      </c>
    </row>
    <row r="27">
      <c r="A27" s="14" t="inlineStr">
        <is>
          <t>TANKWAGON</t>
        </is>
      </c>
      <c r="B27" s="14">
        <f>IFERROR(INDEX(Companies!$A$3:$A$101,MATCH(A27,Companies!$B$3:$B$101,0)),"")</f>
        <v/>
      </c>
      <c r="C27" s="83" t="inlineStr">
        <is>
          <t>e00fce68193d8bb1b06adc22</t>
        </is>
      </c>
      <c r="D27" s="14" t="inlineStr">
        <is>
          <t>P025AB110H6FVU3</t>
        </is>
      </c>
      <c r="E27" s="110" t="inlineStr">
        <is>
          <t>GW2206-019</t>
        </is>
      </c>
      <c r="F27" s="14" t="inlineStr">
        <is>
          <t>Slow-5-12h</t>
        </is>
      </c>
      <c r="G27" s="9" t="inlineStr">
        <is>
          <t>33877916681-2</t>
        </is>
      </c>
      <c r="I27" s="14" t="inlineStr">
        <is>
          <t>T523M</t>
        </is>
      </c>
      <c r="J27" s="2">
        <f>6600*3</f>
        <v/>
      </c>
      <c r="O27" s="14">
        <f>IFERROR(INDEX(Settings!$AC$3:$AC$95,MATCH(Gateways_DynamoDB!$F27,Settings!$B$3:$B$95,0)),"")</f>
        <v/>
      </c>
    </row>
    <row r="28">
      <c r="A28" s="14">
        <f>IFERROR(INDEX(Gateways_MANU!$A$2:$A$4949,MATCH($E28,Gateways_MANU!$B$2:$B$4949,0)),"")</f>
        <v/>
      </c>
      <c r="B28" s="14">
        <f>IFERROR(INDEX(Companies!$A$3:$A$101,MATCH(A28,Companies!$B$3:$B$101,0)),"")</f>
        <v/>
      </c>
      <c r="C28" s="83" t="inlineStr">
        <is>
          <t>e00fce68fddc3f4dcf9a3b74</t>
        </is>
      </c>
      <c r="E28" s="14" t="inlineStr">
        <is>
          <t>GW2203-034</t>
        </is>
      </c>
      <c r="F28" s="74" t="inlineStr">
        <is>
          <t>Shipping</t>
        </is>
      </c>
      <c r="N28" s="97" t="inlineStr">
        <is>
          <t>The operator has the device or its lost (they paid for it), but we dont monitor it on Ubidots anymore.</t>
        </is>
      </c>
      <c r="O28" s="14">
        <f>IFERROR(INDEX(Settings!$AC$3:$AC$95,MATCH(Gateways_DynamoDB!$F28,Settings!$B$3:$B$95,0)),"")</f>
        <v/>
      </c>
    </row>
    <row r="29">
      <c r="A29" s="14">
        <f>IFERROR(INDEX(Gateways_MANU!$A$2:$A$4949,MATCH($E29,Gateways_MANU!$B$2:$B$4949,0)),"")</f>
        <v/>
      </c>
      <c r="B29" s="14">
        <f>IFERROR(INDEX(Companies!$A$3:$A$101,MATCH(A29,Companies!$B$3:$B$101,0)),"")</f>
        <v/>
      </c>
      <c r="C29" s="83" t="inlineStr">
        <is>
          <t>e00fce6853420f8642781437</t>
        </is>
      </c>
      <c r="E29" s="14" t="inlineStr">
        <is>
          <t>GW2203-049</t>
        </is>
      </c>
      <c r="F29" s="73" t="inlineStr">
        <is>
          <t>Shipping</t>
        </is>
      </c>
      <c r="N29" s="97" t="inlineStr">
        <is>
          <t>The operator has the device or its lost (they paid for it), but we dont monitor it on Ubidots anymore.</t>
        </is>
      </c>
      <c r="O29" s="14">
        <f>IFERROR(INDEX(Settings!$AC$3:$AC$95,MATCH(Gateways_DynamoDB!$F29,Settings!$B$3:$B$95,0)),"")</f>
        <v/>
      </c>
    </row>
    <row r="30">
      <c r="A30" s="14">
        <f>IFERROR(INDEX(Gateways_MANU!$A$2:$A$4949,MATCH($E30,Gateways_MANU!$B$2:$B$4949,0)),"")</f>
        <v/>
      </c>
      <c r="B30" s="14">
        <f>IFERROR(INDEX(Companies!$A$3:$A$101,MATCH(A30,Companies!$B$3:$B$101,0)),"")</f>
        <v/>
      </c>
      <c r="C30" s="83" t="inlineStr">
        <is>
          <t>e00fce68d32ab7e19cf847bf</t>
        </is>
      </c>
      <c r="F30" s="14" t="inlineStr">
        <is>
          <t>Shipping</t>
        </is>
      </c>
      <c r="G30" s="9" t="inlineStr">
        <is>
          <t>84515332773-7</t>
        </is>
      </c>
      <c r="K30" s="77" t="n">
        <v>44873</v>
      </c>
      <c r="L30" s="14" t="inlineStr">
        <is>
          <t>R</t>
        </is>
      </c>
      <c r="M30" s="14" t="inlineStr">
        <is>
          <t>Viezo</t>
        </is>
      </c>
      <c r="O30" s="14">
        <f>IFERROR(INDEX(Settings!$AC$3:$AC$95,MATCH(Gateways_DynamoDB!$F30,Settings!$B$3:$B$95,0)),"")</f>
        <v/>
      </c>
    </row>
    <row r="31">
      <c r="A31" t="inlineStr">
        <is>
          <t>CFLCARGO</t>
        </is>
      </c>
      <c r="B31" s="14">
        <f>IFERROR(INDEX(Companies!$A$3:$A$101,MATCH(A31,Companies!$B$3:$B$101,0)),"")</f>
        <v/>
      </c>
      <c r="C31" s="83" t="inlineStr">
        <is>
          <t>e00fce686488370d15054e7b</t>
        </is>
      </c>
      <c r="D31" s="14" t="inlineStr">
        <is>
          <t>P025AB029H378CD</t>
        </is>
      </c>
      <c r="E31" s="14" t="inlineStr">
        <is>
          <t>GW2206-056</t>
        </is>
      </c>
      <c r="F31" s="14" t="inlineStr">
        <is>
          <t>Normal-2-6h</t>
        </is>
      </c>
      <c r="G31" s="9" t="inlineStr">
        <is>
          <t>MAK309</t>
        </is>
      </c>
      <c r="N31" s="97" t="inlineStr">
        <is>
          <t>was GW2203-012</t>
        </is>
      </c>
      <c r="O31" s="14">
        <f>IFERROR(INDEX(Settings!$AC$3:$AC$95,MATCH(Gateways_DynamoDB!$F31,Settings!$B$3:$B$95,0)),"")</f>
        <v/>
      </c>
    </row>
    <row r="32">
      <c r="A32" s="14">
        <f>IFERROR(INDEX(Gateways_MANU!$A$2:$A$4949,MATCH($E32,Gateways_MANU!$B$2:$B$4949,0)),"")</f>
        <v/>
      </c>
      <c r="B32" s="14">
        <f>IFERROR(INDEX(Companies!$A$3:$A$101,MATCH(A32,Companies!$B$3:$B$101,0)),"")</f>
        <v/>
      </c>
      <c r="C32" s="83" t="inlineStr">
        <is>
          <t>e00fce6813144c5e8a15791e</t>
        </is>
      </c>
      <c r="E32" s="14" t="inlineStr">
        <is>
          <t>GW2203-023</t>
        </is>
      </c>
      <c r="F32" s="14" t="inlineStr">
        <is>
          <t>Shipping</t>
        </is>
      </c>
      <c r="G32" s="9" t="inlineStr">
        <is>
          <t>R3555</t>
        </is>
      </c>
      <c r="K32" s="77" t="n">
        <v>44862</v>
      </c>
      <c r="M32" s="14" t="inlineStr">
        <is>
          <t>Fertagus</t>
        </is>
      </c>
      <c r="O32" s="14">
        <f>IFERROR(INDEX(Settings!$AC$3:$AC$95,MATCH(Gateways_DynamoDB!$F32,Settings!$B$3:$B$95,0)),"")</f>
        <v/>
      </c>
    </row>
    <row r="33">
      <c r="A33" s="14" t="inlineStr">
        <is>
          <t>FERTAGUS</t>
        </is>
      </c>
      <c r="B33" s="14">
        <f>IFERROR(INDEX(Companies!$A$3:$A$101,MATCH(A33,Companies!$B$3:$B$101,0)),"")</f>
        <v/>
      </c>
      <c r="C33" s="83" t="inlineStr">
        <is>
          <t>e00fce68962f04b2507c174f</t>
        </is>
      </c>
      <c r="D33" s="14" t="inlineStr">
        <is>
          <t>P025AB0293NU7YX</t>
        </is>
      </c>
      <c r="E33" s="14" t="inlineStr">
        <is>
          <t>GW2203-020</t>
        </is>
      </c>
      <c r="F33" s="14" t="inlineStr">
        <is>
          <t>Shipping</t>
        </is>
      </c>
      <c r="G33" s="9" t="inlineStr">
        <is>
          <t>M3555</t>
        </is>
      </c>
      <c r="K33" s="77" t="n">
        <v>44862</v>
      </c>
      <c r="M33" s="14" t="inlineStr">
        <is>
          <t>Fertagus</t>
        </is>
      </c>
      <c r="O33" s="14">
        <f>IFERROR(INDEX(Settings!$AC$3:$AC$95,MATCH(Gateways_DynamoDB!$F33,Settings!$B$3:$B$95,0)),"")</f>
        <v/>
      </c>
    </row>
    <row r="34">
      <c r="A34" s="14">
        <f>IFERROR(T(INDEX(Gateways_MANU!$A$2:$A$4949,MATCH($E34,Gateways_MANU!$B$2:$B$4949,0))),"")</f>
        <v/>
      </c>
      <c r="B34" s="14">
        <f>IFERROR(INDEX(Companies!$A$3:$A$101,MATCH(A34,Companies!$B$3:$B$101,0)),"")</f>
        <v/>
      </c>
      <c r="C34" s="83" t="inlineStr">
        <is>
          <t>e00fce68435a9c417f84ebb9</t>
        </is>
      </c>
      <c r="D34" s="14" t="inlineStr">
        <is>
          <t>P025AB110SCH4BF</t>
        </is>
      </c>
      <c r="E34" s="14" t="inlineStr">
        <is>
          <t>was_GW2206-091_</t>
        </is>
      </c>
      <c r="F34" s="14" t="inlineStr">
        <is>
          <t>Shipping</t>
        </is>
      </c>
      <c r="I34" s="14" t="inlineStr">
        <is>
          <t>T523M</t>
        </is>
      </c>
      <c r="J34" s="2">
        <f>6600*3</f>
        <v/>
      </c>
      <c r="O34" s="14">
        <f>IFERROR(INDEX(Settings!$AC$3:$AC$95,MATCH(Gateways_DynamoDB!$F34,Settings!$B$3:$B$95,0)),"")</f>
        <v/>
      </c>
    </row>
    <row r="35">
      <c r="A35" s="14">
        <f>IFERROR(T(INDEX(Gateways_MANU!$A$2:$A$4949,MATCH($E35,Gateways_MANU!$B$2:$B$4949,0))),"")</f>
        <v/>
      </c>
      <c r="B35" s="14">
        <f>IFERROR(INDEX(Companies!$A$3:$A$101,MATCH(A35,Companies!$B$3:$B$101,0)),"")</f>
        <v/>
      </c>
      <c r="C35" s="83" t="inlineStr">
        <is>
          <t>e00fce682cc4e7703b017399</t>
        </is>
      </c>
      <c r="D35" s="14" t="inlineStr">
        <is>
          <t>P025AB106B7TCKY</t>
        </is>
      </c>
      <c r="E35" s="14" t="inlineStr">
        <is>
          <t>GW2206-092</t>
        </is>
      </c>
      <c r="F35" s="14" t="inlineStr">
        <is>
          <t>Shipping</t>
        </is>
      </c>
      <c r="G35" s="9" t="inlineStr">
        <is>
          <t>31834589939-3</t>
        </is>
      </c>
      <c r="I35" s="14" t="inlineStr">
        <is>
          <t>T523M</t>
        </is>
      </c>
      <c r="J35" s="2">
        <f>6600*3</f>
        <v/>
      </c>
      <c r="M35" s="14" t="inlineStr">
        <is>
          <t>Mercitalia</t>
        </is>
      </c>
      <c r="O35" s="14">
        <f>IFERROR(INDEX(Settings!$AC$3:$AC$95,MATCH(Gateways_DynamoDB!$F35,Settings!$B$3:$B$95,0)),"")</f>
        <v/>
      </c>
    </row>
    <row r="36">
      <c r="A36" s="14">
        <f>IFERROR(INDEX(Gateways_MANU!$A$2:$A$4949,MATCH($E36,Gateways_MANU!$B$2:$B$4949,0)),"")</f>
        <v/>
      </c>
      <c r="B36" s="14">
        <f>IFERROR(INDEX(Companies!$A$3:$A$101,MATCH(A36,Companies!$B$3:$B$101,0)),"")</f>
        <v/>
      </c>
      <c r="C36" s="83" t="inlineStr">
        <is>
          <t>e00fce68109636a0fd8cf124</t>
        </is>
      </c>
      <c r="E36" s="14" t="inlineStr">
        <is>
          <t>GW2206-083</t>
        </is>
      </c>
      <c r="F36" s="74" t="inlineStr">
        <is>
          <t>Shipping</t>
        </is>
      </c>
      <c r="G36" s="9" t="inlineStr">
        <is>
          <t>83546985085-2</t>
        </is>
      </c>
      <c r="I36" s="14" t="inlineStr">
        <is>
          <t>T523M</t>
        </is>
      </c>
      <c r="J36" s="2" t="n">
        <v>19800</v>
      </c>
      <c r="K36" s="77" t="n">
        <v>44880</v>
      </c>
      <c r="L36" s="14" t="inlineStr">
        <is>
          <t>L</t>
        </is>
      </c>
      <c r="M36" s="56" t="inlineStr">
        <is>
          <t>Viezo</t>
        </is>
      </c>
      <c r="N36" s="97" t="n">
        <v>44876</v>
      </c>
      <c r="O36" s="14">
        <f>IFERROR(INDEX(Settings!$AC$3:$AC$95,MATCH(Gateways_DynamoDB!$F36,Settings!$B$3:$B$95,0)),"")</f>
        <v/>
      </c>
    </row>
    <row r="37">
      <c r="A37" s="14">
        <f>IFERROR(INDEX(Gateways_MANU!$A$2:$A$4949,MATCH($E37,Gateways_MANU!$B$2:$B$4949,0)),"")</f>
        <v/>
      </c>
      <c r="B37" s="14">
        <f>IFERROR(INDEX(Companies!$A$3:$A$101,MATCH(A37,Companies!$B$3:$B$101,0)),"")</f>
        <v/>
      </c>
      <c r="C37" s="83" t="inlineStr">
        <is>
          <t>e00fce68a175ae2bbe0a0169</t>
        </is>
      </c>
      <c r="E37" s="14" t="inlineStr">
        <is>
          <t>GW2203-026</t>
        </is>
      </c>
      <c r="F37" s="14" t="inlineStr">
        <is>
          <t>Shipping</t>
        </is>
      </c>
      <c r="G37" s="9" t="inlineStr">
        <is>
          <t>31833916501-7</t>
        </is>
      </c>
      <c r="I37" s="14" t="inlineStr">
        <is>
          <t>T523M</t>
        </is>
      </c>
      <c r="J37" s="2" t="n">
        <v>19800</v>
      </c>
      <c r="M37" s="14" t="inlineStr">
        <is>
          <t>Mercitalia</t>
        </is>
      </c>
      <c r="O37" s="14">
        <f>IFERROR(INDEX(Settings!$AC$3:$AC$95,MATCH(Gateways_DynamoDB!$F37,Settings!$B$3:$B$95,0)),"")</f>
        <v/>
      </c>
    </row>
    <row r="38">
      <c r="A38" s="14" t="inlineStr">
        <is>
          <t>TRANSFESA</t>
        </is>
      </c>
      <c r="B38" s="14">
        <f>IFERROR(INDEX(Companies!$A$3:$A$101,MATCH(A38,Companies!$B$3:$B$101,0)),"")</f>
        <v/>
      </c>
      <c r="C38" s="83" t="inlineStr">
        <is>
          <t>e00fce68d6e6b7a6e0da65b2</t>
        </is>
      </c>
      <c r="E38" s="14" t="inlineStr">
        <is>
          <t>GW2203-047</t>
        </is>
      </c>
      <c r="F38" s="14" t="inlineStr">
        <is>
          <t>Shipping</t>
        </is>
      </c>
      <c r="G38" s="9" t="inlineStr">
        <is>
          <t>43714378393-8</t>
        </is>
      </c>
      <c r="I38" s="14" t="inlineStr">
        <is>
          <t>T523M</t>
        </is>
      </c>
      <c r="J38" s="79" t="n">
        <v>19800</v>
      </c>
      <c r="K38" s="77" t="n">
        <v>44893</v>
      </c>
      <c r="O38" s="14">
        <f>IFERROR(INDEX(Settings!$AC$3:$AC$95,MATCH(Gateways_DynamoDB!$F38,Settings!$B$3:$B$95,0)),"")</f>
        <v/>
      </c>
    </row>
    <row r="39">
      <c r="B39" s="14">
        <f>IFERROR(INDEX(Companies!$A$3:$A$101,MATCH(A39,Companies!$B$3:$B$101,0)),"")</f>
        <v/>
      </c>
      <c r="C39" s="83" t="inlineStr">
        <is>
          <t>e00fce6854a172d6ecf1f509</t>
        </is>
      </c>
      <c r="D39" s="14" t="inlineStr">
        <is>
          <t>P025AB0348L7M2T</t>
        </is>
      </c>
      <c r="E39" s="14" t="inlineStr">
        <is>
          <t>GW2205-TR01</t>
        </is>
      </c>
      <c r="F39" s="14" t="inlineStr">
        <is>
          <t>Shipping</t>
        </is>
      </c>
      <c r="H39" s="2" t="inlineStr">
        <is>
          <t>867648041668953</t>
        </is>
      </c>
      <c r="I39" s="14" t="inlineStr">
        <is>
          <t>T523M</t>
        </is>
      </c>
      <c r="J39" s="79" t="inlineStr">
        <is>
          <t>19800</t>
        </is>
      </c>
      <c r="N39" s="97" t="inlineStr">
        <is>
          <t>warranty</t>
        </is>
      </c>
      <c r="O39" s="14">
        <f>IFERROR(INDEX(Settings!$AC$3:$AC$95,MATCH(Gateways_DynamoDB!$F39,Settings!$B$3:$B$95,0)),"")</f>
        <v/>
      </c>
    </row>
    <row r="40">
      <c r="B40" s="14">
        <f>IFERROR(INDEX(Companies!$A$3:$A$101,MATCH(A40,Companies!$B$3:$B$101,0)),"")</f>
        <v/>
      </c>
      <c r="C40" s="83" t="inlineStr">
        <is>
          <t>e00fce689be64a638dd177f1</t>
        </is>
      </c>
      <c r="D40" s="14" t="inlineStr">
        <is>
          <t>P025AB0347GFU25</t>
        </is>
      </c>
      <c r="E40" s="14" t="inlineStr">
        <is>
          <t>GW2205-TR02</t>
        </is>
      </c>
      <c r="F40" s="14" t="inlineStr">
        <is>
          <t>Shipping</t>
        </is>
      </c>
      <c r="I40" s="14" t="inlineStr">
        <is>
          <t>T523M</t>
        </is>
      </c>
      <c r="N40" s="97" t="inlineStr">
        <is>
          <t>warranty</t>
        </is>
      </c>
      <c r="O40" s="14">
        <f>IFERROR(INDEX(Settings!$AC$3:$AC$95,MATCH(Gateways_DynamoDB!$F40,Settings!$B$3:$B$95,0)),"")</f>
        <v/>
      </c>
    </row>
    <row r="41">
      <c r="A41" s="14">
        <f>IFERROR(INDEX(Gateways_MANU!$A$2:$A$4949,MATCH($E41,Gateways_MANU!$B$2:$B$4949,0)),"")</f>
        <v/>
      </c>
      <c r="B41" s="14">
        <f>IFERROR(INDEX(Companies!$A$3:$A$101,MATCH(A41,Companies!$B$3:$B$101,0)),"")</f>
        <v/>
      </c>
      <c r="C41" s="83" t="inlineStr">
        <is>
          <t>e00fce6869d93115aa17aef7</t>
        </is>
      </c>
      <c r="D41" s="14" t="inlineStr">
        <is>
          <t>P025AB1063KHFAM</t>
        </is>
      </c>
      <c r="E41" s="14" t="inlineStr">
        <is>
          <t>GW2206-064</t>
        </is>
      </c>
      <c r="F41" s="74" t="inlineStr">
        <is>
          <t>Shipping</t>
        </is>
      </c>
      <c r="G41" s="9" t="inlineStr">
        <is>
          <t>33854956699-4</t>
        </is>
      </c>
      <c r="I41" s="14" t="inlineStr">
        <is>
          <t>T523M</t>
        </is>
      </c>
      <c r="J41" s="2">
        <f>6600*3</f>
        <v/>
      </c>
      <c r="K41" s="77" t="n">
        <v>44910</v>
      </c>
      <c r="L41" s="14" t="inlineStr">
        <is>
          <t>R</t>
        </is>
      </c>
      <c r="M41" s="14" t="inlineStr">
        <is>
          <t>Viezo</t>
        </is>
      </c>
      <c r="N41" s="97" t="n">
        <v>44902</v>
      </c>
      <c r="O41" s="14">
        <f>IFERROR(INDEX(Settings!$AC$3:$AC$95,MATCH(Gateways_DynamoDB!$F41,Settings!$B$3:$B$95,0)),"")</f>
        <v/>
      </c>
    </row>
    <row r="42">
      <c r="A42" s="14" t="inlineStr">
        <is>
          <t>VIEZO</t>
        </is>
      </c>
      <c r="B42" s="14">
        <f>IFERROR(INDEX(Companies!$A$3:$A$101,MATCH(A42,Companies!$B$3:$B$101,0)),"")</f>
        <v/>
      </c>
      <c r="C42" s="83" t="inlineStr">
        <is>
          <t>e00fce68bd2a8e2b186ace1f</t>
        </is>
      </c>
      <c r="D42" s="14" t="inlineStr">
        <is>
          <t>P025AB110RFNUAP</t>
        </is>
      </c>
      <c r="E42" s="14" t="inlineStr">
        <is>
          <t>DD-DEV-1</t>
        </is>
      </c>
      <c r="F42" s="14" t="inlineStr">
        <is>
          <t>TEST_F3-10min-10min</t>
        </is>
      </c>
      <c r="I42" s="14" t="inlineStr">
        <is>
          <t>T523M</t>
        </is>
      </c>
      <c r="J42" s="2">
        <f>6600*3</f>
        <v/>
      </c>
      <c r="O42" s="14">
        <f>IFERROR(INDEX(Settings!$AC$3:$AC$95,MATCH(Gateways_DynamoDB!$F42,Settings!$B$3:$B$95,0)),"")</f>
        <v/>
      </c>
    </row>
    <row r="43">
      <c r="A43" s="14">
        <f>IFERROR(INDEX(Gateways_MANU!$A$2:$A$4949,MATCH($E43,Gateways_MANU!$B$2:$B$4949,0)),"")</f>
        <v/>
      </c>
      <c r="B43" s="14">
        <f>IFERROR(INDEX(Companies!$A$3:$A$101,MATCH(A43,Companies!$B$3:$B$101,0)),"")</f>
        <v/>
      </c>
      <c r="C43" s="83" t="inlineStr">
        <is>
          <t>e00fce68895ba1451d8f96a4</t>
        </is>
      </c>
      <c r="D43" s="14" t="inlineStr">
        <is>
          <t>P025AB029C4WBHP</t>
        </is>
      </c>
      <c r="E43" s="14" t="inlineStr">
        <is>
          <t>GW2203-016</t>
        </is>
      </c>
      <c r="F43" s="74" t="inlineStr">
        <is>
          <t>Shipping</t>
        </is>
      </c>
      <c r="G43" s="16" t="inlineStr">
        <is>
          <t>31833918084-2</t>
        </is>
      </c>
      <c r="H43" s="2" t="n">
        <v>867648041692235</v>
      </c>
      <c r="I43" s="14" t="inlineStr">
        <is>
          <t>T523M</t>
        </is>
      </c>
      <c r="J43" s="79" t="inlineStr">
        <is>
          <t>19800</t>
        </is>
      </c>
      <c r="M43" s="14" t="inlineStr">
        <is>
          <t>Mercitalia</t>
        </is>
      </c>
      <c r="O43" s="14">
        <f>IFERROR(INDEX(Settings!$AC$3:$AC$95,MATCH(Gateways_DynamoDB!$F43,Settings!$B$3:$B$95,0)),"")</f>
        <v/>
      </c>
    </row>
    <row r="44">
      <c r="A44" s="14">
        <f>IFERROR(INDEX(Gateways_MANU!$A$2:$A$4949,MATCH($E44,Gateways_MANU!$B$2:$B$4949,0)),"")</f>
        <v/>
      </c>
      <c r="B44" s="14">
        <f>IFERROR(INDEX(Companies!$A$3:$A$101,MATCH(A44,Companies!$B$3:$B$101,0)),"")</f>
        <v/>
      </c>
      <c r="C44" s="83" t="inlineStr">
        <is>
          <t>e00fce68a4f2a051738eeab6</t>
        </is>
      </c>
      <c r="D44" s="14" t="inlineStr">
        <is>
          <t>P025AB029WC8FDM</t>
        </is>
      </c>
      <c r="E44" s="14" t="inlineStr">
        <is>
          <t>GW2206-091</t>
        </is>
      </c>
      <c r="F44" s="14" t="inlineStr">
        <is>
          <t>Shipping</t>
        </is>
      </c>
      <c r="G44" s="16" t="n"/>
      <c r="H44" s="2" t="n">
        <v>867648041691963</v>
      </c>
      <c r="I44" s="14" t="inlineStr">
        <is>
          <t>T523M</t>
        </is>
      </c>
      <c r="J44" s="79" t="inlineStr">
        <is>
          <t>19800</t>
        </is>
      </c>
      <c r="N44" s="97" t="inlineStr">
        <is>
          <t>STOLEN</t>
        </is>
      </c>
      <c r="O44" s="14">
        <f>IFERROR(INDEX(Settings!$AC$3:$AC$95,MATCH(Gateways_DynamoDB!$F44,Settings!$B$3:$B$95,0)),"")</f>
        <v/>
      </c>
    </row>
    <row r="45">
      <c r="A45" s="14">
        <f>IFERROR(T(INDEX(Gateways_MANU!$A$2:$A$4949,MATCH($E45,Gateways_MANU!$B$2:$B$4949,0))),"")</f>
        <v/>
      </c>
      <c r="B45" s="14">
        <f>IFERROR(INDEX(Companies!$A$3:$A$101,MATCH(A45,Companies!$B$3:$B$101,0)),"")</f>
        <v/>
      </c>
      <c r="C45" s="83" t="inlineStr">
        <is>
          <t>e00fce6875e53cafc1e52a74</t>
        </is>
      </c>
      <c r="D45" s="14" t="inlineStr">
        <is>
          <t>P025AB029U6EVY9</t>
        </is>
      </c>
      <c r="E45" s="14" t="inlineStr">
        <is>
          <t>GW2203-025</t>
        </is>
      </c>
      <c r="F45" s="14" t="inlineStr">
        <is>
          <t>Shipping</t>
        </is>
      </c>
      <c r="G45" s="16" t="inlineStr">
        <is>
          <t>31-56-5941001-5</t>
        </is>
      </c>
      <c r="H45" s="2" t="n">
        <v>867648041685890</v>
      </c>
      <c r="I45" s="14" t="inlineStr">
        <is>
          <t>T523M</t>
        </is>
      </c>
      <c r="J45" s="79" t="inlineStr">
        <is>
          <t>19800</t>
        </is>
      </c>
      <c r="M45" s="14" t="inlineStr">
        <is>
          <t>DP</t>
        </is>
      </c>
      <c r="O45" s="14">
        <f>IFERROR(INDEX(Settings!$AC$3:$AC$95,MATCH(Gateways_DynamoDB!$F45,Settings!$B$3:$B$95,0)),"")</f>
        <v/>
      </c>
    </row>
    <row r="46">
      <c r="A46" s="14">
        <f>IFERROR(INDEX(Gateways_MANU!$A$2:$A$4949,MATCH($E46,Gateways_MANU!$B$2:$B$4949,0)),"")</f>
        <v/>
      </c>
      <c r="B46" s="14">
        <f>IFERROR(INDEX(Companies!$A$3:$A$101,MATCH(A46,Companies!$B$3:$B$101,0)),"")</f>
        <v/>
      </c>
      <c r="C46" s="83" t="inlineStr">
        <is>
          <t>e00fce68786b61b9a820c45e</t>
        </is>
      </c>
      <c r="D46" s="14" t="inlineStr">
        <is>
          <t>P025AB029SMFVU9</t>
        </is>
      </c>
      <c r="E46" s="74" t="inlineStr">
        <is>
          <t>GW2203-042</t>
        </is>
      </c>
      <c r="F46" s="74" t="inlineStr">
        <is>
          <t>Shipping</t>
        </is>
      </c>
      <c r="G46" s="9" t="inlineStr">
        <is>
          <t>83546985072-0</t>
        </is>
      </c>
      <c r="H46" s="2" t="n">
        <v>867648041694520</v>
      </c>
      <c r="I46" s="14" t="inlineStr">
        <is>
          <t>T523M</t>
        </is>
      </c>
      <c r="J46" s="79" t="n">
        <v>19800</v>
      </c>
      <c r="K46" s="77" t="n">
        <v>44880</v>
      </c>
      <c r="L46" s="14" t="inlineStr">
        <is>
          <t>R</t>
        </is>
      </c>
      <c r="M46" s="56" t="inlineStr">
        <is>
          <t>Viezo</t>
        </is>
      </c>
      <c r="N46" s="97" t="n">
        <v>44876</v>
      </c>
      <c r="O46" s="14">
        <f>IFERROR(INDEX(Settings!$AC$3:$AC$95,MATCH(Gateways_DynamoDB!$F46,Settings!$B$3:$B$95,0)),"")</f>
        <v/>
      </c>
    </row>
    <row r="47">
      <c r="A47" s="14" t="inlineStr">
        <is>
          <t>INTERFRACHT</t>
        </is>
      </c>
      <c r="B47" s="14">
        <f>IFERROR(INDEX(Companies!$A$3:$A$101,MATCH(A47,Companies!$B$3:$B$101,0)),"")</f>
        <v/>
      </c>
      <c r="C47" s="83" t="inlineStr">
        <is>
          <t>e00fce680cda89c75c634154</t>
        </is>
      </c>
      <c r="D47" s="14" t="inlineStr">
        <is>
          <t>P025AB0293NF6GL</t>
        </is>
      </c>
      <c r="E47" s="14" t="inlineStr">
        <is>
          <t>GW2203-045</t>
        </is>
      </c>
      <c r="F47" s="74" t="inlineStr">
        <is>
          <t>Shipping</t>
        </is>
      </c>
      <c r="G47" s="16" t="inlineStr">
        <is>
          <t>33-54-076-2130-9</t>
        </is>
      </c>
      <c r="H47" s="2" t="n">
        <v>867648041701119</v>
      </c>
      <c r="I47" s="14" t="inlineStr">
        <is>
          <t>T523M</t>
        </is>
      </c>
      <c r="J47" s="79" t="inlineStr">
        <is>
          <t>19800</t>
        </is>
      </c>
      <c r="O47" s="14">
        <f>IFERROR(INDEX(Settings!$AC$3:$AC$95,MATCH(Gateways_DynamoDB!$F47,Settings!$B$3:$B$95,0)),"")</f>
        <v/>
      </c>
    </row>
    <row r="48">
      <c r="A48" s="14">
        <f>IFERROR(INDEX(Gateways_MANU!$A$2:$A$4949,MATCH($E48,Gateways_MANU!$B$2:$B$4949,0)),"")</f>
        <v/>
      </c>
      <c r="B48" s="14">
        <f>IFERROR(INDEX(Companies!$A$3:$A$101,MATCH(A48,Companies!$B$3:$B$101,0)),"")</f>
        <v/>
      </c>
      <c r="C48" s="83" t="inlineStr">
        <is>
          <t>e00fce687bd193d992b01217</t>
        </is>
      </c>
      <c r="D48" s="14" t="inlineStr">
        <is>
          <t>P025AB028MTGFUY</t>
        </is>
      </c>
      <c r="E48" s="14" t="inlineStr">
        <is>
          <t>GW2203-050</t>
        </is>
      </c>
      <c r="F48" s="74" t="inlineStr">
        <is>
          <t>Shipping</t>
        </is>
      </c>
      <c r="G48" s="9" t="inlineStr">
        <is>
          <t>83546985012-6</t>
        </is>
      </c>
      <c r="H48" s="2" t="n">
        <v>867648041694405</v>
      </c>
      <c r="I48" s="14" t="inlineStr">
        <is>
          <t>T523M</t>
        </is>
      </c>
      <c r="J48" s="2" t="n">
        <v>19800</v>
      </c>
      <c r="K48" s="77" t="n">
        <v>44880</v>
      </c>
      <c r="L48" s="14" t="inlineStr">
        <is>
          <t>R</t>
        </is>
      </c>
      <c r="M48" s="56" t="inlineStr">
        <is>
          <t>Viezo</t>
        </is>
      </c>
      <c r="N48" s="97" t="n">
        <v>44876</v>
      </c>
      <c r="O48" s="14">
        <f>IFERROR(INDEX(Settings!$AC$3:$AC$95,MATCH(Gateways_DynamoDB!$F48,Settings!$B$3:$B$95,0)),"")</f>
        <v/>
      </c>
    </row>
    <row r="49">
      <c r="B49" s="14">
        <f>IFERROR(INDEX(Companies!$A$3:$A$101,MATCH(A49,Companies!$B$3:$B$101,0)),"")</f>
        <v/>
      </c>
      <c r="C49" s="83" t="inlineStr">
        <is>
          <t>e00fce689706b890d87e5e97</t>
        </is>
      </c>
      <c r="D49" s="26" t="inlineStr">
        <is>
          <t>P025AB035FHWLB3</t>
        </is>
      </c>
      <c r="E49" s="14" t="inlineStr">
        <is>
          <t>was_GW2206-001_</t>
        </is>
      </c>
      <c r="F49" s="14" t="inlineStr">
        <is>
          <t>Shipping</t>
        </is>
      </c>
      <c r="N49" s="97" t="inlineStr">
        <is>
          <t>warranty</t>
        </is>
      </c>
      <c r="O49" s="14">
        <f>IFERROR(INDEX(Settings!$AC$3:$AC$95,MATCH(Gateways_DynamoDB!$F49,Settings!$B$3:$B$95,0)),"")</f>
        <v/>
      </c>
    </row>
    <row r="50">
      <c r="A50" s="14" t="inlineStr">
        <is>
          <t>APPLUS</t>
        </is>
      </c>
      <c r="B50" s="14">
        <f>IFERROR(INDEX(Companies!$A$3:$A$101,MATCH(A50,Companies!$B$3:$B$101,0)),"")</f>
        <v/>
      </c>
      <c r="C50" s="83" t="inlineStr">
        <is>
          <t>e00fce688ab482b73d61a7e6</t>
        </is>
      </c>
      <c r="D50" s="26" t="inlineStr">
        <is>
          <t>P025AB035NP648S</t>
        </is>
      </c>
      <c r="E50" s="14" t="inlineStr">
        <is>
          <t>APPLUS-GW-2</t>
        </is>
      </c>
      <c r="F50" s="14" t="inlineStr">
        <is>
          <t>Shipping</t>
        </is>
      </c>
      <c r="N50" s="97" t="inlineStr">
        <is>
          <t>warranty</t>
        </is>
      </c>
      <c r="O50" s="14">
        <f>IFERROR(INDEX(Settings!$AC$3:$AC$95,MATCH(Gateways_DynamoDB!$F50,Settings!$B$3:$B$95,0)),"")</f>
        <v/>
      </c>
    </row>
    <row r="51">
      <c r="A51" s="14" t="inlineStr">
        <is>
          <t>VIEZO</t>
        </is>
      </c>
      <c r="B51" s="14">
        <f>IFERROR(INDEX(Companies!$A$3:$A$101,MATCH(A51,Companies!$B$3:$B$101,0)),"")</f>
        <v/>
      </c>
      <c r="C51" s="83" t="inlineStr">
        <is>
          <t>e00fce68c28aac92c07ae095</t>
        </is>
      </c>
      <c r="D51" s="26" t="inlineStr">
        <is>
          <t>P025AB035F5WP89</t>
        </is>
      </c>
      <c r="E51" s="14" t="inlineStr">
        <is>
          <t>Tracker-2</t>
        </is>
      </c>
      <c r="F51" s="14" t="inlineStr">
        <is>
          <t>Shipping</t>
        </is>
      </c>
      <c r="N51" s="97" t="inlineStr">
        <is>
          <t>warranty</t>
        </is>
      </c>
      <c r="O51" s="14">
        <f>IFERROR(INDEX(Settings!$AC$3:$AC$95,MATCH(Gateways_DynamoDB!$F51,Settings!$B$3:$B$95,0)),"")</f>
        <v/>
      </c>
    </row>
    <row r="52">
      <c r="B52" s="14">
        <f>IFERROR(INDEX(Companies!$A$3:$A$101,MATCH(A52,Companies!$B$3:$B$101,0)),"")</f>
        <v/>
      </c>
      <c r="C52" s="83" t="inlineStr">
        <is>
          <t>e00fce68c63230b048caa37a</t>
        </is>
      </c>
      <c r="D52" s="26" t="inlineStr">
        <is>
          <t>P025AB0345NWAMY</t>
        </is>
      </c>
      <c r="E52" s="14" t="inlineStr">
        <is>
          <t>was_GW2206-004</t>
        </is>
      </c>
      <c r="F52" s="14" t="inlineStr">
        <is>
          <t>Shipping</t>
        </is>
      </c>
      <c r="N52" s="97" t="inlineStr">
        <is>
          <t>warranty</t>
        </is>
      </c>
      <c r="O52" s="14">
        <f>IFERROR(INDEX(Settings!$AC$3:$AC$95,MATCH(Gateways_DynamoDB!$F52,Settings!$B$3:$B$95,0)),"")</f>
        <v/>
      </c>
    </row>
    <row r="53">
      <c r="B53" s="14">
        <f>IFERROR(INDEX(Companies!$A$3:$A$101,MATCH(A53,Companies!$B$3:$B$101,0)),"")</f>
        <v/>
      </c>
      <c r="C53" s="83" t="inlineStr">
        <is>
          <t>e00fce68b5d682f9b7a12d5b</t>
        </is>
      </c>
      <c r="D53" s="26" t="inlineStr">
        <is>
          <t>P025AB034GTSLW5</t>
        </is>
      </c>
      <c r="E53" s="14" t="inlineStr">
        <is>
          <t>was_GW2206-005_</t>
        </is>
      </c>
      <c r="F53" s="14" t="inlineStr">
        <is>
          <t>Shipping</t>
        </is>
      </c>
      <c r="N53" s="97" t="inlineStr">
        <is>
          <t>warranty</t>
        </is>
      </c>
      <c r="O53" s="14">
        <f>IFERROR(INDEX(Settings!$AC$3:$AC$95,MATCH(Gateways_DynamoDB!$F53,Settings!$B$3:$B$95,0)),"")</f>
        <v/>
      </c>
    </row>
    <row r="54">
      <c r="A54" s="14" t="inlineStr">
        <is>
          <t>VIEZO</t>
        </is>
      </c>
      <c r="B54" s="14">
        <f>IFERROR(INDEX(Companies!$A$3:$A$101,MATCH(A54,Companies!$B$3:$B$101,0)),"")</f>
        <v/>
      </c>
      <c r="C54" s="83" t="inlineStr">
        <is>
          <t>e00fce689eb91da65b25a6f9</t>
        </is>
      </c>
      <c r="D54" s="26" t="inlineStr">
        <is>
          <t>P025AB035FJL38Y</t>
        </is>
      </c>
      <c r="E54" s="14" t="inlineStr">
        <is>
          <t>Tracker-1</t>
        </is>
      </c>
      <c r="F54" s="14" t="inlineStr">
        <is>
          <t>Shipping</t>
        </is>
      </c>
      <c r="N54" s="97" t="inlineStr">
        <is>
          <t>warranty</t>
        </is>
      </c>
      <c r="O54" s="14">
        <f>IFERROR(INDEX(Settings!$AC$3:$AC$95,MATCH(Gateways_DynamoDB!$F54,Settings!$B$3:$B$95,0)),"")</f>
        <v/>
      </c>
    </row>
    <row r="55">
      <c r="B55" s="14">
        <f>IFERROR(INDEX(Companies!$A$3:$A$101,MATCH(A55,Companies!$B$3:$B$101,0)),"")</f>
        <v/>
      </c>
      <c r="C55" s="83" t="inlineStr">
        <is>
          <t>e00fce6832b5efa519fa57cb</t>
        </is>
      </c>
      <c r="D55" s="26" t="inlineStr">
        <is>
          <t>P025AB03586V2CK</t>
        </is>
      </c>
      <c r="E55" s="14" t="inlineStr">
        <is>
          <t>was_GW2206-TR02</t>
        </is>
      </c>
      <c r="F55" s="14" t="inlineStr">
        <is>
          <t>Shipping</t>
        </is>
      </c>
      <c r="N55" s="97" t="inlineStr">
        <is>
          <t>warranty</t>
        </is>
      </c>
      <c r="O55" s="14">
        <f>IFERROR(INDEX(Settings!$AC$3:$AC$95,MATCH(Gateways_DynamoDB!$F55,Settings!$B$3:$B$95,0)),"")</f>
        <v/>
      </c>
    </row>
    <row r="56">
      <c r="B56" s="14">
        <f>IFERROR(INDEX(Companies!$A$3:$A$101,MATCH(A56,Companies!$B$3:$B$101,0)),"")</f>
        <v/>
      </c>
      <c r="C56" s="83" t="inlineStr">
        <is>
          <t>e00fce68d0182cbe4079cd6d</t>
        </is>
      </c>
      <c r="D56" s="26" t="inlineStr">
        <is>
          <t>P025AB034NHM7L3</t>
        </is>
      </c>
      <c r="E56" s="14" t="inlineStr">
        <is>
          <t>was_GW2206-TR03</t>
        </is>
      </c>
      <c r="F56" s="14" t="inlineStr">
        <is>
          <t>Shipping</t>
        </is>
      </c>
      <c r="N56" s="97" t="inlineStr">
        <is>
          <t>warranty</t>
        </is>
      </c>
      <c r="O56" s="14">
        <f>IFERROR(INDEX(Settings!$AC$3:$AC$95,MATCH(Gateways_DynamoDB!$F56,Settings!$B$3:$B$95,0)),"")</f>
        <v/>
      </c>
    </row>
    <row r="57">
      <c r="B57" s="14">
        <f>IFERROR(INDEX(Companies!$A$3:$A$101,MATCH(A57,Companies!$B$3:$B$101,0)),"")</f>
        <v/>
      </c>
      <c r="C57" s="83" t="inlineStr">
        <is>
          <t>e00fce687032f367f93bfa8e</t>
        </is>
      </c>
      <c r="D57" s="26" t="inlineStr">
        <is>
          <t>P025AB034UE7D6X</t>
        </is>
      </c>
      <c r="E57" s="14" t="inlineStr">
        <is>
          <t>was_GW2206-TR04</t>
        </is>
      </c>
      <c r="F57" s="14" t="inlineStr">
        <is>
          <t>Shipping</t>
        </is>
      </c>
      <c r="N57" s="97" t="inlineStr">
        <is>
          <t>warranty</t>
        </is>
      </c>
      <c r="O57" s="14">
        <f>IFERROR(INDEX(Settings!$AC$3:$AC$95,MATCH(Gateways_DynamoDB!$F57,Settings!$B$3:$B$95,0)),"")</f>
        <v/>
      </c>
    </row>
    <row r="58">
      <c r="B58" s="14">
        <f>IFERROR(INDEX(Companies!$A$3:$A$101,MATCH(A58,Companies!$B$3:$B$101,0)),"")</f>
        <v/>
      </c>
      <c r="C58" s="83" t="inlineStr">
        <is>
          <t>e00fce684b774c93c5800e03</t>
        </is>
      </c>
      <c r="D58" s="26" t="inlineStr">
        <is>
          <t>P025AB035KVNYDE</t>
        </is>
      </c>
      <c r="E58" s="14" t="inlineStr">
        <is>
          <t>was_GW2206-TR05</t>
        </is>
      </c>
      <c r="F58" s="14" t="inlineStr">
        <is>
          <t>Shipping</t>
        </is>
      </c>
      <c r="N58" s="97" t="inlineStr">
        <is>
          <t>warranty</t>
        </is>
      </c>
      <c r="O58" s="14">
        <f>IFERROR(INDEX(Settings!$AC$3:$AC$95,MATCH(Gateways_DynamoDB!$F58,Settings!$B$3:$B$95,0)),"")</f>
        <v/>
      </c>
    </row>
    <row r="59">
      <c r="A59" s="14">
        <f>IFERROR(INDEX(Gateways_MANU!$A$2:$A$4949,MATCH($E59,Gateways_MANU!$B$2:$B$4949,0)),"")</f>
        <v/>
      </c>
      <c r="B59" s="14">
        <f>IFERROR(INDEX(Companies!$A$3:$A$101,MATCH(A59,Companies!$B$3:$B$101,0)),"")</f>
        <v/>
      </c>
      <c r="C59" s="83" t="inlineStr">
        <is>
          <t>e00fce689e1cd8ea2f18907a</t>
        </is>
      </c>
      <c r="D59" s="14" t="inlineStr">
        <is>
          <t>P032AB114CSR83X</t>
        </is>
      </c>
      <c r="E59" s="14" t="inlineStr">
        <is>
          <t>GW2206-TR01</t>
        </is>
      </c>
      <c r="F59" s="14" t="inlineStr">
        <is>
          <t>Shipping</t>
        </is>
      </c>
      <c r="H59" s="2" t="inlineStr">
        <is>
          <t>867648042183044</t>
        </is>
      </c>
      <c r="I59" s="14" t="inlineStr">
        <is>
          <t>T524M</t>
        </is>
      </c>
      <c r="J59" s="2" t="inlineStr">
        <is>
          <t>26400</t>
        </is>
      </c>
      <c r="O59" s="14">
        <f>IFERROR(INDEX(Settings!$AC$3:$AC$95,MATCH(Gateways_DynamoDB!$F59,Settings!$B$3:$B$95,0)),"")</f>
        <v/>
      </c>
    </row>
    <row r="60">
      <c r="A60" s="14" t="inlineStr">
        <is>
          <t>RSA</t>
        </is>
      </c>
      <c r="B60" s="14">
        <f>IFERROR(INDEX(Companies!$A$3:$A$101,MATCH(A60,Companies!$B$3:$B$101,0)),"")</f>
        <v/>
      </c>
      <c r="C60" s="83" t="inlineStr">
        <is>
          <t>e00fce6814320e9d7650b2fa</t>
        </is>
      </c>
      <c r="D60" s="14" t="inlineStr">
        <is>
          <t>P032AB114AL6E7K</t>
        </is>
      </c>
      <c r="E60" s="14" t="inlineStr">
        <is>
          <t>GW2206-TR04</t>
        </is>
      </c>
      <c r="F60" s="14" t="inlineStr">
        <is>
          <t>Shipping</t>
        </is>
      </c>
      <c r="H60" s="2" t="inlineStr">
        <is>
          <t>867648042180099</t>
        </is>
      </c>
      <c r="I60" s="14" t="inlineStr">
        <is>
          <t>T524M</t>
        </is>
      </c>
      <c r="J60" s="2" t="inlineStr">
        <is>
          <t>26400</t>
        </is>
      </c>
      <c r="O60" s="14">
        <f>IFERROR(INDEX(Settings!$AC$3:$AC$95,MATCH(Gateways_DynamoDB!$F60,Settings!$B$3:$B$95,0)),"")</f>
        <v/>
      </c>
    </row>
    <row r="61">
      <c r="A61" s="14" t="inlineStr">
        <is>
          <t>RAILRELEASE</t>
        </is>
      </c>
      <c r="B61" s="14">
        <f>IFERROR(INDEX(Companies!$A$3:$A$101,MATCH(A61,Companies!$B$3:$B$101,0)),"")</f>
        <v/>
      </c>
      <c r="C61" s="83" t="inlineStr">
        <is>
          <t>e00fce682370207d145f3661</t>
        </is>
      </c>
      <c r="D61" s="14" t="inlineStr">
        <is>
          <t>P025AB029PCFYNA</t>
        </is>
      </c>
      <c r="E61" s="14" t="inlineStr">
        <is>
          <t>GW2206-TR05</t>
        </is>
      </c>
      <c r="F61" s="14" t="inlineStr">
        <is>
          <t>Normal-2-6h</t>
        </is>
      </c>
      <c r="G61" s="9" t="inlineStr">
        <is>
          <t>37844576158-8</t>
        </is>
      </c>
      <c r="H61" s="2" t="inlineStr">
        <is>
          <t>867648041666775</t>
        </is>
      </c>
      <c r="I61" s="14" t="inlineStr">
        <is>
          <t>T523M</t>
        </is>
      </c>
      <c r="J61" s="2" t="inlineStr">
        <is>
          <t>26400</t>
        </is>
      </c>
      <c r="K61" s="77" t="n">
        <v>45064</v>
      </c>
      <c r="M61" s="14" t="inlineStr">
        <is>
          <t>VIEZO</t>
        </is>
      </c>
      <c r="O61" s="14">
        <f>IFERROR(INDEX(Settings!$AC$3:$AC$95,MATCH(Gateways_DynamoDB!$F61,Settings!$B$3:$B$95,0)),"")</f>
        <v/>
      </c>
    </row>
    <row r="62">
      <c r="A62" s="14">
        <f>IFERROR(INDEX(Gateways_MANU!$A$2:$A$4949,MATCH($E62,Gateways_MANU!$B$2:$B$4949,0)),"")</f>
        <v/>
      </c>
      <c r="B62" s="14">
        <f>IFERROR(INDEX(Companies!$A$3:$A$101,MATCH(A62,Companies!$B$3:$B$101,0)),"")</f>
        <v/>
      </c>
      <c r="C62" s="83" t="inlineStr">
        <is>
          <t>e00fce683701ef812295b170</t>
        </is>
      </c>
      <c r="E62" s="14" t="inlineStr">
        <is>
          <t>GW2203-001</t>
        </is>
      </c>
      <c r="F62" s="74" t="inlineStr">
        <is>
          <t>Slow-5-12h</t>
        </is>
      </c>
      <c r="G62" s="9" t="inlineStr">
        <is>
          <t>3780-3939-003-4</t>
        </is>
      </c>
      <c r="J62" s="2" t="n">
        <v>19800</v>
      </c>
      <c r="K62" s="77" t="n">
        <v>44888</v>
      </c>
      <c r="M62" s="14" t="inlineStr">
        <is>
          <t>SGL</t>
        </is>
      </c>
      <c r="N62" s="97" t="inlineStr">
        <is>
          <t>The operator has the device or its lost (they paid for it), but we dont monitor it on Ubidots anymore.</t>
        </is>
      </c>
      <c r="O62" s="14">
        <f>IFERROR(INDEX(Settings!$AC$3:$AC$95,MATCH(Gateways_DynamoDB!$F62,Settings!$B$3:$B$95,0)),"")</f>
        <v/>
      </c>
    </row>
    <row r="63">
      <c r="A63" s="14">
        <f>IFERROR(INDEX(Gateways_MANU!$A$2:$A$4949,MATCH($E63,Gateways_MANU!$B$2:$B$4949,0)),"")</f>
        <v/>
      </c>
      <c r="B63" s="14">
        <f>IFERROR(INDEX(Companies!$A$3:$A$101,MATCH(A63,Companies!$B$3:$B$101,0)),"")</f>
        <v/>
      </c>
      <c r="C63" s="83" t="inlineStr">
        <is>
          <t>e00fce6820e532f64cf53de4</t>
        </is>
      </c>
      <c r="D63" s="14" t="inlineStr">
        <is>
          <t>P025AB0298RHSA3</t>
        </is>
      </c>
      <c r="E63" s="14" t="inlineStr">
        <is>
          <t>GW2203-014</t>
        </is>
      </c>
      <c r="F63" s="14" t="inlineStr">
        <is>
          <t>Shipping</t>
        </is>
      </c>
      <c r="G63" s="9" t="inlineStr">
        <is>
          <t>R3505</t>
        </is>
      </c>
      <c r="K63" s="77" t="n">
        <v>45051</v>
      </c>
      <c r="N63" s="97" t="inlineStr">
        <is>
          <t>returned from Ferro dead</t>
        </is>
      </c>
      <c r="O63" s="14">
        <f>IFERROR(INDEX(Settings!$AC$3:$AC$95,MATCH(Gateways_DynamoDB!$F63,Settings!$B$3:$B$95,0)),"")</f>
        <v/>
      </c>
    </row>
    <row r="64">
      <c r="A64" s="14" t="inlineStr">
        <is>
          <t>VIEZO</t>
        </is>
      </c>
      <c r="B64" s="14">
        <f>IFERROR(INDEX(Companies!$A$3:$A$101,MATCH(A64,Companies!$B$3:$B$101,0)),"")</f>
        <v/>
      </c>
      <c r="C64" s="83" t="inlineStr">
        <is>
          <t>e00fce68b55279fdbf8fee3d</t>
        </is>
      </c>
      <c r="D64" s="14" t="inlineStr">
        <is>
          <t>P025AB02989NDE2</t>
        </is>
      </c>
      <c r="E64" s="14" t="inlineStr">
        <is>
          <t>Test-3</t>
        </is>
      </c>
      <c r="F64" s="14" t="inlineStr">
        <is>
          <t>Shipping</t>
        </is>
      </c>
      <c r="H64" s="2" t="n">
        <v>867648041694561</v>
      </c>
      <c r="I64" s="14" t="inlineStr">
        <is>
          <t>T523M</t>
        </is>
      </c>
      <c r="J64" s="2" t="n">
        <v>13200</v>
      </c>
      <c r="K64" s="77" t="n">
        <v>44664</v>
      </c>
      <c r="O64" s="14">
        <f>IFERROR(INDEX(Settings!$AC$3:$AC$95,MATCH(Gateways_DynamoDB!$F64,Settings!$B$3:$B$95,0)),"")</f>
        <v/>
      </c>
    </row>
    <row r="65">
      <c r="A65" s="14" t="inlineStr">
        <is>
          <t>Mercitalia</t>
        </is>
      </c>
      <c r="B65" s="14">
        <f>IFERROR(INDEX(Companies!$A$3:$A$101,MATCH(A65,Companies!$B$3:$B$101,0)),"")</f>
        <v/>
      </c>
      <c r="C65" s="83" t="inlineStr">
        <is>
          <t>e00fce68670dfcab5ed78b99</t>
        </is>
      </c>
      <c r="D65" s="14" t="inlineStr">
        <is>
          <t>P025AB029E69MYK</t>
        </is>
      </c>
      <c r="E65" s="14" t="inlineStr">
        <is>
          <t>GW2206-066</t>
        </is>
      </c>
      <c r="F65" s="14" t="inlineStr">
        <is>
          <t>Shipping</t>
        </is>
      </c>
      <c r="G65" s="9" t="inlineStr">
        <is>
          <t>31833936025-3</t>
        </is>
      </c>
      <c r="I65" s="14" t="inlineStr">
        <is>
          <t>T523M</t>
        </is>
      </c>
      <c r="J65" s="2">
        <f>6600*3</f>
        <v/>
      </c>
      <c r="K65" s="77" t="n">
        <v>44910</v>
      </c>
      <c r="L65" s="14" t="inlineStr">
        <is>
          <t>L</t>
        </is>
      </c>
      <c r="M65" s="14" t="inlineStr">
        <is>
          <t>Viezo</t>
        </is>
      </c>
      <c r="O65" s="14">
        <f>IFERROR(INDEX(Settings!$AC$3:$AC$95,MATCH(Gateways_DynamoDB!$F65,Settings!$B$3:$B$95,0)),"")</f>
        <v/>
      </c>
    </row>
    <row r="66">
      <c r="A66" s="14" t="inlineStr">
        <is>
          <t>TRANSWAGGON</t>
        </is>
      </c>
      <c r="B66" s="14">
        <f>IFERROR(INDEX(Companies!$A$3:$A$101,MATCH(A66,Companies!$B$3:$B$101,0)),"")</f>
        <v/>
      </c>
      <c r="C66" s="83" t="inlineStr">
        <is>
          <t>e00fce68116a5bc45b413f8e</t>
        </is>
      </c>
      <c r="D66" s="14" t="inlineStr">
        <is>
          <t>P025AB110JXF9EP</t>
        </is>
      </c>
      <c r="E66" s="14" t="inlineStr">
        <is>
          <t>GW2206-050</t>
        </is>
      </c>
      <c r="F66" s="14" t="inlineStr">
        <is>
          <t>Shipping</t>
        </is>
      </c>
      <c r="G66" s="9" t="inlineStr">
        <is>
          <t>33802742265-2</t>
        </is>
      </c>
      <c r="I66" s="14" t="inlineStr">
        <is>
          <t>T523M</t>
        </is>
      </c>
      <c r="J66" s="2">
        <f>6600*3</f>
        <v/>
      </c>
      <c r="O66" s="14">
        <f>IFERROR(INDEX(Settings!$AC$3:$AC$95,MATCH(Gateways_DynamoDB!$F66,Settings!$B$3:$B$95,0)),"")</f>
        <v/>
      </c>
    </row>
    <row r="67">
      <c r="B67" s="14">
        <f>IFERROR(INDEX(Companies!$A$3:$A$101,MATCH(A67,Companies!$B$3:$B$101,0)),"")</f>
        <v/>
      </c>
      <c r="C67" s="83" t="inlineStr">
        <is>
          <t>e00fce68b56eb2aa618d1e0b</t>
        </is>
      </c>
      <c r="D67" s="14" t="inlineStr">
        <is>
          <t>P025AB110GJELH7</t>
        </is>
      </c>
      <c r="E67" s="14" t="inlineStr">
        <is>
          <t>P025AB110GJELH7</t>
        </is>
      </c>
      <c r="F67" s="14" t="inlineStr">
        <is>
          <t>Shipping</t>
        </is>
      </c>
      <c r="I67" s="14" t="inlineStr">
        <is>
          <t>T523M</t>
        </is>
      </c>
      <c r="J67" s="2">
        <f>6600*3</f>
        <v/>
      </c>
      <c r="O67" s="14">
        <f>IFERROR(INDEX(Settings!$AC$3:$AC$95,MATCH(Gateways_DynamoDB!$F67,Settings!$B$3:$B$95,0)),"")</f>
        <v/>
      </c>
    </row>
    <row r="68">
      <c r="B68" s="14">
        <f>IFERROR(INDEX(Companies!$A$3:$A$101,MATCH(A68,Companies!$B$3:$B$101,0)),"")</f>
        <v/>
      </c>
      <c r="C68" s="83" t="inlineStr">
        <is>
          <t>e00fce68fc94cd4d900ab816</t>
        </is>
      </c>
      <c r="D68" s="14" t="inlineStr">
        <is>
          <t>P025AB029SPD9RG</t>
        </is>
      </c>
      <c r="E68" s="14" t="inlineStr">
        <is>
          <t>GW2206-087</t>
        </is>
      </c>
      <c r="F68" s="14" t="inlineStr">
        <is>
          <t>Shipping</t>
        </is>
      </c>
      <c r="I68" s="14" t="inlineStr">
        <is>
          <t>T523M</t>
        </is>
      </c>
      <c r="J68" s="2">
        <f>6600*3</f>
        <v/>
      </c>
      <c r="O68" s="14">
        <f>IFERROR(INDEX(Settings!$AC$3:$AC$95,MATCH(Gateways_DynamoDB!$F68,Settings!$B$3:$B$95,0)),"")</f>
        <v/>
      </c>
    </row>
    <row r="69">
      <c r="B69" s="14">
        <f>IFERROR(INDEX(Companies!$A$3:$A$101,MATCH(A69,Companies!$B$3:$B$101,0)),"")</f>
        <v/>
      </c>
      <c r="C69" s="83" t="inlineStr">
        <is>
          <t>e00fce68d3773411e416f2b5</t>
        </is>
      </c>
      <c r="D69" s="14" t="inlineStr">
        <is>
          <t>P025AB110PTH5C4</t>
        </is>
      </c>
      <c r="E69" s="14" t="inlineStr">
        <is>
          <t>P025AB110PTH5C4</t>
        </is>
      </c>
      <c r="F69" s="14" t="inlineStr">
        <is>
          <t>Shipping</t>
        </is>
      </c>
      <c r="I69" s="14" t="inlineStr">
        <is>
          <t>T523M</t>
        </is>
      </c>
      <c r="J69" s="2">
        <f>6600*3</f>
        <v/>
      </c>
      <c r="O69" s="14">
        <f>IFERROR(INDEX(Settings!$AC$3:$AC$95,MATCH(Gateways_DynamoDB!$F69,Settings!$B$3:$B$95,0)),"")</f>
        <v/>
      </c>
    </row>
    <row r="70">
      <c r="A70" s="14" t="inlineStr">
        <is>
          <t>Mercitalia</t>
        </is>
      </c>
      <c r="B70" s="14">
        <f>IFERROR(INDEX(Companies!$A$3:$A$101,MATCH(A70,Companies!$B$3:$B$101,0)),"")</f>
        <v/>
      </c>
      <c r="C70" s="83" t="inlineStr">
        <is>
          <t>e00fce68779843766268c97d</t>
        </is>
      </c>
      <c r="D70" s="14" t="inlineStr">
        <is>
          <t>P025AB110PDGV4K</t>
        </is>
      </c>
      <c r="E70" s="14" t="inlineStr">
        <is>
          <t>GW2206-069</t>
        </is>
      </c>
      <c r="F70" s="14" t="inlineStr">
        <is>
          <t>Shipping</t>
        </is>
      </c>
      <c r="G70" s="9" t="inlineStr">
        <is>
          <t>31835376007-3</t>
        </is>
      </c>
      <c r="I70" s="14" t="inlineStr">
        <is>
          <t>T523M</t>
        </is>
      </c>
      <c r="J70" s="2">
        <f>6600*3</f>
        <v/>
      </c>
      <c r="K70" s="77" t="n">
        <v>44910</v>
      </c>
      <c r="L70" s="14" t="inlineStr">
        <is>
          <t>L</t>
        </is>
      </c>
      <c r="M70" s="14" t="inlineStr">
        <is>
          <t>Viezo</t>
        </is>
      </c>
      <c r="O70" s="14">
        <f>IFERROR(INDEX(Settings!$AC$3:$AC$95,MATCH(Gateways_DynamoDB!$F70,Settings!$B$3:$B$95,0)),"")</f>
        <v/>
      </c>
    </row>
    <row r="71">
      <c r="A71" s="14" t="inlineStr">
        <is>
          <t>Mercitalia</t>
        </is>
      </c>
      <c r="B71" s="14">
        <f>IFERROR(INDEX(Companies!$A$3:$A$101,MATCH(A71,Companies!$B$3:$B$101,0)),"")</f>
        <v/>
      </c>
      <c r="C71" s="83" t="inlineStr">
        <is>
          <t>e00fce68f8a57578c994f15b</t>
        </is>
      </c>
      <c r="D71" s="14" t="inlineStr">
        <is>
          <t>P025AB1106BR9T5</t>
        </is>
      </c>
      <c r="E71" s="14" t="inlineStr">
        <is>
          <t>GW2206-095</t>
        </is>
      </c>
      <c r="F71" s="74" t="inlineStr">
        <is>
          <t>Shipping</t>
        </is>
      </c>
      <c r="G71" s="9" t="inlineStr">
        <is>
          <t>31833919338-1</t>
        </is>
      </c>
      <c r="I71" s="14" t="inlineStr">
        <is>
          <t>T523M</t>
        </is>
      </c>
      <c r="J71" s="2">
        <f>6600*3</f>
        <v/>
      </c>
      <c r="K71" s="77" t="n">
        <v>44910</v>
      </c>
      <c r="L71" s="14" t="inlineStr">
        <is>
          <t>L</t>
        </is>
      </c>
      <c r="M71" s="14" t="inlineStr">
        <is>
          <t>Viezo</t>
        </is>
      </c>
      <c r="O71" s="14">
        <f>IFERROR(INDEX(Settings!$AC$3:$AC$95,MATCH(Gateways_DynamoDB!$F71,Settings!$B$3:$B$95,0)),"")</f>
        <v/>
      </c>
    </row>
    <row r="72">
      <c r="A72" s="14" t="inlineStr">
        <is>
          <t>Mercitalia</t>
        </is>
      </c>
      <c r="B72" s="14">
        <f>IFERROR(INDEX(Companies!$A$3:$A$101,MATCH(A72,Companies!$B$3:$B$101,0)),"")</f>
        <v/>
      </c>
      <c r="C72" s="83" t="inlineStr">
        <is>
          <t>e00fce68510c880f254de238</t>
        </is>
      </c>
      <c r="D72" s="14" t="inlineStr">
        <is>
          <t>P025AB0292VNUJL</t>
        </is>
      </c>
      <c r="E72" s="14" t="inlineStr">
        <is>
          <t>GW2206-063</t>
        </is>
      </c>
      <c r="F72" s="14" t="inlineStr">
        <is>
          <t>Shipping</t>
        </is>
      </c>
      <c r="G72" s="9" t="inlineStr">
        <is>
          <t>31834575297-2</t>
        </is>
      </c>
      <c r="I72" s="14" t="inlineStr">
        <is>
          <t>T523M</t>
        </is>
      </c>
      <c r="J72" s="2">
        <f>6600*3</f>
        <v/>
      </c>
      <c r="K72" s="77" t="n">
        <v>44910</v>
      </c>
      <c r="L72" s="14" t="inlineStr">
        <is>
          <t>L</t>
        </is>
      </c>
      <c r="M72" s="14" t="inlineStr">
        <is>
          <t>Viezo</t>
        </is>
      </c>
      <c r="O72" s="14">
        <f>IFERROR(INDEX(Settings!$AC$3:$AC$95,MATCH(Gateways_DynamoDB!$F72,Settings!$B$3:$B$95,0)),"")</f>
        <v/>
      </c>
    </row>
    <row r="73">
      <c r="B73" s="14">
        <f>IFERROR(INDEX(Companies!$A$3:$A$101,MATCH(A73,Companies!$B$3:$B$101,0)),"")</f>
        <v/>
      </c>
      <c r="C73" s="83" t="inlineStr">
        <is>
          <t>e00fce68df24671b96eefe65</t>
        </is>
      </c>
      <c r="D73" s="14" t="inlineStr">
        <is>
          <t>P025AB1066LHUEK</t>
        </is>
      </c>
      <c r="E73" s="14" t="inlineStr">
        <is>
          <t>GW2206-040</t>
        </is>
      </c>
      <c r="F73" s="14" t="inlineStr">
        <is>
          <t>Shipping</t>
        </is>
      </c>
      <c r="I73" s="14" t="inlineStr">
        <is>
          <t>T523M</t>
        </is>
      </c>
      <c r="J73" s="2">
        <f>6600*3</f>
        <v/>
      </c>
      <c r="O73" s="14">
        <f>IFERROR(INDEX(Settings!$AC$3:$AC$95,MATCH(Gateways_DynamoDB!$F73,Settings!$B$3:$B$95,0)),"")</f>
        <v/>
      </c>
    </row>
    <row r="74">
      <c r="B74" s="14">
        <f>IFERROR(INDEX(Companies!$A$3:$A$101,MATCH(A74,Companies!$B$3:$B$101,0)),"")</f>
        <v/>
      </c>
      <c r="C74" s="83" t="inlineStr">
        <is>
          <t>e00fce685cc542efea0b5f7c</t>
        </is>
      </c>
      <c r="D74" s="14" t="inlineStr">
        <is>
          <t>P025AB110AJVHBY</t>
        </is>
      </c>
      <c r="E74" s="14" t="inlineStr">
        <is>
          <t>GW2206-041</t>
        </is>
      </c>
      <c r="F74" s="14" t="inlineStr">
        <is>
          <t>Shipping</t>
        </is>
      </c>
      <c r="I74" s="14" t="inlineStr">
        <is>
          <t>T523M</t>
        </is>
      </c>
      <c r="J74" s="2">
        <f>6600*3</f>
        <v/>
      </c>
      <c r="O74" s="14">
        <f>IFERROR(INDEX(Settings!$AC$3:$AC$95,MATCH(Gateways_DynamoDB!$F74,Settings!$B$3:$B$95,0)),"")</f>
        <v/>
      </c>
    </row>
    <row r="75">
      <c r="A75" s="14" t="inlineStr">
        <is>
          <t>Pacific</t>
        </is>
      </c>
      <c r="B75" s="14">
        <f>IFERROR(INDEX(Companies!$A$3:$A$101,MATCH(A75,Companies!$B$3:$B$101,0)),"")</f>
        <v/>
      </c>
      <c r="C75" s="83" t="inlineStr">
        <is>
          <t>e00fce680ac4ea579668e96e</t>
        </is>
      </c>
      <c r="D75" s="14" t="inlineStr">
        <is>
          <t>P032AB1148LU65B</t>
        </is>
      </c>
      <c r="E75" s="14" t="inlineStr">
        <is>
          <t>GW2203-028</t>
        </is>
      </c>
      <c r="F75" s="14" t="inlineStr">
        <is>
          <t>Shipping</t>
        </is>
      </c>
      <c r="G75" s="9" t="inlineStr">
        <is>
          <t>95240733002-8</t>
        </is>
      </c>
      <c r="H75" s="2" t="inlineStr">
        <is>
          <t>867648042183069</t>
        </is>
      </c>
      <c r="I75" s="14" t="inlineStr">
        <is>
          <t>T524M</t>
        </is>
      </c>
      <c r="J75" s="2" t="inlineStr">
        <is>
          <t>26400</t>
        </is>
      </c>
      <c r="N75" s="97" t="inlineStr">
        <is>
          <t>Replaced with GW2202-005 on 2022-02-13</t>
        </is>
      </c>
      <c r="O75" s="14">
        <f>IFERROR(INDEX(Settings!$AC$3:$AC$95,MATCH(Gateways_DynamoDB!$F75,Settings!$B$3:$B$95,0)),"")</f>
        <v/>
      </c>
    </row>
    <row r="76">
      <c r="A76" s="14" t="inlineStr">
        <is>
          <t>Pacific</t>
        </is>
      </c>
      <c r="B76" s="14">
        <f>IFERROR(INDEX(Companies!$A$3:$A$101,MATCH(A76,Companies!$B$3:$B$101,0)),"")</f>
        <v/>
      </c>
      <c r="C76" s="83" t="inlineStr">
        <is>
          <t>e00fce68808a510f99233fdf</t>
        </is>
      </c>
      <c r="D76" s="14" t="inlineStr">
        <is>
          <t>P032AB114MSU34Y</t>
        </is>
      </c>
      <c r="E76" s="14" t="inlineStr">
        <is>
          <t>GW2203-033</t>
        </is>
      </c>
      <c r="F76" s="14" t="inlineStr">
        <is>
          <t>Shipping</t>
        </is>
      </c>
      <c r="G76" s="9" t="inlineStr">
        <is>
          <t>95240733002-8</t>
        </is>
      </c>
      <c r="H76" s="2" t="inlineStr">
        <is>
          <t>867648042180149</t>
        </is>
      </c>
      <c r="I76" s="14" t="inlineStr">
        <is>
          <t>T524M</t>
        </is>
      </c>
      <c r="J76" s="2" t="inlineStr">
        <is>
          <t>26400</t>
        </is>
      </c>
      <c r="O76" s="14">
        <f>IFERROR(INDEX(Settings!$AC$3:$AC$95,MATCH(Gateways_DynamoDB!$F76,Settings!$B$3:$B$95,0)),"")</f>
        <v/>
      </c>
    </row>
    <row r="77">
      <c r="A77" s="14">
        <f>IFERROR(INDEX(Gateways_MANU!$A$2:$A$4949,MATCH($E77,Gateways_MANU!$B$2:$B$4949,0)),"")</f>
        <v/>
      </c>
      <c r="B77" s="14">
        <f>IFERROR(INDEX(Companies!$A$3:$A$101,MATCH(A77,Companies!$B$3:$B$101,0)),"")</f>
        <v/>
      </c>
      <c r="C77" s="83" t="inlineStr">
        <is>
          <t>e00fce6889f8ce3392d1b14d</t>
        </is>
      </c>
      <c r="D77" s="14" t="inlineStr">
        <is>
          <t>P025AB029Y2E58M</t>
        </is>
      </c>
      <c r="E77" s="14" t="inlineStr">
        <is>
          <t>GW2206-043</t>
        </is>
      </c>
      <c r="F77" s="14" t="inlineStr">
        <is>
          <t>Shipping</t>
        </is>
      </c>
      <c r="G77" s="9" t="inlineStr">
        <is>
          <t>83546985079-5</t>
        </is>
      </c>
      <c r="I77" s="14" t="inlineStr">
        <is>
          <t>T523M</t>
        </is>
      </c>
      <c r="J77" s="2">
        <f>6600*3</f>
        <v/>
      </c>
      <c r="K77" s="77" t="n">
        <v>44880</v>
      </c>
      <c r="L77" s="14" t="inlineStr">
        <is>
          <t>L</t>
        </is>
      </c>
      <c r="M77" s="56" t="inlineStr">
        <is>
          <t>Viezo</t>
        </is>
      </c>
      <c r="N77" s="97" t="n">
        <v>44876</v>
      </c>
      <c r="O77" s="14">
        <f>IFERROR(INDEX(Settings!$AC$3:$AC$95,MATCH(Gateways_DynamoDB!$F77,Settings!$B$3:$B$95,0)),"")</f>
        <v/>
      </c>
    </row>
    <row r="78">
      <c r="A78" s="14" t="inlineStr">
        <is>
          <t>TRANSWAGGON</t>
        </is>
      </c>
      <c r="B78" s="14">
        <f>IFERROR(INDEX(Companies!$A$3:$A$101,MATCH(A78,Companies!$B$3:$B$101,0)),"")</f>
        <v/>
      </c>
      <c r="C78" s="83" t="inlineStr">
        <is>
          <t>e00fce68dbb6d12c7e05f029</t>
        </is>
      </c>
      <c r="D78" s="14" t="inlineStr">
        <is>
          <t>P025AB034S6KPEY</t>
        </is>
      </c>
      <c r="E78" s="14" t="inlineStr">
        <is>
          <t>GW2206-052</t>
        </is>
      </c>
      <c r="F78" s="14" t="inlineStr">
        <is>
          <t>Shipping</t>
        </is>
      </c>
      <c r="G78" s="9" t="inlineStr">
        <is>
          <t>33802742527-5</t>
        </is>
      </c>
      <c r="I78" s="14" t="inlineStr">
        <is>
          <t>T523M</t>
        </is>
      </c>
      <c r="J78" s="2">
        <f>6600*3</f>
        <v/>
      </c>
      <c r="O78" s="14">
        <f>IFERROR(INDEX(Settings!$AC$3:$AC$95,MATCH(Gateways_DynamoDB!$F78,Settings!$B$3:$B$95,0)),"")</f>
        <v/>
      </c>
    </row>
    <row r="79">
      <c r="A79" s="14">
        <f>IFERROR(INDEX(Gateways_MANU!$A$2:$A$4949,MATCH($E79,Gateways_MANU!$B$2:$B$4949,0)),"")</f>
        <v/>
      </c>
      <c r="B79" s="14">
        <f>IFERROR(INDEX(Companies!$A$3:$A$101,MATCH(A79,Companies!$B$3:$B$101,0)),"")</f>
        <v/>
      </c>
      <c r="C79" s="83" t="inlineStr">
        <is>
          <t>e00fce68971081f13480afcc</t>
        </is>
      </c>
      <c r="D79" s="14" t="inlineStr">
        <is>
          <t>P025AB1106FLXD2</t>
        </is>
      </c>
      <c r="E79" s="14" t="inlineStr">
        <is>
          <t>GW2203-036</t>
        </is>
      </c>
      <c r="F79" s="74" t="inlineStr">
        <is>
          <t>Shipping</t>
        </is>
      </c>
      <c r="G79" s="9" t="inlineStr">
        <is>
          <t>83546985030-8</t>
        </is>
      </c>
      <c r="I79" s="14" t="inlineStr">
        <is>
          <t>T523M</t>
        </is>
      </c>
      <c r="J79" s="2">
        <f>6600*3</f>
        <v/>
      </c>
      <c r="K79" s="77" t="n">
        <v>44880</v>
      </c>
      <c r="L79" s="14" t="inlineStr">
        <is>
          <t>L</t>
        </is>
      </c>
      <c r="M79" s="56" t="inlineStr">
        <is>
          <t>Viezo</t>
        </is>
      </c>
      <c r="N79" s="97" t="n">
        <v>44876</v>
      </c>
      <c r="O79" s="14">
        <f>IFERROR(INDEX(Settings!$AC$3:$AC$95,MATCH(Gateways_DynamoDB!$F79,Settings!$B$3:$B$95,0)),"")</f>
        <v/>
      </c>
    </row>
    <row r="80">
      <c r="A80" s="14" t="inlineStr">
        <is>
          <t>VIEZO</t>
        </is>
      </c>
      <c r="B80" s="14">
        <f>IFERROR(INDEX(Companies!$A$3:$A$101,MATCH(A80,Companies!$B$3:$B$101,0)),"")</f>
        <v/>
      </c>
      <c r="C80" s="83" t="inlineStr">
        <is>
          <t>e00fce68172b579d69da4c4c</t>
        </is>
      </c>
      <c r="D80" s="14" t="inlineStr">
        <is>
          <t>P025AB0282NTYW5</t>
        </is>
      </c>
      <c r="F80" s="14" t="inlineStr">
        <is>
          <t>Shipping</t>
        </is>
      </c>
      <c r="H80" s="2" t="n">
        <v>867648041673094</v>
      </c>
      <c r="I80" s="14" t="inlineStr">
        <is>
          <t>T523M</t>
        </is>
      </c>
      <c r="J80" s="2" t="inlineStr">
        <is>
          <t>19800</t>
        </is>
      </c>
      <c r="O80" s="14">
        <f>IFERROR(INDEX(Settings!$AC$3:$AC$95,MATCH(Gateways_DynamoDB!$F80,Settings!$B$3:$B$95,0)),"")</f>
        <v/>
      </c>
    </row>
    <row r="81">
      <c r="A81" t="inlineStr">
        <is>
          <t>RIOTINTO</t>
        </is>
      </c>
      <c r="B81" s="14">
        <f>IFERROR(INDEX(Companies!$A$3:$A$101,MATCH(A81,Companies!$B$3:$B$101,0)),"")</f>
        <v/>
      </c>
      <c r="C81" s="83" t="inlineStr">
        <is>
          <t>e00fce682614ee3e8cb72bf7</t>
        </is>
      </c>
      <c r="D81" s="14" t="inlineStr">
        <is>
          <t>P025AB0298J247S</t>
        </is>
      </c>
      <c r="E81" s="14" t="inlineStr">
        <is>
          <t>GW2203-030</t>
        </is>
      </c>
      <c r="F81" s="14" t="inlineStr">
        <is>
          <t>Shipping</t>
        </is>
      </c>
      <c r="G81" s="9" t="inlineStr">
        <is>
          <t>BAH101</t>
        </is>
      </c>
      <c r="K81" s="77" t="n">
        <v>45119</v>
      </c>
      <c r="O81" s="14">
        <f>IFERROR(INDEX(Settings!$AC$3:$AC$95,MATCH(Gateways_DynamoDB!$F81,Settings!$B$3:$B$95,0)),"")</f>
        <v/>
      </c>
    </row>
    <row r="82">
      <c r="B82" s="14">
        <f>IFERROR(INDEX(Companies!$A$3:$A$101,MATCH(A82,Companies!$B$3:$B$101,0)),"")</f>
        <v/>
      </c>
      <c r="C82" s="83" t="inlineStr">
        <is>
          <t>e00fce68da2005332fa66220</t>
        </is>
      </c>
      <c r="E82" s="14" t="inlineStr">
        <is>
          <t>was_GW2203-027</t>
        </is>
      </c>
      <c r="F82" s="14" t="inlineStr">
        <is>
          <t>Shipping</t>
        </is>
      </c>
      <c r="O82" s="14">
        <f>IFERROR(INDEX(Settings!$AC$3:$AC$95,MATCH(Gateways_DynamoDB!$F82,Settings!$B$3:$B$95,0)),"")</f>
        <v/>
      </c>
    </row>
    <row r="83">
      <c r="A83" s="14" t="inlineStr">
        <is>
          <t>TANKWAGON</t>
        </is>
      </c>
      <c r="B83" s="14">
        <f>IFERROR(INDEX(Companies!$A$3:$A$101,MATCH(A83,Companies!$B$3:$B$101,0)),"")</f>
        <v/>
      </c>
      <c r="C83" s="83" t="inlineStr">
        <is>
          <t>e00fce68f5d0919a5e85b0e1</t>
        </is>
      </c>
      <c r="D83" s="14" t="inlineStr">
        <is>
          <t>P025AB029RLH9G2</t>
        </is>
      </c>
      <c r="E83" s="110" t="inlineStr">
        <is>
          <t>GW2206-002</t>
        </is>
      </c>
      <c r="F83" s="14" t="inlineStr">
        <is>
          <t>Slow-5-12h</t>
        </is>
      </c>
      <c r="G83" s="9" t="inlineStr">
        <is>
          <t>33877916641-6</t>
        </is>
      </c>
      <c r="H83" s="2" t="inlineStr">
        <is>
          <t>867648041704816</t>
        </is>
      </c>
      <c r="I83" s="14" t="inlineStr">
        <is>
          <t>T523M</t>
        </is>
      </c>
      <c r="O83" s="14">
        <f>IFERROR(INDEX(Settings!$AC$3:$AC$95,MATCH(Gateways_DynamoDB!$F83,Settings!$B$3:$B$95,0)),"")</f>
        <v/>
      </c>
    </row>
    <row r="84">
      <c r="A84" s="14">
        <f>IFERROR(INDEX(Gateways_MANU!$A$2:$A$4949,MATCH($E84,Gateways_MANU!$B$2:$B$4949,0)),"")</f>
        <v/>
      </c>
      <c r="B84" s="14">
        <f>IFERROR(INDEX(Companies!$A$3:$A$101,MATCH(A84,Companies!$B$3:$B$101,0)),"")</f>
        <v/>
      </c>
      <c r="C84" s="83" t="inlineStr">
        <is>
          <t>e00fce68c1bb0a51348cc912</t>
        </is>
      </c>
      <c r="D84" s="14" t="inlineStr">
        <is>
          <t>P032AB114HV95WR</t>
        </is>
      </c>
      <c r="E84" s="14" t="inlineStr">
        <is>
          <t>GW2206-001</t>
        </is>
      </c>
      <c r="F84" s="74" t="inlineStr">
        <is>
          <t>Shipping</t>
        </is>
      </c>
      <c r="G84" s="9" t="inlineStr">
        <is>
          <t>83546985065-4</t>
        </is>
      </c>
      <c r="H84" s="2" t="inlineStr">
        <is>
          <t>867648042183010</t>
        </is>
      </c>
      <c r="I84" s="14" t="inlineStr">
        <is>
          <t>T524M</t>
        </is>
      </c>
      <c r="J84" s="2" t="n">
        <v>19800</v>
      </c>
      <c r="K84" s="77" t="n">
        <v>44880</v>
      </c>
      <c r="L84" s="14" t="inlineStr">
        <is>
          <t>R</t>
        </is>
      </c>
      <c r="M84" s="56" t="inlineStr">
        <is>
          <t>Viezo</t>
        </is>
      </c>
      <c r="N84" s="97" t="n">
        <v>44876</v>
      </c>
      <c r="O84" s="14">
        <f>IFERROR(INDEX(Settings!$AC$3:$AC$95,MATCH(Gateways_DynamoDB!$F84,Settings!$B$3:$B$95,0)),"")</f>
        <v/>
      </c>
    </row>
    <row r="85">
      <c r="A85" s="14">
        <f>IFERROR(INDEX(Gateways_MANU!$A$2:$A$4949,MATCH($E85,Gateways_MANU!$B$2:$B$4949,0)),"")</f>
        <v/>
      </c>
      <c r="B85" s="14">
        <f>IFERROR(INDEX(Companies!$A$3:$A$101,MATCH(A85,Companies!$B$3:$B$101,0)),"")</f>
        <v/>
      </c>
      <c r="C85" s="83" t="inlineStr">
        <is>
          <t>e00fce6820a0d2c60d668f99</t>
        </is>
      </c>
      <c r="D85" s="14" t="inlineStr">
        <is>
          <t>P025AB029AE6TFG</t>
        </is>
      </c>
      <c r="E85" s="14" t="inlineStr">
        <is>
          <t>GW2206-003</t>
        </is>
      </c>
      <c r="F85" s="14" t="inlineStr">
        <is>
          <t>Shipping</t>
        </is>
      </c>
      <c r="G85" s="9" t="inlineStr">
        <is>
          <t>83546985015-9</t>
        </is>
      </c>
      <c r="H85" s="2" t="n">
        <v>867648041672476</v>
      </c>
      <c r="J85" s="2">
        <f>3*6600</f>
        <v/>
      </c>
      <c r="K85" s="77" t="n">
        <v>44880</v>
      </c>
      <c r="L85" s="14" t="inlineStr">
        <is>
          <t>L</t>
        </is>
      </c>
      <c r="M85" s="56" t="inlineStr">
        <is>
          <t>Viezo</t>
        </is>
      </c>
      <c r="N85" s="97" t="n">
        <v>44876</v>
      </c>
      <c r="O85" s="14">
        <f>IFERROR(INDEX(Settings!$AC$3:$AC$95,MATCH(Gateways_DynamoDB!$F85,Settings!$B$3:$B$95,0)),"")</f>
        <v/>
      </c>
    </row>
    <row r="86">
      <c r="A86" s="14" t="inlineStr">
        <is>
          <t>VIEZO</t>
        </is>
      </c>
      <c r="B86" s="14">
        <f>IFERROR(INDEX(Companies!$A$3:$A$101,MATCH(A86,Companies!$B$3:$B$101,0)),"")</f>
        <v/>
      </c>
      <c r="C86" s="83" t="inlineStr">
        <is>
          <t>e00fce68df3207a81bb5ce80</t>
        </is>
      </c>
      <c r="D86" s="14" t="inlineStr">
        <is>
          <t>P032AB1148RWV5F</t>
        </is>
      </c>
      <c r="E86" s="14" t="inlineStr">
        <is>
          <t>GW_MB_DEV</t>
        </is>
      </c>
      <c r="F86" s="14" t="inlineStr">
        <is>
          <t>Shipping</t>
        </is>
      </c>
      <c r="G86" s="9" t="inlineStr">
        <is>
          <t>WG_MB</t>
        </is>
      </c>
      <c r="H86" s="2" t="inlineStr">
        <is>
          <t>867648042180172</t>
        </is>
      </c>
      <c r="I86" s="14" t="inlineStr">
        <is>
          <t>T524M</t>
        </is>
      </c>
      <c r="O86" s="14">
        <f>IFERROR(INDEX(Settings!$AC$3:$AC$95,MATCH(Gateways_DynamoDB!$F86,Settings!$B$3:$B$95,0)),"")</f>
        <v/>
      </c>
    </row>
    <row r="87">
      <c r="A87" t="inlineStr">
        <is>
          <t>APPLUS</t>
        </is>
      </c>
      <c r="B87" s="14" t="inlineStr">
        <is>
          <t>63f8c704bdabec000be0af78</t>
        </is>
      </c>
      <c r="C87" s="83" t="inlineStr">
        <is>
          <t>e00fce686035cf92d6fea649</t>
        </is>
      </c>
      <c r="D87" s="14" t="inlineStr">
        <is>
          <t>P025AB035TG7CXU</t>
        </is>
      </c>
      <c r="E87" s="14" t="inlineStr">
        <is>
          <t>APPLUS-GW-1</t>
        </is>
      </c>
      <c r="F87" s="14" t="inlineStr">
        <is>
          <t>Shipping</t>
        </is>
      </c>
      <c r="I87" s="14" t="inlineStr">
        <is>
          <t>T523M</t>
        </is>
      </c>
      <c r="K87" s="80" t="n">
        <v>44983</v>
      </c>
      <c r="O87" s="14">
        <f>IFERROR(INDEX(Settings!$AC$3:$AC$95,MATCH(Gateways_DynamoDB!$F87,Settings!$B$3:$B$95,0)),"")</f>
        <v/>
      </c>
    </row>
    <row r="88">
      <c r="A88" s="14" t="inlineStr">
        <is>
          <t>RSA</t>
        </is>
      </c>
      <c r="B88" s="14">
        <f>IFERROR(INDEX(Companies!$A$3:$A$101,MATCH(A88,Companies!$B$3:$B$101,0)),"")</f>
        <v/>
      </c>
      <c r="C88" s="83" t="inlineStr">
        <is>
          <t>e00fce68a7ae0421ed73d199</t>
        </is>
      </c>
      <c r="D88" s="14" t="inlineStr">
        <is>
          <t>P025AB0299GV8LR</t>
        </is>
      </c>
      <c r="E88" s="14" t="inlineStr">
        <is>
          <t>GW2203-011</t>
        </is>
      </c>
      <c r="F88" s="14" t="inlineStr">
        <is>
          <t>Shipping</t>
        </is>
      </c>
      <c r="H88" s="2" t="inlineStr">
        <is>
          <t>867648041680529</t>
        </is>
      </c>
      <c r="I88" s="14" t="inlineStr">
        <is>
          <t>T523M</t>
        </is>
      </c>
      <c r="J88" s="2" t="inlineStr">
        <is>
          <t>26400</t>
        </is>
      </c>
      <c r="O88" s="14">
        <f>IFERROR(INDEX(Settings!$AC$3:$AC$95,MATCH(Gateways_DynamoDB!$F88,Settings!$B$3:$B$95,0)),"")</f>
        <v/>
      </c>
    </row>
    <row r="89">
      <c r="A89" s="14">
        <f>IFERROR(INDEX(Gateways_MANU!$A$2:$A$4949,MATCH($E89,Gateways_MANU!$B$2:$B$4949,0)),"")</f>
        <v/>
      </c>
      <c r="B89" s="14">
        <f>IFERROR(INDEX(Companies!$A$3:$A$101,MATCH(A89,Companies!$B$3:$B$101,0)),"")</f>
        <v/>
      </c>
      <c r="C89" s="83" t="inlineStr">
        <is>
          <t>e00fce686b6f7c54a078f5c0</t>
        </is>
      </c>
      <c r="E89" s="14" t="inlineStr">
        <is>
          <t>GW-AK1-1</t>
        </is>
      </c>
      <c r="F89" s="14" t="inlineStr">
        <is>
          <t>Shipping</t>
        </is>
      </c>
      <c r="I89" s="14" t="inlineStr">
        <is>
          <t>T523M</t>
        </is>
      </c>
      <c r="N89" s="97" t="inlineStr">
        <is>
          <t>LTG-LINK</t>
        </is>
      </c>
      <c r="O89" s="14">
        <f>IFERROR(INDEX(Settings!$AC$3:$AC$95,MATCH(Gateways_DynamoDB!$F89,Settings!$B$3:$B$95,0)),"")</f>
        <v/>
      </c>
    </row>
    <row r="90">
      <c r="A90" s="14">
        <f>IFERROR(INDEX(Gateways_MANU!$A$2:$A$4949,MATCH($E90,Gateways_MANU!$B$2:$B$4949,0)),"")</f>
        <v/>
      </c>
      <c r="B90" s="14">
        <f>IFERROR(INDEX(Companies!$A$3:$A$101,MATCH(A90,Companies!$B$3:$B$101,0)),"")</f>
        <v/>
      </c>
      <c r="C90" s="83" t="inlineStr">
        <is>
          <t>e00fce68e8d7a1b35a2196dc</t>
        </is>
      </c>
      <c r="D90" s="14" t="inlineStr">
        <is>
          <t>P025AB02984BWPV</t>
        </is>
      </c>
      <c r="E90" s="14" t="inlineStr">
        <is>
          <t>GW2206-090</t>
        </is>
      </c>
      <c r="F90" s="74" t="inlineStr">
        <is>
          <t>Shipping</t>
        </is>
      </c>
      <c r="G90" s="9" t="inlineStr">
        <is>
          <t>83546985084-5</t>
        </is>
      </c>
      <c r="H90" s="2" t="inlineStr">
        <is>
          <t>867648041688605</t>
        </is>
      </c>
      <c r="I90" s="14" t="inlineStr">
        <is>
          <t>T523M</t>
        </is>
      </c>
      <c r="J90" s="2" t="n">
        <v>19800</v>
      </c>
      <c r="K90" s="77" t="n">
        <v>44880</v>
      </c>
      <c r="L90" s="14" t="inlineStr">
        <is>
          <t>L</t>
        </is>
      </c>
      <c r="M90" s="56" t="inlineStr">
        <is>
          <t>Viezo</t>
        </is>
      </c>
      <c r="N90" s="97" t="n">
        <v>44876</v>
      </c>
      <c r="O90" s="14">
        <f>IFERROR(INDEX(Settings!$AC$3:$AC$95,MATCH(Gateways_DynamoDB!$F90,Settings!$B$3:$B$95,0)),"")</f>
        <v/>
      </c>
    </row>
    <row r="91">
      <c r="A91" s="14">
        <f>IFERROR(INDEX(Gateways_MANU!$A$2:$A$4949,MATCH($E91,Gateways_MANU!$B$2:$B$4949,0)),"")</f>
        <v/>
      </c>
      <c r="B91" s="14">
        <f>IFERROR(INDEX(Companies!$A$3:$A$101,MATCH(A91,Companies!$B$3:$B$101,0)),"")</f>
        <v/>
      </c>
      <c r="C91" s="83" t="inlineStr">
        <is>
          <t>e00fce680c2f23ac7f52de1d</t>
        </is>
      </c>
      <c r="D91" s="14" t="inlineStr">
        <is>
          <t>P025AB029SMFAUR</t>
        </is>
      </c>
      <c r="E91" s="14" t="inlineStr">
        <is>
          <t>Office-DEV-SOM-1</t>
        </is>
      </c>
      <c r="F91" s="14" t="inlineStr">
        <is>
          <t>Shipping</t>
        </is>
      </c>
      <c r="H91" s="2" t="inlineStr">
        <is>
          <t>867648041685304</t>
        </is>
      </c>
      <c r="I91" s="14" t="inlineStr">
        <is>
          <t>T523M</t>
        </is>
      </c>
      <c r="O91" s="14">
        <f>IFERROR(INDEX(Settings!$AC$3:$AC$95,MATCH(Gateways_DynamoDB!$F91,Settings!$B$3:$B$95,0)),"")</f>
        <v/>
      </c>
    </row>
    <row r="92">
      <c r="A92" s="14" t="inlineStr">
        <is>
          <t>FERTAGUS</t>
        </is>
      </c>
      <c r="B92" s="14">
        <f>IFERROR(INDEX(Companies!$A$3:$A$101,MATCH(A92,Companies!$B$3:$B$101,0)),"")</f>
        <v/>
      </c>
      <c r="C92" s="83" t="inlineStr">
        <is>
          <t>e00fce68a35fbd58b96dc1c7</t>
        </is>
      </c>
      <c r="D92" s="14" t="inlineStr">
        <is>
          <t>P032AB114FC6K9Y</t>
        </is>
      </c>
      <c r="E92" s="14" t="inlineStr">
        <is>
          <t>GW2206-005</t>
        </is>
      </c>
      <c r="F92" s="14" t="inlineStr">
        <is>
          <t>Shipping</t>
        </is>
      </c>
      <c r="G92" s="9" t="inlineStr">
        <is>
          <t>M3505</t>
        </is>
      </c>
      <c r="H92" s="2" t="inlineStr">
        <is>
          <t>867648042214351</t>
        </is>
      </c>
      <c r="I92" s="14" t="inlineStr">
        <is>
          <t>T524M</t>
        </is>
      </c>
      <c r="K92" s="77" t="n">
        <v>45051</v>
      </c>
      <c r="N92" s="97" t="inlineStr">
        <is>
          <t>was PR_GW_DEV_RB</t>
        </is>
      </c>
      <c r="O92" s="14">
        <f>IFERROR(INDEX(Settings!$AC$3:$AC$95,MATCH(Gateways_DynamoDB!$F92,Settings!$B$3:$B$95,0)),"")</f>
        <v/>
      </c>
    </row>
    <row r="93">
      <c r="A93" s="14">
        <f>IFERROR(INDEX(Gateways_MANU!$A$2:$A$4949,MATCH($E93,Gateways_MANU!$B$2:$B$4949,0)),"")</f>
        <v/>
      </c>
      <c r="B93" s="14">
        <f>IFERROR(INDEX(Companies!$A$3:$A$101,MATCH(A93,Companies!$B$3:$B$101,0)),"")</f>
        <v/>
      </c>
      <c r="C93" s="83" t="inlineStr">
        <is>
          <t>e00fce684ba75e3379f1497f</t>
        </is>
      </c>
      <c r="D93" s="14" t="inlineStr">
        <is>
          <t>P032AD227EGFA73</t>
        </is>
      </c>
      <c r="E93" s="14" t="inlineStr">
        <is>
          <t>DD-DEV-5_SOM_REPLACED</t>
        </is>
      </c>
      <c r="F93" s="14" t="inlineStr">
        <is>
          <t>Shipping</t>
        </is>
      </c>
      <c r="I93" s="14" t="inlineStr">
        <is>
          <t>T524</t>
        </is>
      </c>
      <c r="O93" s="14">
        <f>IFERROR(INDEX(Settings!$AC$3:$AC$95,MATCH(Gateways_DynamoDB!$F93,Settings!$B$3:$B$95,0)),"")</f>
        <v/>
      </c>
    </row>
    <row r="94">
      <c r="A94" s="14" t="inlineStr">
        <is>
          <t>RENFE</t>
        </is>
      </c>
      <c r="B94" s="14">
        <f>IFERROR(INDEX(Companies!$A$3:$A$101,MATCH(A94,Companies!$B$3:$B$101,0)),"")</f>
        <v/>
      </c>
      <c r="C94" s="83" t="inlineStr">
        <is>
          <t>e00fce68e2258d8e1934989d</t>
        </is>
      </c>
      <c r="D94" s="14" t="inlineStr">
        <is>
          <t>P032AD227NHLG6J</t>
        </is>
      </c>
      <c r="E94" s="14" t="inlineStr">
        <is>
          <t>GW2206-031</t>
        </is>
      </c>
      <c r="F94" s="14" t="inlineStr">
        <is>
          <t>Shipping</t>
        </is>
      </c>
      <c r="G94" s="9" t="n">
        <v>527015</v>
      </c>
      <c r="I94" s="14" t="inlineStr">
        <is>
          <t>T524M</t>
        </is>
      </c>
      <c r="N94" s="97" t="inlineStr">
        <is>
          <t>was SOM_REPLACED_1. Renfe, returned on 2023 02 03</t>
        </is>
      </c>
      <c r="O94" s="14">
        <f>IFERROR(INDEX(Settings!$AC$3:$AC$95,MATCH(Gateways_DynamoDB!$F94,Settings!$B$3:$B$95,0)),"")</f>
        <v/>
      </c>
    </row>
    <row r="95">
      <c r="A95" s="14">
        <f>IFERROR(INDEX(Gateways_MANU!$A$2:$A$4949,MATCH($E95,Gateways_MANU!$B$2:$B$4949,0)),"")</f>
        <v/>
      </c>
      <c r="B95" s="14">
        <f>IFERROR(INDEX(Companies!$A$3:$A$101,MATCH(A95,Companies!$B$3:$B$101,0)),"")</f>
        <v/>
      </c>
      <c r="C95" s="83" t="inlineStr">
        <is>
          <t>e00fce68959a0df5ce4d3210</t>
        </is>
      </c>
      <c r="D95" s="14" t="inlineStr">
        <is>
          <t>P032AD227DG3FKN</t>
        </is>
      </c>
      <c r="E95" s="14" t="inlineStr">
        <is>
          <t>GW2206-065</t>
        </is>
      </c>
      <c r="F95" s="14" t="inlineStr">
        <is>
          <t>Shipping</t>
        </is>
      </c>
      <c r="G95" s="9" t="inlineStr">
        <is>
          <t>33854956673-9</t>
        </is>
      </c>
      <c r="K95" s="77" t="n">
        <v>44918</v>
      </c>
      <c r="L95" s="14" t="inlineStr">
        <is>
          <t>L</t>
        </is>
      </c>
      <c r="M95" s="14" t="inlineStr">
        <is>
          <t>Hupac</t>
        </is>
      </c>
      <c r="N95" s="97" t="n">
        <v>44902</v>
      </c>
      <c r="O95" s="14">
        <f>IFERROR(INDEX(Settings!$AC$3:$AC$95,MATCH(Gateways_DynamoDB!$F95,Settings!$B$3:$B$95,0)),"")</f>
        <v/>
      </c>
    </row>
    <row r="96">
      <c r="A96" s="14">
        <f>IFERROR(INDEX(Gateways_MANU!$A$2:$A$4949,MATCH($E96,Gateways_MANU!$B$2:$B$4949,0)),"")</f>
        <v/>
      </c>
      <c r="B96" s="14">
        <f>IFERROR(INDEX(Companies!$A$3:$A$101,MATCH(A96,Companies!$B$3:$B$101,0)),"")</f>
        <v/>
      </c>
      <c r="C96" s="83" t="inlineStr">
        <is>
          <t>e00fce68356a0d95a11ba4b8</t>
        </is>
      </c>
      <c r="D96" s="14" t="inlineStr">
        <is>
          <t>P032AD22736E8SY</t>
        </is>
      </c>
      <c r="E96" s="14" t="inlineStr">
        <is>
          <t>GW2206-033</t>
        </is>
      </c>
      <c r="F96" s="74" t="inlineStr">
        <is>
          <t>Shipping</t>
        </is>
      </c>
      <c r="G96" s="9" t="inlineStr">
        <is>
          <t>33854956699-4</t>
        </is>
      </c>
      <c r="K96" s="77" t="n">
        <v>44910</v>
      </c>
      <c r="L96" s="14" t="inlineStr">
        <is>
          <t>L</t>
        </is>
      </c>
      <c r="M96" s="14" t="inlineStr">
        <is>
          <t>Viezo</t>
        </is>
      </c>
      <c r="N96" s="97" t="n">
        <v>44902</v>
      </c>
      <c r="O96" s="14">
        <f>IFERROR(INDEX(Settings!$AC$3:$AC$95,MATCH(Gateways_DynamoDB!$F96,Settings!$B$3:$B$95,0)),"")</f>
        <v/>
      </c>
    </row>
    <row r="97">
      <c r="A97" s="14">
        <f>IFERROR(INDEX(Gateways_MANU!$A$2:$A$4949,MATCH($E97,Gateways_MANU!$B$2:$B$4949,0)),"")</f>
        <v/>
      </c>
      <c r="B97" s="14">
        <f>IFERROR(INDEX(Companies!$A$3:$A$101,MATCH(A97,Companies!$B$3:$B$101,0)),"")</f>
        <v/>
      </c>
      <c r="C97" s="83" t="inlineStr">
        <is>
          <t>e00fce68e95bbc7e6081ee8d</t>
        </is>
      </c>
      <c r="D97" s="14" t="inlineStr">
        <is>
          <t>P032AD2276NATM9</t>
        </is>
      </c>
      <c r="E97" s="14" t="inlineStr">
        <is>
          <t>GW2206-035</t>
        </is>
      </c>
      <c r="F97" s="14" t="inlineStr">
        <is>
          <t>Shipping</t>
        </is>
      </c>
      <c r="G97" s="9" t="inlineStr">
        <is>
          <t>33854506221-2</t>
        </is>
      </c>
      <c r="K97" s="77" t="n">
        <v>44910</v>
      </c>
      <c r="L97" s="14" t="inlineStr">
        <is>
          <t>L</t>
        </is>
      </c>
      <c r="M97" s="14" t="inlineStr">
        <is>
          <t>Viezo</t>
        </is>
      </c>
      <c r="N97" s="97" t="n">
        <v>44902</v>
      </c>
      <c r="O97" s="14">
        <f>IFERROR(INDEX(Settings!$AC$3:$AC$95,MATCH(Gateways_DynamoDB!$F97,Settings!$B$3:$B$95,0)),"")</f>
        <v/>
      </c>
    </row>
    <row r="98">
      <c r="A98" s="14" t="inlineStr">
        <is>
          <t>RENFE</t>
        </is>
      </c>
      <c r="B98" s="14">
        <f>IFERROR(INDEX(Companies!$A$3:$A$101,MATCH(A98,Companies!$B$3:$B$101,0)),"")</f>
        <v/>
      </c>
      <c r="C98" s="83" t="inlineStr">
        <is>
          <t>e00fce68da6ce9119a01624c</t>
        </is>
      </c>
      <c r="D98" s="14" t="inlineStr">
        <is>
          <t>P032AD227CNYKTL</t>
        </is>
      </c>
      <c r="E98" s="14" t="inlineStr">
        <is>
          <t>GW2203-009</t>
        </is>
      </c>
      <c r="F98" s="14" t="inlineStr">
        <is>
          <t>Shipping</t>
        </is>
      </c>
      <c r="I98" s="14" t="inlineStr">
        <is>
          <t>T524</t>
        </is>
      </c>
      <c r="N98" s="97" t="inlineStr">
        <is>
          <t>Dead, will be returned</t>
        </is>
      </c>
      <c r="O98" s="14">
        <f>IFERROR(INDEX(Settings!$AC$3:$AC$95,MATCH(Gateways_DynamoDB!$F98,Settings!$B$3:$B$95,0)),"")</f>
        <v/>
      </c>
    </row>
    <row r="99">
      <c r="A99" s="14">
        <f>IFERROR(INDEX(Gateways_MANU!$A$2:$A$4949,MATCH($E99,Gateways_MANU!$B$2:$B$4949,0)),"")</f>
        <v/>
      </c>
      <c r="B99" s="14">
        <f>IFERROR(INDEX(Companies!$A$3:$A$101,MATCH(A99,Companies!$B$3:$B$101,0)),"")</f>
        <v/>
      </c>
      <c r="C99" s="83" t="inlineStr">
        <is>
          <t>e00fce686ecf9241d556304c</t>
        </is>
      </c>
      <c r="D99" s="14" t="inlineStr">
        <is>
          <t>P032AD227B6NPEA</t>
        </is>
      </c>
      <c r="E99" s="14" t="inlineStr">
        <is>
          <t>GW2206-055</t>
        </is>
      </c>
      <c r="F99" s="14" t="inlineStr">
        <is>
          <t>Shipping</t>
        </is>
      </c>
      <c r="G99" s="9" t="inlineStr">
        <is>
          <t>33854575320-8</t>
        </is>
      </c>
      <c r="K99" s="77" t="n">
        <v>44910</v>
      </c>
      <c r="L99" s="14" t="inlineStr">
        <is>
          <t>L</t>
        </is>
      </c>
      <c r="M99" s="14" t="inlineStr">
        <is>
          <t>Viezo</t>
        </is>
      </c>
      <c r="N99" s="97" t="n">
        <v>44902</v>
      </c>
      <c r="O99" s="14">
        <f>IFERROR(INDEX(Settings!$AC$3:$AC$95,MATCH(Gateways_DynamoDB!$F99,Settings!$B$3:$B$95,0)),"")</f>
        <v/>
      </c>
    </row>
    <row r="100">
      <c r="A100" s="14">
        <f>IFERROR(INDEX(Gateways_MANU!$A$2:$A$4949,MATCH($E100,Gateways_MANU!$B$2:$B$4949,0)),"")</f>
        <v/>
      </c>
      <c r="B100" s="14">
        <f>IFERROR(INDEX(Companies!$A$3:$A$101,MATCH(A100,Companies!$B$3:$B$101,0)),"")</f>
        <v/>
      </c>
      <c r="C100" s="83" t="inlineStr">
        <is>
          <t>e00fce68ab82cc1b2adc2414</t>
        </is>
      </c>
      <c r="D100" s="14" t="inlineStr">
        <is>
          <t>P032AD2275B2DCP</t>
        </is>
      </c>
      <c r="E100" s="14" t="inlineStr">
        <is>
          <t>GW2206-078</t>
        </is>
      </c>
      <c r="F100" s="14" t="inlineStr">
        <is>
          <t>Shipping</t>
        </is>
      </c>
      <c r="G100" s="9" t="inlineStr">
        <is>
          <t>33854556814-3</t>
        </is>
      </c>
      <c r="K100" s="77" t="n">
        <v>44918</v>
      </c>
      <c r="L100" s="14" t="inlineStr">
        <is>
          <t>L</t>
        </is>
      </c>
      <c r="M100" s="14" t="inlineStr">
        <is>
          <t>Hupac</t>
        </is>
      </c>
      <c r="N100" s="97" t="n">
        <v>44902</v>
      </c>
      <c r="O100" s="14">
        <f>IFERROR(INDEX(Settings!$AC$3:$AC$95,MATCH(Gateways_DynamoDB!$F100,Settings!$B$3:$B$95,0)),"")</f>
        <v/>
      </c>
    </row>
    <row r="101">
      <c r="B101" s="14">
        <f>IFERROR(INDEX(Companies!$A$3:$A$101,MATCH(A101,Companies!$B$3:$B$101,0)),"")</f>
        <v/>
      </c>
      <c r="C101" s="83" t="inlineStr">
        <is>
          <t>e00fce6833a51de16828a3c5</t>
        </is>
      </c>
      <c r="D101" s="14" t="inlineStr">
        <is>
          <t>P032AD227SW6A9N</t>
        </is>
      </c>
      <c r="E101" s="14" t="inlineStr">
        <is>
          <t>GW2206-096</t>
        </is>
      </c>
      <c r="F101" s="14" t="inlineStr">
        <is>
          <t>Shipping</t>
        </is>
      </c>
      <c r="N101" s="97" t="n">
        <v>44902</v>
      </c>
      <c r="O101" s="14">
        <f>IFERROR(INDEX(Settings!$AC$3:$AC$95,MATCH(Gateways_DynamoDB!$F101,Settings!$B$3:$B$95,0)),"")</f>
        <v/>
      </c>
    </row>
    <row r="102">
      <c r="A102" s="14">
        <f>IFERROR(INDEX(Gateways_MANU!$A$2:$A$4949,MATCH($E102,Gateways_MANU!$B$2:$B$4949,0)),"")</f>
        <v/>
      </c>
      <c r="B102" s="14">
        <f>IFERROR(INDEX(Companies!$A$3:$A$101,MATCH(A102,Companies!$B$3:$B$101,0)),"")</f>
        <v/>
      </c>
      <c r="C102" s="83" t="inlineStr">
        <is>
          <t>e00fce686a08485c86d9966a</t>
        </is>
      </c>
      <c r="D102" s="14" t="inlineStr">
        <is>
          <t>P032AD227GKLHUX</t>
        </is>
      </c>
      <c r="E102" s="14" t="inlineStr">
        <is>
          <t>GW2206-058</t>
        </is>
      </c>
      <c r="F102" s="74" t="inlineStr">
        <is>
          <t>Shipping</t>
        </is>
      </c>
      <c r="G102" s="9" t="inlineStr">
        <is>
          <t>33854956710-9</t>
        </is>
      </c>
      <c r="K102" s="77" t="n">
        <v>44918</v>
      </c>
      <c r="L102" s="14" t="inlineStr">
        <is>
          <t>L</t>
        </is>
      </c>
      <c r="M102" s="14" t="inlineStr">
        <is>
          <t>Hupac</t>
        </is>
      </c>
      <c r="N102" s="97" t="n">
        <v>44902</v>
      </c>
      <c r="O102" s="14">
        <f>IFERROR(INDEX(Settings!$AC$3:$AC$95,MATCH(Gateways_DynamoDB!$F102,Settings!$B$3:$B$95,0)),"")</f>
        <v/>
      </c>
    </row>
    <row r="103">
      <c r="A103" s="14">
        <f>IFERROR(INDEX(Gateways_MANU!$A$2:$A$4949,MATCH($E103,Gateways_MANU!$B$2:$B$4949,0)),"")</f>
        <v/>
      </c>
      <c r="B103" s="14">
        <f>IFERROR(INDEX(Companies!$A$3:$A$101,MATCH(A103,Companies!$B$3:$B$101,0)),"")</f>
        <v/>
      </c>
      <c r="C103" s="83" t="inlineStr">
        <is>
          <t>e00fce685d22b44ce7d620a4</t>
        </is>
      </c>
      <c r="D103" s="14" t="inlineStr">
        <is>
          <t>P032AD2276UGXPC</t>
        </is>
      </c>
      <c r="E103" s="14" t="inlineStr">
        <is>
          <t>GW2206-079</t>
        </is>
      </c>
      <c r="F103" s="74" t="inlineStr">
        <is>
          <t>Shipping</t>
        </is>
      </c>
      <c r="G103" s="9" t="inlineStr">
        <is>
          <t>33854956478-3</t>
        </is>
      </c>
      <c r="K103" s="77" t="n">
        <v>44910</v>
      </c>
      <c r="L103" s="14" t="inlineStr">
        <is>
          <t>R</t>
        </is>
      </c>
      <c r="M103" s="14" t="inlineStr">
        <is>
          <t>Viezo</t>
        </is>
      </c>
      <c r="N103" s="97" t="n">
        <v>44902</v>
      </c>
      <c r="O103" s="14">
        <f>IFERROR(INDEX(Settings!$AC$3:$AC$95,MATCH(Gateways_DynamoDB!$F103,Settings!$B$3:$B$95,0)),"")</f>
        <v/>
      </c>
    </row>
    <row r="104">
      <c r="A104" s="14">
        <f>IFERROR(INDEX(Gateways_MANU!$A$2:$A$4949,MATCH($E104,Gateways_MANU!$B$2:$B$4949,0)),"")</f>
        <v/>
      </c>
      <c r="B104" s="14">
        <f>IFERROR(INDEX(Companies!$A$3:$A$101,MATCH(A104,Companies!$B$3:$B$101,0)),"")</f>
        <v/>
      </c>
      <c r="C104" s="83" t="inlineStr">
        <is>
          <t>e00fce682676c3235bb2e9a3</t>
        </is>
      </c>
      <c r="D104" s="14" t="inlineStr">
        <is>
          <t>P032AD227FM2YLR</t>
        </is>
      </c>
      <c r="E104" s="14" t="inlineStr">
        <is>
          <t>GW2206-010</t>
        </is>
      </c>
      <c r="F104" s="74" t="inlineStr">
        <is>
          <t>Shipping</t>
        </is>
      </c>
      <c r="G104" s="9" t="inlineStr">
        <is>
          <t>33854956710-9</t>
        </is>
      </c>
      <c r="K104" s="77" t="n">
        <v>44918</v>
      </c>
      <c r="L104" s="14" t="inlineStr">
        <is>
          <t>R</t>
        </is>
      </c>
      <c r="M104" s="14" t="inlineStr">
        <is>
          <t>Hupac</t>
        </is>
      </c>
      <c r="N104" s="97" t="n">
        <v>44902</v>
      </c>
      <c r="O104" s="14">
        <f>IFERROR(INDEX(Settings!$AC$3:$AC$95,MATCH(Gateways_DynamoDB!$F104,Settings!$B$3:$B$95,0)),"")</f>
        <v/>
      </c>
    </row>
    <row r="105">
      <c r="A105" s="14">
        <f>IFERROR(INDEX(Gateways_MANU!$A$2:$A$4949,MATCH($E105,Gateways_MANU!$B$2:$B$4949,0)),"")</f>
        <v/>
      </c>
      <c r="B105" s="14">
        <f>IFERROR(INDEX(Companies!$A$3:$A$101,MATCH(A105,Companies!$B$3:$B$101,0)),"")</f>
        <v/>
      </c>
      <c r="C105" s="83" t="inlineStr">
        <is>
          <t>e00fce68572539a79efbc631</t>
        </is>
      </c>
      <c r="D105" s="14" t="inlineStr">
        <is>
          <t>P032AD2279CHXUE</t>
        </is>
      </c>
      <c r="E105" s="14" t="inlineStr">
        <is>
          <t>GW2206-059</t>
        </is>
      </c>
      <c r="F105" s="14" t="inlineStr">
        <is>
          <t>Shipping</t>
        </is>
      </c>
      <c r="G105" s="9" t="inlineStr">
        <is>
          <t>33854956673-9</t>
        </is>
      </c>
      <c r="K105" s="77" t="n">
        <v>44918</v>
      </c>
      <c r="L105" s="14" t="inlineStr">
        <is>
          <t>R</t>
        </is>
      </c>
      <c r="M105" s="14" t="inlineStr">
        <is>
          <t>Hupac</t>
        </is>
      </c>
      <c r="N105" s="97" t="n">
        <v>44902</v>
      </c>
      <c r="O105" s="14">
        <f>IFERROR(INDEX(Settings!$AC$3:$AC$95,MATCH(Gateways_DynamoDB!$F105,Settings!$B$3:$B$95,0)),"")</f>
        <v/>
      </c>
    </row>
    <row r="106">
      <c r="A106" s="14">
        <f>IFERROR(INDEX(Gateways_MANU!$A$2:$A$4949,MATCH($E106,Gateways_MANU!$B$2:$B$4949,0)),"")</f>
        <v/>
      </c>
      <c r="B106" s="14">
        <f>IFERROR(INDEX(Companies!$A$3:$A$101,MATCH(A106,Companies!$B$3:$B$101,0)),"")</f>
        <v/>
      </c>
      <c r="C106" s="83" t="inlineStr">
        <is>
          <t>e00fce68bfba8b0cae4584a1</t>
        </is>
      </c>
      <c r="D106" s="14" t="inlineStr">
        <is>
          <t>P032AD2272MCD49</t>
        </is>
      </c>
      <c r="E106" s="14" t="inlineStr">
        <is>
          <t>GW2206-029</t>
        </is>
      </c>
      <c r="F106" s="14" t="inlineStr">
        <is>
          <t>Shipping</t>
        </is>
      </c>
      <c r="G106" s="9" t="inlineStr">
        <is>
          <t>33854956478-3</t>
        </is>
      </c>
      <c r="K106" s="77" t="n">
        <v>44910</v>
      </c>
      <c r="L106" s="14" t="inlineStr">
        <is>
          <t>L</t>
        </is>
      </c>
      <c r="M106" s="14" t="inlineStr">
        <is>
          <t>Viezo</t>
        </is>
      </c>
      <c r="N106" s="97" t="n">
        <v>44902</v>
      </c>
      <c r="O106" s="14">
        <f>IFERROR(INDEX(Settings!$AC$3:$AC$95,MATCH(Gateways_DynamoDB!$F106,Settings!$B$3:$B$95,0)),"")</f>
        <v/>
      </c>
    </row>
    <row r="107">
      <c r="A107" s="14">
        <f>IFERROR(INDEX(Gateways_MANU!$A$2:$A$4949,MATCH($E107,Gateways_MANU!$B$2:$B$4949,0)),"")</f>
        <v/>
      </c>
      <c r="B107" s="14">
        <f>IFERROR(INDEX(Companies!$A$3:$A$101,MATCH(A107,Companies!$B$3:$B$101,0)),"")</f>
        <v/>
      </c>
      <c r="C107" s="83" t="inlineStr">
        <is>
          <t>e00fce6847c0cf15b62353c1</t>
        </is>
      </c>
      <c r="D107" s="14" t="inlineStr">
        <is>
          <t>P032AD227RUFYDB</t>
        </is>
      </c>
      <c r="E107" s="14" t="inlineStr">
        <is>
          <t>GW2206-021</t>
        </is>
      </c>
      <c r="F107" s="14" t="inlineStr">
        <is>
          <t>Shipping</t>
        </is>
      </c>
      <c r="G107" s="9" t="inlineStr">
        <is>
          <t>33-83-495-4-940-6</t>
        </is>
      </c>
      <c r="K107" s="77" t="n">
        <v>44938</v>
      </c>
      <c r="L107" s="14" t="inlineStr">
        <is>
          <t>L</t>
        </is>
      </c>
      <c r="M107" s="14" t="inlineStr">
        <is>
          <t>Ambrogio</t>
        </is>
      </c>
      <c r="N107" s="97" t="n">
        <v>44902</v>
      </c>
      <c r="O107" s="14">
        <f>IFERROR(INDEX(Settings!$AC$3:$AC$95,MATCH(Gateways_DynamoDB!$F107,Settings!$B$3:$B$95,0)),"")</f>
        <v/>
      </c>
    </row>
    <row r="108">
      <c r="A108" t="inlineStr">
        <is>
          <t>RIOTINTO</t>
        </is>
      </c>
      <c r="B108" s="14">
        <f>IFERROR(INDEX(Companies!$A$3:$A$101,MATCH(A108,Companies!$B$3:$B$101,0)),"")</f>
        <v/>
      </c>
      <c r="C108" s="83" t="inlineStr">
        <is>
          <t>e00fce68b9058646f00ca0b3</t>
        </is>
      </c>
      <c r="D108" s="14" t="inlineStr">
        <is>
          <t>P032AD2273NKLPU</t>
        </is>
      </c>
      <c r="E108" s="14" t="inlineStr">
        <is>
          <t>GW2203-012</t>
        </is>
      </c>
      <c r="F108" s="74" t="inlineStr">
        <is>
          <t>Slow-5-12h</t>
        </is>
      </c>
      <c r="G108" s="9" t="inlineStr">
        <is>
          <t>BAH103</t>
        </is>
      </c>
      <c r="I108" s="14" t="inlineStr">
        <is>
          <t>T524</t>
        </is>
      </c>
      <c r="K108" s="77" t="n">
        <v>45119</v>
      </c>
      <c r="O108" s="14">
        <f>IFERROR(INDEX(Settings!$AC$3:$AC$95,MATCH(Gateways_DynamoDB!$F108,Settings!$B$3:$B$95,0)),"")</f>
        <v/>
      </c>
    </row>
    <row r="109">
      <c r="A109" t="inlineStr">
        <is>
          <t>RIOTINTO</t>
        </is>
      </c>
      <c r="B109" s="14">
        <f>IFERROR(INDEX(Companies!$A$3:$A$101,MATCH(A109,Companies!$B$3:$B$101,0)),"")</f>
        <v/>
      </c>
      <c r="C109" s="83" t="inlineStr">
        <is>
          <t>e00fce686662baa99a2992ee</t>
        </is>
      </c>
      <c r="D109" s="14" t="inlineStr">
        <is>
          <t>P032AD227HYWXRB</t>
        </is>
      </c>
      <c r="E109" s="14" t="inlineStr">
        <is>
          <t>GW2203-048</t>
        </is>
      </c>
      <c r="F109" s="74" t="inlineStr">
        <is>
          <t>Shipping</t>
        </is>
      </c>
      <c r="G109" s="9" t="inlineStr">
        <is>
          <t>BP08</t>
        </is>
      </c>
      <c r="I109" s="14" t="inlineStr">
        <is>
          <t>T524</t>
        </is>
      </c>
      <c r="K109" s="77" t="n">
        <v>45119</v>
      </c>
      <c r="N109" s="97" t="inlineStr">
        <is>
          <t>was GW2203-038</t>
        </is>
      </c>
      <c r="O109" s="14">
        <f>IFERROR(INDEX(Settings!$AC$3:$AC$95,MATCH(Gateways_DynamoDB!$F109,Settings!$B$3:$B$95,0)),"")</f>
        <v/>
      </c>
    </row>
    <row r="110">
      <c r="A110" s="14" t="inlineStr">
        <is>
          <t>VIEZO</t>
        </is>
      </c>
      <c r="B110" s="14">
        <f>IFERROR(INDEX(Companies!$A$3:$A$101,MATCH(A110,Companies!$B$3:$B$101,0)),"")</f>
        <v/>
      </c>
      <c r="C110" s="83" t="inlineStr">
        <is>
          <t>e00fce685a8c991535a21b50</t>
        </is>
      </c>
      <c r="D110" s="14" t="inlineStr">
        <is>
          <t>P032AD227J4GXV3</t>
        </is>
      </c>
      <c r="E110" s="14" t="inlineStr">
        <is>
          <t>P032AD227J4GXV3</t>
        </is>
      </c>
      <c r="F110" s="14" t="inlineStr">
        <is>
          <t>Shipping</t>
        </is>
      </c>
      <c r="I110" s="14" t="inlineStr">
        <is>
          <t>T524</t>
        </is>
      </c>
      <c r="K110" s="77" t="n">
        <v>44910</v>
      </c>
      <c r="O110" s="14">
        <f>IFERROR(INDEX(Settings!$AC$3:$AC$95,MATCH(Gateways_DynamoDB!$F110,Settings!$B$3:$B$95,0)),"")</f>
        <v/>
      </c>
    </row>
    <row r="111">
      <c r="A111" s="14" t="inlineStr">
        <is>
          <t>SCHAEFFLER</t>
        </is>
      </c>
      <c r="B111" s="14">
        <f>IFERROR(INDEX(Companies!$A$3:$A$101,MATCH(A111,Companies!$B$3:$B$101,0)),"")</f>
        <v/>
      </c>
      <c r="C111" s="83" t="inlineStr">
        <is>
          <t>e00fce68a6b7e78cf6b6acc2</t>
        </is>
      </c>
      <c r="D111" s="14" t="inlineStr">
        <is>
          <t>P032AD227GJNHV7</t>
        </is>
      </c>
      <c r="E111" s="14" t="inlineStr">
        <is>
          <t>GW2203-010</t>
        </is>
      </c>
      <c r="F111" s="14" t="inlineStr">
        <is>
          <t>Shipping</t>
        </is>
      </c>
      <c r="I111" s="14" t="inlineStr">
        <is>
          <t>T524</t>
        </is>
      </c>
      <c r="O111" s="14">
        <f>IFERROR(INDEX(Settings!$AC$3:$AC$95,MATCH(Gateways_DynamoDB!$F111,Settings!$B$3:$B$95,0)),"")</f>
        <v/>
      </c>
    </row>
    <row r="112">
      <c r="A112" s="14" t="inlineStr">
        <is>
          <t>MERCITALIA</t>
        </is>
      </c>
      <c r="B112" s="14">
        <f>IFERROR(INDEX(Companies!$A$3:$A$101,MATCH(A112,Companies!$B$3:$B$101,0)),"")</f>
        <v/>
      </c>
      <c r="C112" s="83" t="inlineStr">
        <is>
          <t>e00fce6890a7c4640c58e17b</t>
        </is>
      </c>
      <c r="D112" s="14" t="inlineStr">
        <is>
          <t>P032AD227MBGSHN</t>
        </is>
      </c>
      <c r="E112" s="14" t="inlineStr">
        <is>
          <t>GW2203-004</t>
        </is>
      </c>
      <c r="F112" s="74" t="inlineStr">
        <is>
          <t>Shipping</t>
        </is>
      </c>
      <c r="G112" s="9" t="inlineStr">
        <is>
          <t>31835377921-4</t>
        </is>
      </c>
      <c r="K112" s="77" t="n">
        <v>45002</v>
      </c>
      <c r="O112" s="14">
        <f>IFERROR(INDEX(Settings!$AC$3:$AC$95,MATCH(Gateways_DynamoDB!$F112,Settings!$B$3:$B$95,0)),"")</f>
        <v/>
      </c>
    </row>
    <row r="113">
      <c r="A113" s="14" t="inlineStr">
        <is>
          <t>MERCITALIA</t>
        </is>
      </c>
      <c r="B113" s="14">
        <f>IFERROR(INDEX(Companies!$A$3:$A$101,MATCH(A113,Companies!$B$3:$B$101,0)),"")</f>
        <v/>
      </c>
      <c r="C113" s="83" t="inlineStr">
        <is>
          <t>e00fce682c07de083cef9bb0</t>
        </is>
      </c>
      <c r="D113" s="14" t="inlineStr">
        <is>
          <t>P025AB028VN5M93</t>
        </is>
      </c>
      <c r="E113" s="14" t="inlineStr">
        <is>
          <t>GW2203-044</t>
        </is>
      </c>
      <c r="F113" s="74" t="inlineStr">
        <is>
          <t>Shipping</t>
        </is>
      </c>
      <c r="G113" s="112" t="inlineStr">
        <is>
          <t>31833916514-0</t>
        </is>
      </c>
      <c r="K113" s="77" t="n">
        <v>45111</v>
      </c>
      <c r="O113" s="14">
        <f>IFERROR(INDEX(Settings!$AC$3:$AC$95,MATCH(Gateways_DynamoDB!$F113,Settings!$B$3:$B$95,0)),"")</f>
        <v/>
      </c>
    </row>
    <row r="114">
      <c r="A114" s="14" t="inlineStr">
        <is>
          <t>RENFE</t>
        </is>
      </c>
      <c r="B114" s="14">
        <f>IFERROR(INDEX(Companies!$A$3:$A$101,MATCH(A114,Companies!$B$3:$B$101,0)),"")</f>
        <v/>
      </c>
      <c r="C114" s="83" t="inlineStr">
        <is>
          <t>e00fce6890ed22c52ebb55e9</t>
        </is>
      </c>
      <c r="D114" s="14" t="inlineStr">
        <is>
          <t>P025AB1108AXLKN</t>
        </is>
      </c>
      <c r="E114" s="14" t="inlineStr">
        <is>
          <t>GW2206-004</t>
        </is>
      </c>
      <c r="F114" s="14" t="inlineStr">
        <is>
          <t>Shipping</t>
        </is>
      </c>
      <c r="G114" s="9" t="n">
        <v>527015</v>
      </c>
      <c r="O114" s="14">
        <f>IFERROR(INDEX(Settings!$AC$3:$AC$95,MATCH(Gateways_DynamoDB!$F114,Settings!$B$3:$B$95,0)),"")</f>
        <v/>
      </c>
    </row>
    <row r="115">
      <c r="A115" s="14" t="inlineStr">
        <is>
          <t>TANKWAGON</t>
        </is>
      </c>
      <c r="B115" s="14">
        <f>IFERROR(INDEX(Companies!$A$3:$A$101,MATCH(A115,Companies!$B$3:$B$101,0)),"")</f>
        <v/>
      </c>
      <c r="C115" s="83" t="inlineStr">
        <is>
          <t>e00fce68643e32881654e94b</t>
        </is>
      </c>
      <c r="D115" s="14" t="inlineStr">
        <is>
          <t>P032AD227Y2MUBW</t>
        </is>
      </c>
      <c r="E115" s="14" t="inlineStr">
        <is>
          <t>GW2203-040</t>
        </is>
      </c>
      <c r="F115" s="74" t="inlineStr">
        <is>
          <t>Slow-5-12h</t>
        </is>
      </c>
      <c r="M115" s="14" t="inlineStr">
        <is>
          <t>TANKWAGON</t>
        </is>
      </c>
      <c r="O115" s="14">
        <f>IFERROR(INDEX(Settings!$AC$3:$AC$95,MATCH(Gateways_DynamoDB!$F115,Settings!$B$3:$B$95,0)),"")</f>
        <v/>
      </c>
    </row>
    <row r="116">
      <c r="A116" s="14" t="inlineStr">
        <is>
          <t>MERCITALIA</t>
        </is>
      </c>
      <c r="B116" s="14">
        <f>IFERROR(INDEX(Companies!$A$3:$A$101,MATCH(A116,Companies!$B$3:$B$101,0)),"")</f>
        <v/>
      </c>
      <c r="C116" s="83" t="inlineStr">
        <is>
          <t>e00fce68ddcb091e264e4453</t>
        </is>
      </c>
      <c r="D116" s="14" t="inlineStr">
        <is>
          <t>P025AB029RSWGD8</t>
        </is>
      </c>
      <c r="E116" s="14" t="inlineStr">
        <is>
          <t>GW2206-036</t>
        </is>
      </c>
      <c r="F116" s="14" t="inlineStr">
        <is>
          <t>Shipping</t>
        </is>
      </c>
      <c r="G116" s="112" t="inlineStr">
        <is>
          <t>31833916514-0</t>
        </is>
      </c>
      <c r="O116" s="14">
        <f>IFERROR(INDEX(Settings!$AC$3:$AC$95,MATCH(Gateways_DynamoDB!$F116,Settings!$B$3:$B$95,0)),"")</f>
        <v/>
      </c>
    </row>
    <row r="117">
      <c r="A117" s="14" t="inlineStr">
        <is>
          <t>TANKWAGON</t>
        </is>
      </c>
      <c r="B117" s="14">
        <f>IFERROR(INDEX(Companies!$A$3:$A$101,MATCH(A117,Companies!$B$3:$B$101,0)),"")</f>
        <v/>
      </c>
      <c r="C117" s="83" t="inlineStr">
        <is>
          <t>e00fce68566e148e37724e42</t>
        </is>
      </c>
      <c r="D117" s="14" t="inlineStr">
        <is>
          <t>P025AB028YU2TRF</t>
        </is>
      </c>
      <c r="E117" s="14" t="inlineStr">
        <is>
          <t>GW2206-037</t>
        </is>
      </c>
      <c r="F117" s="74" t="inlineStr">
        <is>
          <t>Shipping</t>
        </is>
      </c>
      <c r="G117" s="9" t="inlineStr">
        <is>
          <t>33857929905-2</t>
        </is>
      </c>
      <c r="K117" s="77" t="n">
        <v>45210</v>
      </c>
      <c r="L117" s="14" t="inlineStr">
        <is>
          <t>R</t>
        </is>
      </c>
      <c r="M117" s="14" t="inlineStr">
        <is>
          <t>DD</t>
        </is>
      </c>
      <c r="O117" s="14">
        <f>IFERROR(INDEX(Settings!$AC$3:$AC$95,MATCH(Gateways_DynamoDB!$F117,Settings!$B$3:$B$95,0)),"")</f>
        <v/>
      </c>
    </row>
    <row r="118">
      <c r="A118" s="14" t="inlineStr">
        <is>
          <t>HVLE</t>
        </is>
      </c>
      <c r="B118" s="14">
        <f>IFERROR(INDEX(Companies!$A$3:$A$101,MATCH(A118,Companies!$B$3:$B$101,0)),"")</f>
        <v/>
      </c>
      <c r="C118" s="83" t="inlineStr">
        <is>
          <t>e00fce68221242bb43b89079</t>
        </is>
      </c>
      <c r="D118" s="14" t="inlineStr">
        <is>
          <t>P032AD2275DRWKB</t>
        </is>
      </c>
      <c r="E118" s="14" t="inlineStr">
        <is>
          <t>GW2206-TR02</t>
        </is>
      </c>
      <c r="F118" s="74" t="inlineStr">
        <is>
          <t>Shipping</t>
        </is>
      </c>
      <c r="G118" s="9" t="inlineStr">
        <is>
          <t>83546985095-1</t>
        </is>
      </c>
      <c r="K118" s="77" t="n">
        <v>45028</v>
      </c>
      <c r="M118" s="14" t="inlineStr">
        <is>
          <t>HVLE</t>
        </is>
      </c>
      <c r="O118" s="14">
        <f>IFERROR(INDEX(Settings!$AC$3:$AC$95,MATCH(Gateways_DynamoDB!$F118,Settings!$B$3:$B$95,0)),"")</f>
        <v/>
      </c>
    </row>
    <row r="119">
      <c r="A119" s="14" t="inlineStr">
        <is>
          <t>TANKWAGON</t>
        </is>
      </c>
      <c r="B119" s="14">
        <f>IFERROR(INDEX(Companies!$A$3:$A$101,MATCH(A119,Companies!$B$3:$B$101,0)),"")</f>
        <v/>
      </c>
      <c r="C119" s="83" t="inlineStr">
        <is>
          <t>e00fce681046c4aba5aa7fb9</t>
        </is>
      </c>
      <c r="D119" s="14" t="inlineStr">
        <is>
          <t>P032AD227TU25GB</t>
        </is>
      </c>
      <c r="E119" s="110" t="inlineStr">
        <is>
          <t>GW2203-018</t>
        </is>
      </c>
      <c r="F119" s="14" t="inlineStr">
        <is>
          <t>Slow-5-12h</t>
        </is>
      </c>
      <c r="G119" s="9" t="inlineStr">
        <is>
          <t>33877916625-9</t>
        </is>
      </c>
      <c r="O119" s="14">
        <f>IFERROR(INDEX(Settings!$AC$3:$AC$95,MATCH(Gateways_DynamoDB!$F119,Settings!$B$3:$B$95,0)),"")</f>
        <v/>
      </c>
    </row>
    <row r="120">
      <c r="A120" s="14" t="inlineStr">
        <is>
          <t>TANKWAGON</t>
        </is>
      </c>
      <c r="B120" s="14">
        <f>IFERROR(INDEX(Companies!$A$3:$A$101,MATCH(A120,Companies!$B$3:$B$101,0)),"")</f>
        <v/>
      </c>
      <c r="C120" s="83" t="inlineStr">
        <is>
          <t>e00fce6896906abd8de72834</t>
        </is>
      </c>
      <c r="D120" s="14" t="inlineStr">
        <is>
          <t>P032AD227VFG25A</t>
        </is>
      </c>
      <c r="E120" s="110" t="inlineStr">
        <is>
          <t>GW2206-054</t>
        </is>
      </c>
      <c r="F120" s="14" t="inlineStr">
        <is>
          <t>Slow-5-12h</t>
        </is>
      </c>
      <c r="G120" s="9" t="inlineStr">
        <is>
          <t>33807920015-4</t>
        </is>
      </c>
      <c r="O120" s="14">
        <f>IFERROR(INDEX(Settings!$AC$3:$AC$95,MATCH(Gateways_DynamoDB!$F120,Settings!$B$3:$B$95,0)),"")</f>
        <v/>
      </c>
    </row>
    <row r="121">
      <c r="A121" s="14" t="inlineStr">
        <is>
          <t>TANKWAGON</t>
        </is>
      </c>
      <c r="B121" s="14">
        <f>IFERROR(INDEX(Companies!$A$3:$A$101,MATCH(A121,Companies!$B$3:$B$101,0)),"")</f>
        <v/>
      </c>
      <c r="C121" s="83" t="inlineStr">
        <is>
          <t>e00fce68b30bf5763734a4af</t>
        </is>
      </c>
      <c r="D121" s="14" t="inlineStr">
        <is>
          <t>P032AD227BT6UNK</t>
        </is>
      </c>
      <c r="E121" s="110" t="inlineStr">
        <is>
          <t>GW2206-051</t>
        </is>
      </c>
      <c r="F121" s="14" t="inlineStr">
        <is>
          <t>Slow-5-12h</t>
        </is>
      </c>
      <c r="G121" s="9" t="inlineStr">
        <is>
          <t>33877916636-6</t>
        </is>
      </c>
      <c r="O121" s="14">
        <f>IFERROR(INDEX(Settings!$AC$3:$AC$95,MATCH(Gateways_DynamoDB!$F121,Settings!$B$3:$B$95,0)),"")</f>
        <v/>
      </c>
    </row>
    <row r="122">
      <c r="A122" s="14" t="inlineStr">
        <is>
          <t>RIOTINTO</t>
        </is>
      </c>
      <c r="B122" s="14">
        <f>IFERROR(INDEX(Companies!$A$3:$A$101,MATCH(A122,Companies!$B$3:$B$101,0)),"")</f>
        <v/>
      </c>
      <c r="C122" s="83" t="inlineStr">
        <is>
          <t>e00fce68398b5b589c5952dd</t>
        </is>
      </c>
      <c r="D122" s="14" t="inlineStr">
        <is>
          <t>P032AD2276Y8JHS</t>
        </is>
      </c>
      <c r="E122" s="14" t="inlineStr">
        <is>
          <t>GW2206-022</t>
        </is>
      </c>
      <c r="F122" s="14" t="inlineStr">
        <is>
          <t>Slow-5-12h</t>
        </is>
      </c>
      <c r="G122" s="9" t="inlineStr">
        <is>
          <t>BAH103</t>
        </is>
      </c>
      <c r="K122" s="77" t="n">
        <v>45301</v>
      </c>
      <c r="N122" s="97" t="inlineStr">
        <is>
          <t>was RSA, but later needed for Rio</t>
        </is>
      </c>
      <c r="O122" s="14">
        <f>IFERROR(INDEX(Settings!$AC$3:$AC$95,MATCH(Gateways_DynamoDB!$F122,Settings!$B$3:$B$95,0)),"")</f>
        <v/>
      </c>
    </row>
    <row r="123">
      <c r="A123" s="14" t="inlineStr">
        <is>
          <t>RIOTINTO</t>
        </is>
      </c>
      <c r="B123" s="14">
        <f>IFERROR(INDEX(Companies!$A$3:$A$101,MATCH(A123,Companies!$B$3:$B$101,0)),"")</f>
        <v/>
      </c>
      <c r="C123" s="83" t="inlineStr">
        <is>
          <t>e00fce6881b66c0610a17c32</t>
        </is>
      </c>
      <c r="D123" s="14" t="inlineStr">
        <is>
          <t>P032AD227847F9R</t>
        </is>
      </c>
      <c r="E123" s="14" t="inlineStr">
        <is>
          <t>GW2206-071</t>
        </is>
      </c>
      <c r="F123" s="14" t="inlineStr">
        <is>
          <t>Normal-2-6h</t>
        </is>
      </c>
      <c r="G123" s="9" t="inlineStr">
        <is>
          <t>BP08</t>
        </is>
      </c>
      <c r="K123" s="77" t="n">
        <v>45301</v>
      </c>
      <c r="N123" s="97" t="inlineStr">
        <is>
          <t>was RSA, but later needed for Rio</t>
        </is>
      </c>
      <c r="O123" s="14">
        <f>IFERROR(INDEX(Settings!$AC$3:$AC$95,MATCH(Gateways_DynamoDB!$F123,Settings!$B$3:$B$95,0)),"")</f>
        <v/>
      </c>
    </row>
    <row r="124">
      <c r="A124" s="14" t="inlineStr">
        <is>
          <t>RAILRELEASE</t>
        </is>
      </c>
      <c r="B124" s="14">
        <f>IFERROR(INDEX(Companies!$A$3:$A$101,MATCH(A124,Companies!$B$3:$B$101,0)),"")</f>
        <v/>
      </c>
      <c r="C124" s="83" t="inlineStr">
        <is>
          <t>e00fce6826212ea3c227d0f1</t>
        </is>
      </c>
      <c r="D124" s="14" t="inlineStr">
        <is>
          <t>P032AD2275WLKFN</t>
        </is>
      </c>
      <c r="E124" s="14" t="inlineStr">
        <is>
          <t>GW2206-016</t>
        </is>
      </c>
      <c r="F124" s="14" t="inlineStr">
        <is>
          <t>Normal-2-6h</t>
        </is>
      </c>
      <c r="G124" s="9" t="inlineStr">
        <is>
          <t>37844576159-6</t>
        </is>
      </c>
      <c r="K124" s="77" t="n">
        <v>45064</v>
      </c>
      <c r="M124" s="81" t="inlineStr">
        <is>
          <t>VIEZO</t>
        </is>
      </c>
      <c r="O124" s="14">
        <f>IFERROR(INDEX(Settings!$AC$3:$AC$95,MATCH(Gateways_DynamoDB!$F124,Settings!$B$3:$B$95,0)),"")</f>
        <v/>
      </c>
    </row>
    <row r="125">
      <c r="A125" s="14" t="inlineStr">
        <is>
          <t>TRANSWAGGON</t>
        </is>
      </c>
      <c r="B125" s="14">
        <f>IFERROR(INDEX(Companies!$A$3:$A$101,MATCH(A125,Companies!$B$3:$B$101,0)),"")</f>
        <v/>
      </c>
      <c r="C125" s="83" t="inlineStr">
        <is>
          <t>e00fce68ebe1df48b60bd985</t>
        </is>
      </c>
      <c r="D125" s="14" t="inlineStr">
        <is>
          <t>P032AD2277WUX8C</t>
        </is>
      </c>
      <c r="E125" s="14" t="inlineStr">
        <is>
          <t>GW2206-012</t>
        </is>
      </c>
      <c r="F125" s="14" t="inlineStr">
        <is>
          <t>Shipping</t>
        </is>
      </c>
      <c r="G125" s="9" t="inlineStr">
        <is>
          <t>33802742481-5</t>
        </is>
      </c>
      <c r="O125" s="14">
        <f>IFERROR(INDEX(Settings!$AC$3:$AC$95,MATCH(Gateways_DynamoDB!$F125,Settings!$B$3:$B$95,0)),"")</f>
        <v/>
      </c>
    </row>
    <row r="126">
      <c r="A126" s="14" t="inlineStr">
        <is>
          <t>TRANSWAGGON</t>
        </is>
      </c>
      <c r="B126" s="14">
        <f>IFERROR(INDEX(Companies!$A$3:$A$101,MATCH(A126,Companies!$B$3:$B$101,0)),"")</f>
        <v/>
      </c>
      <c r="C126" s="83" t="inlineStr">
        <is>
          <t>e00fce685186e08089e6d8ee</t>
        </is>
      </c>
      <c r="D126" s="14" t="inlineStr">
        <is>
          <t>P032AD227LV57KS</t>
        </is>
      </c>
      <c r="E126" s="14" t="inlineStr">
        <is>
          <t>GW2206-049</t>
        </is>
      </c>
      <c r="F126" s="14" t="inlineStr">
        <is>
          <t>Shipping</t>
        </is>
      </c>
      <c r="G126" s="9" t="inlineStr">
        <is>
          <t>33802742608-3</t>
        </is>
      </c>
      <c r="O126" s="14">
        <f>IFERROR(INDEX(Settings!$AC$3:$AC$95,MATCH(Gateways_DynamoDB!$F126,Settings!$B$3:$B$95,0)),"")</f>
        <v/>
      </c>
    </row>
    <row r="127">
      <c r="A127" s="14" t="inlineStr">
        <is>
          <t>TRANSWAGGON</t>
        </is>
      </c>
      <c r="B127" s="14">
        <f>IFERROR(INDEX(Companies!$A$3:$A$101,MATCH(A127,Companies!$B$3:$B$101,0)),"")</f>
        <v/>
      </c>
      <c r="C127" s="83" t="inlineStr">
        <is>
          <t>e00fce688b5f801fe0fa1961</t>
        </is>
      </c>
      <c r="D127" s="14" t="inlineStr">
        <is>
          <t>P025AB028GARXTY</t>
        </is>
      </c>
      <c r="E127" s="14" t="inlineStr">
        <is>
          <t>GW2206-042</t>
        </is>
      </c>
      <c r="F127" s="14" t="inlineStr">
        <is>
          <t>Shipping</t>
        </is>
      </c>
      <c r="G127" s="9" t="inlineStr">
        <is>
          <t>33802742207-4</t>
        </is>
      </c>
      <c r="O127" s="14">
        <f>IFERROR(INDEX(Settings!$AC$3:$AC$95,MATCH(Gateways_DynamoDB!$F127,Settings!$B$3:$B$95,0)),"")</f>
        <v/>
      </c>
    </row>
    <row r="128">
      <c r="A128" t="inlineStr">
        <is>
          <t>APPLUS</t>
        </is>
      </c>
      <c r="B128" s="14">
        <f>IFERROR(INDEX(Companies!$A$3:$A$101,MATCH(A128,Companies!$B$3:$B$101,0)),"")</f>
        <v/>
      </c>
      <c r="C128" s="83" t="inlineStr">
        <is>
          <t>e00fce6897e57782843ee525</t>
        </is>
      </c>
      <c r="E128" s="14" t="inlineStr">
        <is>
          <t>ATEX-GW-1</t>
        </is>
      </c>
      <c r="F128" s="14" t="inlineStr">
        <is>
          <t>Shipping</t>
        </is>
      </c>
      <c r="O128" s="14">
        <f>IFERROR(INDEX(Settings!$AC$3:$AC$95,MATCH(Gateways_DynamoDB!$F128,Settings!$B$3:$B$95,0)),"")</f>
        <v/>
      </c>
    </row>
    <row r="129">
      <c r="A129" s="14" t="inlineStr">
        <is>
          <t>CARGONET</t>
        </is>
      </c>
      <c r="B129" s="14">
        <f>IFERROR(INDEX(Companies!$A$3:$A$101,MATCH(A129,Companies!$B$3:$B$101,0)),"")</f>
        <v/>
      </c>
      <c r="C129" s="83" t="inlineStr">
        <is>
          <t>e00fce6891f1890767f185ae</t>
        </is>
      </c>
      <c r="D129" s="14" t="inlineStr">
        <is>
          <t>P032AD227X9PUGN</t>
        </is>
      </c>
      <c r="E129" s="14" t="inlineStr">
        <is>
          <t>GW2206-047</t>
        </is>
      </c>
      <c r="F129" s="14" t="inlineStr">
        <is>
          <t>Shipping</t>
        </is>
      </c>
      <c r="G129" s="9" t="inlineStr">
        <is>
          <t>33764955324-1</t>
        </is>
      </c>
      <c r="O129" s="14">
        <f>IFERROR(INDEX(Settings!$AC$3:$AC$95,MATCH(Gateways_DynamoDB!$F129,Settings!$B$3:$B$95,0)),"")</f>
        <v/>
      </c>
    </row>
    <row r="130">
      <c r="A130" s="14" t="inlineStr">
        <is>
          <t>CARGONET</t>
        </is>
      </c>
      <c r="B130" s="14">
        <f>IFERROR(INDEX(Companies!$A$3:$A$101,MATCH(A130,Companies!$B$3:$B$101,0)),"")</f>
        <v/>
      </c>
      <c r="C130" s="83" t="inlineStr">
        <is>
          <t>e00fce68ca51c5793724b80a</t>
        </is>
      </c>
      <c r="D130" s="14" t="inlineStr">
        <is>
          <t>P032AD227FTDJ6X</t>
        </is>
      </c>
      <c r="E130" s="14" t="inlineStr">
        <is>
          <t>GW2206-032</t>
        </is>
      </c>
      <c r="F130" s="14" t="inlineStr">
        <is>
          <t>Shipping</t>
        </is>
      </c>
      <c r="O130" s="14">
        <f>IFERROR(INDEX(Settings!$AC$3:$AC$95,MATCH(Gateways_DynamoDB!$F130,Settings!$B$3:$B$95,0)),"")</f>
        <v/>
      </c>
    </row>
    <row r="131">
      <c r="A131" s="14" t="inlineStr">
        <is>
          <t>CARGONET</t>
        </is>
      </c>
      <c r="B131" s="14">
        <f>IFERROR(INDEX(Companies!$A$3:$A$101,MATCH(A131,Companies!$B$3:$B$101,0)),"")</f>
        <v/>
      </c>
      <c r="C131" s="83" t="inlineStr">
        <is>
          <t>e00fce68df96fd662bf54f67</t>
        </is>
      </c>
      <c r="D131" s="14" t="inlineStr">
        <is>
          <t>P032AD227CPGBSM</t>
        </is>
      </c>
      <c r="E131" s="14" t="inlineStr">
        <is>
          <t>GW2206-074</t>
        </is>
      </c>
      <c r="F131" s="14" t="inlineStr">
        <is>
          <t>Shipping</t>
        </is>
      </c>
      <c r="G131" s="9" t="inlineStr">
        <is>
          <t>33764955305-0</t>
        </is>
      </c>
      <c r="O131" s="14">
        <f>IFERROR(INDEX(Settings!$AC$3:$AC$95,MATCH(Gateways_DynamoDB!$F131,Settings!$B$3:$B$95,0)),"")</f>
        <v/>
      </c>
    </row>
    <row r="132">
      <c r="A132" s="14" t="inlineStr">
        <is>
          <t>CARGONET</t>
        </is>
      </c>
      <c r="B132" s="14">
        <f>IFERROR(INDEX(Companies!$A$3:$A$101,MATCH(A132,Companies!$B$3:$B$101,0)),"")</f>
        <v/>
      </c>
      <c r="C132" s="83" t="inlineStr">
        <is>
          <t>e00fce684812f04cd2f3f3b5</t>
        </is>
      </c>
      <c r="D132" s="14" t="inlineStr">
        <is>
          <t>P032AD227XKADYN</t>
        </is>
      </c>
      <c r="E132" s="14" t="inlineStr">
        <is>
          <t>GW2206-013</t>
        </is>
      </c>
      <c r="F132" s="14" t="inlineStr">
        <is>
          <t>Shipping</t>
        </is>
      </c>
      <c r="G132" s="9" t="inlineStr">
        <is>
          <t>33764955324-1</t>
        </is>
      </c>
      <c r="O132" s="14">
        <f>IFERROR(INDEX(Settings!$AC$3:$AC$95,MATCH(Gateways_DynamoDB!$F132,Settings!$B$3:$B$95,0)),"")</f>
        <v/>
      </c>
    </row>
    <row r="133">
      <c r="A133" s="14" t="inlineStr">
        <is>
          <t>TANKWAGON</t>
        </is>
      </c>
      <c r="B133" s="14">
        <f>IFERROR(INDEX(Companies!$A$3:$A$101,MATCH(A133,Companies!$B$3:$B$101,0)),"")</f>
        <v/>
      </c>
      <c r="C133" s="83" t="inlineStr">
        <is>
          <t>e00fce68eb876af9d26a2989</t>
        </is>
      </c>
      <c r="D133" s="14" t="inlineStr">
        <is>
          <t>P025AB029CV8U4S</t>
        </is>
      </c>
      <c r="E133" s="110" t="inlineStr">
        <is>
          <t>GW2203-013</t>
        </is>
      </c>
      <c r="F133" s="14" t="inlineStr">
        <is>
          <t>Slow-5-12h</t>
        </is>
      </c>
      <c r="G133" s="9" t="inlineStr">
        <is>
          <t>33877916671-3</t>
        </is>
      </c>
      <c r="O133" s="14">
        <f>IFERROR(INDEX(Settings!$AC$3:$AC$95,MATCH(Gateways_DynamoDB!$F133,Settings!$B$3:$B$95,0)),"")</f>
        <v/>
      </c>
    </row>
    <row r="134">
      <c r="A134" s="14" t="inlineStr">
        <is>
          <t>MULTIMEDA</t>
        </is>
      </c>
      <c r="B134" s="14">
        <f>IFERROR(INDEX(Companies!$A$3:$A$101,MATCH(A134,Companies!$B$3:$B$101,0)),"")</f>
        <v/>
      </c>
      <c r="C134" s="83" t="inlineStr">
        <is>
          <t>e00fce6821662206e3645603</t>
        </is>
      </c>
      <c r="D134" s="14" t="inlineStr">
        <is>
          <t>P032AD227B7EUXT</t>
        </is>
      </c>
      <c r="E134" s="14" t="inlineStr">
        <is>
          <t>GW2206-030</t>
        </is>
      </c>
      <c r="F134" s="14" t="inlineStr">
        <is>
          <t>TEST_F4-1h-1h</t>
        </is>
      </c>
      <c r="J134" s="2" t="inlineStr">
        <is>
          <t>Ni-MH</t>
        </is>
      </c>
      <c r="O134" s="14">
        <f>IFERROR(INDEX(Settings!$AC$3:$AC$95,MATCH(Gateways_DynamoDB!$F134,Settings!$B$3:$B$95,0)),"")</f>
        <v/>
      </c>
    </row>
    <row r="135">
      <c r="A135" s="14" t="inlineStr">
        <is>
          <t>TRANSWAGGON</t>
        </is>
      </c>
      <c r="B135" s="14">
        <f>IFERROR(INDEX(Companies!$A$3:$A$101,MATCH(A135,Companies!$B$3:$B$101,0)),"")</f>
        <v/>
      </c>
      <c r="C135" s="83" t="inlineStr">
        <is>
          <t>e00fce6855ab30284b3f8422</t>
        </is>
      </c>
      <c r="D135" s="14" t="inlineStr">
        <is>
          <t>P032AD22757JPVM</t>
        </is>
      </c>
      <c r="E135" s="14" t="inlineStr">
        <is>
          <t>GW2206-082</t>
        </is>
      </c>
      <c r="F135" s="14" t="inlineStr">
        <is>
          <t>Normal-2-6h</t>
        </is>
      </c>
      <c r="G135" s="9" t="inlineStr">
        <is>
          <t>33802742207-4</t>
        </is>
      </c>
      <c r="J135" s="2" t="inlineStr">
        <is>
          <t>Ni-MH</t>
        </is>
      </c>
      <c r="O135" s="14">
        <f>IFERROR(INDEX(Settings!$AC$3:$AC$95,MATCH(Gateways_DynamoDB!$F135,Settings!$B$3:$B$95,0)),"")</f>
        <v/>
      </c>
    </row>
    <row r="136">
      <c r="A136" s="14" t="inlineStr">
        <is>
          <t>TALGO</t>
        </is>
      </c>
      <c r="B136" s="14">
        <f>IFERROR(INDEX(Companies!$A$3:$A$101,MATCH(A136,Companies!$B$3:$B$101,0)),"")</f>
        <v/>
      </c>
      <c r="C136" s="83" t="inlineStr">
        <is>
          <t>e00fce68483f936620657da1</t>
        </is>
      </c>
      <c r="D136" s="14" t="inlineStr">
        <is>
          <t>P032AD227872JAS</t>
        </is>
      </c>
      <c r="E136" s="14" t="inlineStr">
        <is>
          <t>GW2206-034</t>
        </is>
      </c>
      <c r="F136" s="14" t="inlineStr">
        <is>
          <t>Shipping</t>
        </is>
      </c>
      <c r="J136" s="2" t="inlineStr">
        <is>
          <t>Ni-MH</t>
        </is>
      </c>
      <c r="O136" s="14">
        <f>IFERROR(INDEX(Settings!$AC$3:$AC$95,MATCH(Gateways_DynamoDB!$F136,Settings!$B$3:$B$95,0)),"")</f>
        <v/>
      </c>
    </row>
    <row r="137">
      <c r="A137" s="14" t="inlineStr">
        <is>
          <t>MULTIMEDA</t>
        </is>
      </c>
      <c r="B137" s="14">
        <f>IFERROR(INDEX(Companies!$A$3:$A$101,MATCH(A137,Companies!$B$3:$B$101,0)),"")</f>
        <v/>
      </c>
      <c r="C137" s="83" t="inlineStr">
        <is>
          <t>e00fce6849ebd92417fc1ef0</t>
        </is>
      </c>
      <c r="D137" s="14" t="inlineStr">
        <is>
          <t>P032AD227N8PCMY</t>
        </is>
      </c>
      <c r="E137" s="14" t="inlineStr">
        <is>
          <t>GW2206-053</t>
        </is>
      </c>
      <c r="F137" s="14" t="inlineStr">
        <is>
          <t>Shipping</t>
        </is>
      </c>
      <c r="J137" s="2" t="inlineStr">
        <is>
          <t>Ni-MH</t>
        </is>
      </c>
      <c r="O137" s="14">
        <f>IFERROR(INDEX(Settings!$AC$3:$AC$95,MATCH(Gateways_DynamoDB!$F137,Settings!$B$3:$B$95,0)),"")</f>
        <v/>
      </c>
    </row>
    <row r="138">
      <c r="A138" s="14" t="inlineStr">
        <is>
          <t>MULTIMEDA</t>
        </is>
      </c>
      <c r="B138" s="14">
        <f>IFERROR(INDEX(Companies!$A$3:$A$101,MATCH(A138,Companies!$B$3:$B$101,0)),"")</f>
        <v/>
      </c>
      <c r="C138" s="83" t="inlineStr">
        <is>
          <t>e00fce68bf735c983fdfd7c0</t>
        </is>
      </c>
      <c r="D138" s="14" t="inlineStr">
        <is>
          <t>P032AD227BALMXE</t>
        </is>
      </c>
      <c r="E138" s="14" t="inlineStr">
        <is>
          <t>GW2206-081</t>
        </is>
      </c>
      <c r="F138" s="14" t="inlineStr">
        <is>
          <t>TEST_F4-1h-1h</t>
        </is>
      </c>
      <c r="J138" s="2" t="inlineStr">
        <is>
          <t>Ni-MH</t>
        </is>
      </c>
      <c r="O138" s="14">
        <f>IFERROR(INDEX(Settings!$AC$3:$AC$95,MATCH(Gateways_DynamoDB!$F138,Settings!$B$3:$B$95,0)),"")</f>
        <v/>
      </c>
    </row>
    <row r="139">
      <c r="A139" s="14" t="inlineStr">
        <is>
          <t>TALGO</t>
        </is>
      </c>
      <c r="B139" s="14">
        <f>IFERROR(INDEX(Companies!$A$3:$A$101,MATCH(A139,Companies!$B$3:$B$101,0)),"")</f>
        <v/>
      </c>
      <c r="C139" s="83" t="inlineStr">
        <is>
          <t>e00fce684a147cc93213dbfe</t>
        </is>
      </c>
      <c r="D139" s="14" t="inlineStr">
        <is>
          <t>P032AD227K2E5T6</t>
        </is>
      </c>
      <c r="E139" s="14" t="inlineStr">
        <is>
          <t>GW2206-020</t>
        </is>
      </c>
      <c r="F139" s="14" t="inlineStr">
        <is>
          <t>Shipping</t>
        </is>
      </c>
      <c r="J139" s="2" t="inlineStr">
        <is>
          <t>Ni-MH</t>
        </is>
      </c>
      <c r="O139" s="14">
        <f>IFERROR(INDEX(Settings!$AC$3:$AC$95,MATCH(Gateways_DynamoDB!$F139,Settings!$B$3:$B$95,0)),"")</f>
        <v/>
      </c>
    </row>
    <row r="140">
      <c r="A140" s="14" t="inlineStr">
        <is>
          <t>TRANSWAGGON</t>
        </is>
      </c>
      <c r="B140" s="14">
        <f>IFERROR(INDEX(Companies!$A$3:$A$101,MATCH(A140,Companies!$B$3:$B$101,0)),"")</f>
        <v/>
      </c>
      <c r="C140" s="83" t="inlineStr">
        <is>
          <t>e00fce68d64dc3027f38fc5f</t>
        </is>
      </c>
      <c r="D140" s="14" t="inlineStr">
        <is>
          <t>P032AD227HWX2U5</t>
        </is>
      </c>
      <c r="E140" s="14" t="inlineStr">
        <is>
          <t>GW2206-076</t>
        </is>
      </c>
      <c r="F140" s="14" t="inlineStr">
        <is>
          <t>Slow-5-12h</t>
        </is>
      </c>
      <c r="J140" s="2" t="inlineStr">
        <is>
          <t>Ni-MH</t>
        </is>
      </c>
      <c r="O140" s="14">
        <f>IFERROR(INDEX(Settings!$AC$3:$AC$95,MATCH(Gateways_DynamoDB!$F140,Settings!$B$3:$B$95,0)),"")</f>
        <v/>
      </c>
    </row>
    <row r="141">
      <c r="A141" s="14" t="inlineStr">
        <is>
          <t>TALGO</t>
        </is>
      </c>
      <c r="B141" s="14">
        <f>IFERROR(INDEX(Companies!$A$3:$A$101,MATCH(A141,Companies!$B$3:$B$101,0)),"")</f>
        <v/>
      </c>
      <c r="C141" s="83" t="inlineStr">
        <is>
          <t>e00fce686715edcf69b81a0c</t>
        </is>
      </c>
      <c r="D141" s="14" t="inlineStr">
        <is>
          <t>P032AD2274PAYN8</t>
        </is>
      </c>
      <c r="E141" s="14" t="inlineStr">
        <is>
          <t>GW2206-088</t>
        </is>
      </c>
      <c r="F141" s="14" t="inlineStr">
        <is>
          <t>Shipping</t>
        </is>
      </c>
      <c r="J141" s="2" t="inlineStr">
        <is>
          <t>Ni-MH</t>
        </is>
      </c>
      <c r="O141" s="14">
        <f>IFERROR(INDEX(Settings!$AC$3:$AC$95,MATCH(Gateways_DynamoDB!$F141,Settings!$B$3:$B$95,0)),"")</f>
        <v/>
      </c>
    </row>
    <row r="142">
      <c r="A142" s="14" t="inlineStr">
        <is>
          <t>MULTIMEDA</t>
        </is>
      </c>
      <c r="B142" s="14">
        <f>IFERROR(INDEX(Companies!$A$3:$A$101,MATCH(A142,Companies!$B$3:$B$101,0)),"")</f>
        <v/>
      </c>
      <c r="C142" s="83" t="inlineStr">
        <is>
          <t>e00fce68e678878f8ed20ea9</t>
        </is>
      </c>
      <c r="D142" s="14" t="inlineStr">
        <is>
          <t>P032AD227SP6CLV</t>
        </is>
      </c>
      <c r="E142" s="14" t="inlineStr">
        <is>
          <t>GW2206-011</t>
        </is>
      </c>
      <c r="F142" s="14" t="inlineStr">
        <is>
          <t>Shipping</t>
        </is>
      </c>
      <c r="J142" s="2" t="inlineStr">
        <is>
          <t>Ni-MH</t>
        </is>
      </c>
      <c r="O142" s="14">
        <f>IFERROR(INDEX(Settings!$AC$3:$AC$95,MATCH(Gateways_DynamoDB!$F142,Settings!$B$3:$B$95,0)),"")</f>
        <v/>
      </c>
    </row>
    <row r="143">
      <c r="A143" s="14" t="inlineStr">
        <is>
          <t>TALGO</t>
        </is>
      </c>
      <c r="B143" s="14">
        <f>IFERROR(INDEX(Companies!$A$3:$A$101,MATCH(A143,Companies!$B$3:$B$101,0)),"")</f>
        <v/>
      </c>
      <c r="C143" s="83" t="inlineStr">
        <is>
          <t>e00fce68b1185013c4956393</t>
        </is>
      </c>
      <c r="D143" s="14" t="inlineStr">
        <is>
          <t>P032AD227DJ38SC</t>
        </is>
      </c>
      <c r="E143" s="14" t="inlineStr">
        <is>
          <t>GW2206-085</t>
        </is>
      </c>
      <c r="F143" s="14" t="inlineStr">
        <is>
          <t>Shipping</t>
        </is>
      </c>
      <c r="J143" s="2" t="inlineStr">
        <is>
          <t>Ni-MH</t>
        </is>
      </c>
      <c r="O143" s="14">
        <f>IFERROR(INDEX(Settings!$AC$3:$AC$95,MATCH(Gateways_DynamoDB!$F143,Settings!$B$3:$B$95,0)),"")</f>
        <v/>
      </c>
    </row>
  </sheetData>
  <autoFilter ref="A1:N218">
    <sortState ref="A4:N133">
      <sortCondition sortBy="cellColor" ref="E1:E218" dxfId="102"/>
    </sortState>
  </autoFilter>
  <conditionalFormatting sqref="A31">
    <cfRule type="duplicateValues" priority="70" dxfId="16"/>
    <cfRule type="duplicateValues" priority="71" dxfId="16"/>
  </conditionalFormatting>
  <conditionalFormatting sqref="A81">
    <cfRule type="duplicateValues" priority="924" dxfId="16"/>
  </conditionalFormatting>
  <conditionalFormatting sqref="A108">
    <cfRule type="duplicateValues" priority="923" dxfId="16"/>
  </conditionalFormatting>
  <conditionalFormatting sqref="A109">
    <cfRule type="duplicateValues" priority="922" dxfId="16"/>
  </conditionalFormatting>
  <conditionalFormatting sqref="C1:C46 C48:C1048576 D47">
    <cfRule type="duplicateValues" priority="939" dxfId="16"/>
    <cfRule type="duplicateValues" priority="935" dxfId="16"/>
  </conditionalFormatting>
  <conditionalFormatting sqref="D1:D1048576">
    <cfRule type="duplicateValues" priority="934" dxfId="16"/>
  </conditionalFormatting>
  <conditionalFormatting sqref="E1:E9 E11:E41 E43:E66 E68 E70:E109 E111:E1048576">
    <cfRule type="duplicateValues" priority="926" dxfId="16"/>
    <cfRule type="duplicateValues" priority="937" dxfId="16"/>
  </conditionalFormatting>
  <conditionalFormatting sqref="E42">
    <cfRule type="duplicateValues" priority="69" dxfId="16"/>
  </conditionalFormatting>
  <conditionalFormatting sqref="E67">
    <cfRule type="duplicateValues" priority="68" dxfId="16"/>
  </conditionalFormatting>
  <conditionalFormatting sqref="E69">
    <cfRule type="duplicateValues" priority="67" dxfId="16"/>
  </conditionalFormatting>
  <conditionalFormatting sqref="E110">
    <cfRule type="duplicateValues" priority="66" dxfId="16"/>
  </conditionalFormatting>
  <conditionalFormatting sqref="F1:F16 F18:F22 F26:F29 F34 F38 F42 F44 F50:F51 F54 F59:F61 F65:F66 F73 F75:F76 F80:F83 F86 F88:F89 F93 F98 F110:F111 F116">
    <cfRule type="cellIs" priority="921" operator="equal" dxfId="45">
      <formula>"Dev2"</formula>
    </cfRule>
    <cfRule type="cellIs" priority="920" operator="equal" dxfId="45">
      <formula>"Dev3"</formula>
    </cfRule>
  </conditionalFormatting>
  <conditionalFormatting sqref="F1:F1048576">
    <cfRule type="cellIs" priority="62" operator="equal" dxfId="85">
      <formula>"DD_ONLY_discovery"</formula>
    </cfRule>
    <cfRule type="cellIs" priority="27" operator="equal" dxfId="4">
      <formula>"Normal-4-12h"</formula>
    </cfRule>
    <cfRule type="cellIs" priority="23" operator="equal" dxfId="14">
      <formula>"Discovery"</formula>
    </cfRule>
    <cfRule type="cellIs" priority="24" operator="equal" dxfId="13">
      <formula>"Normal-2-6h"</formula>
    </cfRule>
    <cfRule type="cellIs" priority="26" operator="equal" dxfId="11">
      <formula>"TEST_F1-30min-4h"</formula>
    </cfRule>
    <cfRule type="cellIs" priority="88" operator="equal" dxfId="80">
      <formula>"Normal-V33"</formula>
    </cfRule>
    <cfRule type="cellIs" priority="28" operator="equal" dxfId="3">
      <formula>"Super Fast-20min-1h"</formula>
    </cfRule>
    <cfRule type="cellIs" priority="29" operator="equal" dxfId="2">
      <formula>"Slow-5-12h"</formula>
    </cfRule>
    <cfRule type="cellIs" priority="30" operator="equal" dxfId="1">
      <formula>"Shipping"</formula>
    </cfRule>
    <cfRule type="cellIs" priority="75" operator="equal" dxfId="76">
      <formula>"Dev1"</formula>
    </cfRule>
    <cfRule type="cellIs" priority="63" operator="equal" dxfId="75">
      <formula>"Fast-1-3h"</formula>
    </cfRule>
    <cfRule type="cellIs" priority="64" operator="equal" dxfId="74">
      <formula>"NO_SPEED_2h"</formula>
    </cfRule>
  </conditionalFormatting>
  <conditionalFormatting sqref="F30:F33">
    <cfRule type="cellIs" priority="280" operator="equal" dxfId="12">
      <formula>"TEST_F2-30min-1h"</formula>
    </cfRule>
  </conditionalFormatting>
  <conditionalFormatting sqref="F35:F37">
    <cfRule type="cellIs" priority="631" operator="equal" dxfId="12">
      <formula>"TEST_F2-30min-1h"</formula>
    </cfRule>
  </conditionalFormatting>
  <conditionalFormatting sqref="F39:F41">
    <cfRule type="cellIs" priority="613" operator="equal" dxfId="12">
      <formula>"TEST_F2-30min-1h"</formula>
    </cfRule>
  </conditionalFormatting>
  <conditionalFormatting sqref="F43">
    <cfRule type="cellIs" priority="883" operator="equal" dxfId="12">
      <formula>"TEST_F2-30min-1h"</formula>
    </cfRule>
  </conditionalFormatting>
  <conditionalFormatting sqref="F45:F49">
    <cfRule type="cellIs" priority="550" operator="equal" dxfId="12">
      <formula>"TEST_F2-30min-1h"</formula>
    </cfRule>
  </conditionalFormatting>
  <conditionalFormatting sqref="F52:F53">
    <cfRule type="cellIs" priority="532" operator="equal" dxfId="12">
      <formula>"TEST_F2-30min-1h"</formula>
    </cfRule>
  </conditionalFormatting>
  <conditionalFormatting sqref="F55:F58">
    <cfRule type="cellIs" priority="496" operator="equal" dxfId="12">
      <formula>"TEST_F2-30min-1h"</formula>
    </cfRule>
  </conditionalFormatting>
  <conditionalFormatting sqref="F62:F64">
    <cfRule type="cellIs" priority="271" operator="equal" dxfId="12">
      <formula>"TEST_F2-30min-1h"</formula>
    </cfRule>
  </conditionalFormatting>
  <conditionalFormatting sqref="F67:F72">
    <cfRule type="cellIs" priority="226" operator="equal" dxfId="12">
      <formula>"TEST_F2-30min-1h"</formula>
    </cfRule>
  </conditionalFormatting>
  <conditionalFormatting sqref="F74">
    <cfRule type="cellIs" priority="217" operator="equal" dxfId="12">
      <formula>"TEST_F2-30min-1h"</formula>
    </cfRule>
  </conditionalFormatting>
  <conditionalFormatting sqref="F17 F23:F25 F77:F79">
    <cfRule type="cellIs" priority="703" operator="equal" dxfId="12">
      <formula>"TEST_F2-30min-1h"</formula>
    </cfRule>
  </conditionalFormatting>
  <conditionalFormatting sqref="F78">
    <cfRule type="cellIs" priority="77" operator="equal" dxfId="45">
      <formula>"Dev3"</formula>
    </cfRule>
    <cfRule type="cellIs" priority="78" operator="equal" dxfId="45">
      <formula>"Dev2"</formula>
    </cfRule>
    <cfRule type="cellIs" priority="76" operator="equal" dxfId="47">
      <formula>"TEST_F2-30min-1h"</formula>
    </cfRule>
  </conditionalFormatting>
  <conditionalFormatting sqref="F84:F85">
    <cfRule type="cellIs" priority="460" operator="equal" dxfId="12">
      <formula>"TEST_F2-30min-1h"</formula>
    </cfRule>
  </conditionalFormatting>
  <conditionalFormatting sqref="F87">
    <cfRule type="cellIs" priority="451" operator="equal" dxfId="12">
      <formula>"TEST_F2-30min-1h"</formula>
    </cfRule>
  </conditionalFormatting>
  <conditionalFormatting sqref="F90:F92">
    <cfRule type="cellIs" priority="181" operator="equal" dxfId="12">
      <formula>"TEST_F2-30min-1h"</formula>
    </cfRule>
  </conditionalFormatting>
  <conditionalFormatting sqref="F94:F97">
    <cfRule type="cellIs" priority="172" operator="equal" dxfId="12">
      <formula>"TEST_F2-30min-1h"</formula>
    </cfRule>
  </conditionalFormatting>
  <conditionalFormatting sqref="F99:F109">
    <cfRule type="cellIs" priority="145" operator="equal" dxfId="12">
      <formula>"TEST_F2-30min-1h"</formula>
    </cfRule>
  </conditionalFormatting>
  <conditionalFormatting sqref="F112:F115">
    <cfRule type="cellIs" priority="136" operator="equal" dxfId="12">
      <formula>"TEST_F2-30min-1h"</formula>
    </cfRule>
  </conditionalFormatting>
  <conditionalFormatting sqref="F117:F118">
    <cfRule type="cellIs" priority="712" operator="equal" dxfId="12">
      <formula>"TEST_F2-30min-1h"</formula>
    </cfRule>
  </conditionalFormatting>
  <conditionalFormatting sqref="F1:F16 F18:F22 F26:F29 F34 F38 F42 F44 F50:F51 F54 F59:F61 F65:F66 F73 F75:F76 F80:F83 F86 F88:F89 F93 F98 F110:F111 F116 F119:F127 F132:F133 F135:F136 F139:F141 F143:F1048576">
    <cfRule type="cellIs" priority="918" operator="equal" dxfId="47">
      <formula>"TEST_F2-30min-1h"</formula>
    </cfRule>
  </conditionalFormatting>
  <conditionalFormatting sqref="F119:F127">
    <cfRule type="cellIs" priority="81" operator="equal" dxfId="45">
      <formula>"Dev3"</formula>
    </cfRule>
    <cfRule type="cellIs" priority="82" operator="equal" dxfId="45">
      <formula>"Dev2"</formula>
    </cfRule>
  </conditionalFormatting>
  <conditionalFormatting sqref="F125:F132">
    <cfRule type="cellIs" priority="91" operator="equal" dxfId="12">
      <formula>"TEST_F2-30min-1h"</formula>
    </cfRule>
  </conditionalFormatting>
  <conditionalFormatting sqref="F127">
    <cfRule type="cellIs" priority="80" operator="equal" dxfId="47">
      <formula>"TEST_F2-30min-1h"</formula>
    </cfRule>
  </conditionalFormatting>
  <conditionalFormatting sqref="F131">
    <cfRule type="cellIs" priority="72" operator="equal" dxfId="47">
      <formula>"TEST_F2-30min-1h"</formula>
    </cfRule>
  </conditionalFormatting>
  <conditionalFormatting sqref="F131:F133 F135:F136 F139:F141 F143:F1048576">
    <cfRule type="cellIs" priority="73" operator="equal" dxfId="45">
      <formula>"Dev3"</formula>
    </cfRule>
    <cfRule type="cellIs" priority="74" operator="equal" dxfId="45">
      <formula>"Dev2"</formula>
    </cfRule>
  </conditionalFormatting>
  <conditionalFormatting sqref="F134">
    <cfRule type="cellIs" priority="11" operator="equal" dxfId="12">
      <formula>"TEST_F2-30min-1h"</formula>
    </cfRule>
    <cfRule type="cellIs" priority="10" operator="equal" dxfId="15">
      <formula>"Normal-V33"</formula>
    </cfRule>
    <cfRule type="cellIs" priority="12" operator="equal" dxfId="0">
      <formula>"Fast-1-3h"</formula>
    </cfRule>
  </conditionalFormatting>
  <conditionalFormatting sqref="F137:F139">
    <cfRule type="cellIs" priority="6" operator="equal" dxfId="0">
      <formula>"Fast-1-3h"</formula>
    </cfRule>
    <cfRule type="cellIs" priority="5" operator="equal" dxfId="12">
      <formula>"TEST_F2-30min-1h"</formula>
    </cfRule>
    <cfRule type="cellIs" priority="4" operator="equal" dxfId="15">
      <formula>"Normal-V33"</formula>
    </cfRule>
  </conditionalFormatting>
  <conditionalFormatting sqref="F142">
    <cfRule type="cellIs" priority="1" operator="equal" dxfId="15">
      <formula>"Normal-V33"</formula>
    </cfRule>
    <cfRule type="cellIs" priority="3" operator="equal" dxfId="0">
      <formula>"Fast-1-3h"</formula>
    </cfRule>
    <cfRule type="cellIs" priority="2" operator="equal" dxfId="12">
      <formula>"TEST_F2-30min-1h"</formula>
    </cfRule>
  </conditionalFormatting>
  <conditionalFormatting sqref="I1:I1048576">
    <cfRule type="cellIs" priority="938" operator="equal" dxfId="35">
      <formula>"T524M"</formula>
    </cfRule>
  </conditionalFormatting>
  <dataValidations count="1">
    <dataValidation sqref="K1:K1048576" showDropDown="0" showInputMessage="1" showErrorMessage="1" allowBlank="0" type="date" operator="greaterThan">
      <formula1>36891</formula1>
    </dataValidation>
  </dataValidations>
  <pageMargins left="0.7" right="0.7" top="0.75" bottom="0.75" header="0.3" footer="0.3"/>
  <pageSetup orientation="portrait" paperSize="9" horizontalDpi="360" verticalDpi="360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2377"/>
  <sheetViews>
    <sheetView tabSelected="1" zoomScaleNormal="100" workbookViewId="0">
      <pane ySplit="1" topLeftCell="A2370" activePane="bottomLeft" state="frozen"/>
      <selection pane="bottomLeft" activeCell="G2376" sqref="G2376"/>
    </sheetView>
  </sheetViews>
  <sheetFormatPr baseColWidth="8" defaultColWidth="9.109375" defaultRowHeight="14.4"/>
  <cols>
    <col width="18.44140625" bestFit="1" customWidth="1" style="32" min="1" max="1"/>
    <col width="27.88671875" bestFit="1" customWidth="1" min="2" max="2"/>
    <col width="14.44140625" bestFit="1" customWidth="1" min="3" max="3"/>
    <col width="15.44140625" bestFit="1" customWidth="1" min="4" max="4"/>
    <col width="18.44140625" bestFit="1" customWidth="1" min="5" max="5"/>
    <col width="18.6640625" bestFit="1" customWidth="1" style="29" min="6" max="6"/>
    <col width="14.109375" bestFit="1" customWidth="1" style="29" min="7" max="7"/>
    <col width="22.5546875" customWidth="1" style="2" min="8" max="8"/>
    <col width="14.6640625" bestFit="1" customWidth="1" min="9" max="9"/>
    <col width="22.88671875" customWidth="1" min="10" max="10"/>
    <col width="17.44140625" bestFit="1" customWidth="1" style="27" min="11" max="11"/>
    <col width="12.88671875" bestFit="1" customWidth="1" style="27" min="12" max="12"/>
    <col width="16.44140625" bestFit="1" customWidth="1" style="61" min="13" max="13"/>
    <col width="47.6640625" bestFit="1" customWidth="1" style="99" min="14" max="14"/>
    <col width="13.109375" bestFit="1" customWidth="1" min="15" max="15"/>
    <col width="10.44140625" bestFit="1" customWidth="1" min="16" max="16"/>
    <col width="9.109375" customWidth="1" min="17" max="17"/>
  </cols>
  <sheetData>
    <row r="1" customFormat="1" s="3">
      <c r="A1" s="31" t="inlineStr">
        <is>
          <t>operator_name</t>
        </is>
      </c>
      <c r="B1" s="17" t="inlineStr">
        <is>
          <t>operator_id</t>
        </is>
      </c>
      <c r="C1" s="3" t="inlineStr">
        <is>
          <t>wagon_type</t>
        </is>
      </c>
      <c r="D1" s="3" t="inlineStr">
        <is>
          <t>mac_addr</t>
        </is>
      </c>
      <c r="E1" s="3" t="inlineStr">
        <is>
          <t>mac_addr_full</t>
        </is>
      </c>
      <c r="F1" s="31" t="inlineStr">
        <is>
          <t>installation_date</t>
        </is>
      </c>
      <c r="G1" s="31" t="inlineStr">
        <is>
          <t>installed_by</t>
        </is>
      </c>
      <c r="H1" s="116" t="inlineStr">
        <is>
          <t>sn</t>
        </is>
      </c>
      <c r="I1" s="3" t="inlineStr">
        <is>
          <t>harvester_id</t>
        </is>
      </c>
      <c r="J1" s="17" t="inlineStr">
        <is>
          <t>case_nr</t>
        </is>
      </c>
      <c r="K1" s="38" t="inlineStr">
        <is>
          <t>wagon_nr</t>
        </is>
      </c>
      <c r="L1" s="38" t="inlineStr">
        <is>
          <t>placement</t>
        </is>
      </c>
      <c r="M1" s="60" t="inlineStr">
        <is>
          <t>axle_nr</t>
        </is>
      </c>
      <c r="N1" s="98" t="inlineStr">
        <is>
          <t>note</t>
        </is>
      </c>
      <c r="O1" s="3" t="inlineStr">
        <is>
          <t>fw_version</t>
        </is>
      </c>
      <c r="P1" s="3" t="inlineStr">
        <is>
          <t>pcb_sn</t>
        </is>
      </c>
    </row>
    <row r="2">
      <c r="A2" s="32">
        <f>IFERROR(_xlfn.IFNA(INDEX(Sensors_MANU!$E$2:$E$4692,MATCH($D2,Sensors_MANU!$B$2:$B$4692,0)),INDEX(Sensors_MANU!$E$2:$E$4692,MATCH($P2,Sensors_MANU!$A$2:$A$4692,0))),"")</f>
        <v/>
      </c>
      <c r="B2" s="24">
        <f>IFERROR(INDEX(Companies!$A$3:$A$101,MATCH(A2,Companies!$B$3:$B$101,0)),"")</f>
        <v/>
      </c>
      <c r="C2" t="inlineStr">
        <is>
          <t>Cargo</t>
        </is>
      </c>
      <c r="D2" t="inlineStr">
        <is>
          <t>EC5EDE1E5DAC</t>
        </is>
      </c>
      <c r="E2">
        <f>LEFT(D2,2)&amp;":"&amp;MID(D2,3,2)&amp;":"&amp;MID(D2,5,2)&amp;":"&amp;MID(D2,7,2)&amp;":"&amp;MID(D2,9,2)&amp;":"&amp;RIGHT(D2,2)</f>
        <v/>
      </c>
      <c r="H2" t="inlineStr">
        <is>
          <t>9BD0F696F03648E2</t>
        </is>
      </c>
      <c r="I2" s="6">
        <f>IFERROR(_xlfn.IFNA(INDEX(Sensors_MANU!$C$2:$C$4692,MATCH($D2,Sensors_MANU!$B$2:$B$4692,0)),INDEX(Sensors_MANU!$C$2:$C$4692,MATCH($P2,Sensors_MANU!$A$2:$A$4692,0))),"")</f>
        <v/>
      </c>
      <c r="J2">
        <f>IFERROR(_xlfn.IFNA(INDEX(Sensors_MANU!$D$2:$D$4692,MATCH($D2,Sensors_MANU!$B$2:$B$4692,0)),INDEX(Sensors_MANU!$D$2:$D$4692,MATCH($P2,Sensors_MANU!$A$2:$A$4692,0))),"")</f>
        <v/>
      </c>
      <c r="K2" s="35" t="n"/>
      <c r="L2" s="35" t="n"/>
      <c r="M2" s="35" t="n"/>
      <c r="N2" s="99">
        <f>IFERROR(INDEX(Sensors_MANU!$G$2:$G$4692,MATCH($P2,Sensors_MANU!$A$2:$A$4692,0)),)</f>
        <v/>
      </c>
      <c r="O2" s="6" t="inlineStr">
        <is>
          <t>v15</t>
        </is>
      </c>
      <c r="P2" t="n">
        <v>4978893</v>
      </c>
    </row>
    <row r="3">
      <c r="A3" s="32">
        <f>IFERROR(_xlfn.IFNA(INDEX(Sensors_MANU!$E$2:$E$4692,MATCH($D3,Sensors_MANU!$B$2:$B$4692,0)),INDEX(Sensors_MANU!$E$2:$E$4692,MATCH($P3,Sensors_MANU!$A$2:$A$4692,0))),"")</f>
        <v/>
      </c>
      <c r="B3" s="24">
        <f>IFERROR(INDEX(Companies!$A$3:$A$101,MATCH(A3,Companies!$B$3:$B$101,0)),"")</f>
        <v/>
      </c>
      <c r="C3" t="inlineStr">
        <is>
          <t>cargo</t>
        </is>
      </c>
      <c r="D3" t="inlineStr">
        <is>
          <t>F5E6900F2468</t>
        </is>
      </c>
      <c r="E3">
        <f>LEFT(D3,2)&amp;":"&amp;MID(D3,3,2)&amp;":"&amp;MID(D3,5,2)&amp;":"&amp;MID(D3,7,2)&amp;":"&amp;MID(D3,9,2)&amp;":"&amp;RIGHT(D3,2)</f>
        <v/>
      </c>
      <c r="H3" t="inlineStr">
        <is>
          <t>6A15C584C8CFC67E</t>
        </is>
      </c>
      <c r="I3" s="6">
        <f>IFERROR(_xlfn.IFNA(INDEX(Sensors_MANU!$C$2:$C$4692,MATCH($D3,Sensors_MANU!$B$2:$B$4692,0)),INDEX(Sensors_MANU!$C$2:$C$4692,MATCH($P3,Sensors_MANU!$A$2:$A$4692,0))),"")</f>
        <v/>
      </c>
      <c r="J3">
        <f>IFERROR(_xlfn.IFNA(INDEX(Sensors_MANU!$D$2:$D$4692,MATCH($D3,Sensors_MANU!$B$2:$B$4692,0)),INDEX(Sensors_MANU!$D$2:$D$4692,MATCH($P3,Sensors_MANU!$A$2:$A$4692,0))),"")</f>
        <v/>
      </c>
      <c r="K3" s="35" t="n"/>
      <c r="L3" s="35" t="n"/>
      <c r="M3" s="35" t="n"/>
      <c r="N3" s="99">
        <f>IFERROR(INDEX(Sensors_MANU!$G$2:$G$4692,MATCH($P3,Sensors_MANU!$A$2:$A$4692,0)),)</f>
        <v/>
      </c>
      <c r="O3" s="6" t="inlineStr">
        <is>
          <t>v15</t>
        </is>
      </c>
      <c r="P3" t="n">
        <v>4978559</v>
      </c>
    </row>
    <row r="4">
      <c r="A4" s="32">
        <f>IFERROR(_xlfn.IFNA(INDEX(Sensors_MANU!$E$2:$E$4692,MATCH($D4,Sensors_MANU!$B$2:$B$4692,0)),INDEX(Sensors_MANU!$E$2:$E$4692,MATCH($P4,Sensors_MANU!$A$2:$A$4692,0))),"")</f>
        <v/>
      </c>
      <c r="B4" s="24">
        <f>IFERROR(INDEX(Companies!$A$3:$A$101,MATCH(A4,Companies!$B$3:$B$101,0)),"")</f>
        <v/>
      </c>
      <c r="C4">
        <f>IFERROR(_xlfn.IFNA(INDEX(Sensors_MANU!$F$2:$F$4692,MATCH($D4,Sensors_MANU!$B$2:$B$4692,0)),INDEX(Sensors_MANU!$F$2:$F$4692,MATCH($P4,Sensors_MANU!$A$2:$A$4692,0))),"")</f>
        <v/>
      </c>
      <c r="D4" t="inlineStr">
        <is>
          <t>CCBE92DDADA2</t>
        </is>
      </c>
      <c r="E4">
        <f>LEFT(D4,2)&amp;":"&amp;MID(D4,3,2)&amp;":"&amp;MID(D4,5,2)&amp;":"&amp;MID(D4,7,2)&amp;":"&amp;MID(D4,9,2)&amp;":"&amp;RIGHT(D4,2)</f>
        <v/>
      </c>
      <c r="H4" t="inlineStr">
        <is>
          <t>3104D52E64F6BC42</t>
        </is>
      </c>
      <c r="I4">
        <f>IFERROR(_xlfn.IFNA(INDEX(Sensors_MANU!$C$2:$C$4692,MATCH($D4,Sensors_MANU!$B$2:$B$4692,0)),INDEX(Sensors_MANU!$C$2:$C$4692,MATCH($P4,Sensors_MANU!$A$2:$A$4692,0))),"")</f>
        <v/>
      </c>
      <c r="J4">
        <f>IFERROR(_xlfn.IFNA(INDEX(Sensors_MANU!$D$2:$D$4692,MATCH($D4,Sensors_MANU!$B$2:$B$4692,0)),INDEX(Sensors_MANU!$D$2:$D$4692,MATCH($P4,Sensors_MANU!$A$2:$A$4692,0))),"")</f>
        <v/>
      </c>
      <c r="M4" s="27" t="n"/>
      <c r="N4" s="99">
        <f>IFERROR(INDEX(Sensors_MANU!$G$2:$G$4692,MATCH($P4,Sensors_MANU!$A$2:$A$4692,0)),)</f>
        <v/>
      </c>
      <c r="O4" s="6" t="inlineStr">
        <is>
          <t>v16</t>
        </is>
      </c>
      <c r="P4" t="n">
        <v>4978760</v>
      </c>
    </row>
    <row r="5">
      <c r="A5" s="32">
        <f>IFERROR(_xlfn.IFNA(INDEX(Sensors_MANU!$E$2:$E$4692,MATCH($D5,Sensors_MANU!$B$2:$B$4692,0)),INDEX(Sensors_MANU!$E$2:$E$4692,MATCH($P5,Sensors_MANU!$A$2:$A$4692,0))),"")</f>
        <v/>
      </c>
      <c r="B5" s="24">
        <f>IFERROR(INDEX(Companies!$A$3:$A$101,MATCH(A5,Companies!$B$3:$B$101,0)),"")</f>
        <v/>
      </c>
      <c r="C5">
        <f>IFERROR(_xlfn.IFNA(INDEX(Sensors_MANU!$F$2:$F$4692,MATCH($D5,Sensors_MANU!$B$2:$B$4692,0)),INDEX(Sensors_MANU!$F$2:$F$4692,MATCH($P5,Sensors_MANU!$A$2:$A$4692,0))),"")</f>
        <v/>
      </c>
      <c r="D5" t="inlineStr">
        <is>
          <t>EBDBAF70D5EB</t>
        </is>
      </c>
      <c r="E5">
        <f>LEFT(D5,2)&amp;":"&amp;MID(D5,3,2)&amp;":"&amp;MID(D5,5,2)&amp;":"&amp;MID(D5,7,2)&amp;":"&amp;MID(D5,9,2)&amp;":"&amp;RIGHT(D5,2)</f>
        <v/>
      </c>
      <c r="H5" t="inlineStr">
        <is>
          <t>A77AFEC1B85B62CA</t>
        </is>
      </c>
      <c r="I5">
        <f>IFERROR(_xlfn.IFNA(INDEX(Sensors_MANU!$C$2:$C$4692,MATCH($D5,Sensors_MANU!$B$2:$B$4692,0)),INDEX(Sensors_MANU!$C$2:$C$4692,MATCH($P5,Sensors_MANU!$A$2:$A$4692,0))),"")</f>
        <v/>
      </c>
      <c r="J5">
        <f>IFERROR(_xlfn.IFNA(INDEX(Sensors_MANU!$D$2:$D$4692,MATCH($D5,Sensors_MANU!$B$2:$B$4692,0)),INDEX(Sensors_MANU!$D$2:$D$4692,MATCH($P5,Sensors_MANU!$A$2:$A$4692,0))),"")</f>
        <v/>
      </c>
      <c r="M5" s="27" t="n"/>
      <c r="N5" s="99">
        <f>IFERROR(INDEX(Sensors_MANU!$G$2:$G$4692,MATCH($P5,Sensors_MANU!$A$2:$A$4692,0)),)</f>
        <v/>
      </c>
      <c r="O5" s="6" t="inlineStr">
        <is>
          <t>v16</t>
        </is>
      </c>
      <c r="P5" t="n">
        <v>4978894</v>
      </c>
    </row>
    <row r="6">
      <c r="A6" s="32">
        <f>IFERROR(_xlfn.IFNA(INDEX(Sensors_MANU!$E$2:$E$4692,MATCH($D6,Sensors_MANU!$B$2:$B$4692,0)),INDEX(Sensors_MANU!$E$2:$E$4692,MATCH($P6,Sensors_MANU!$A$2:$A$4692,0))),"")</f>
        <v/>
      </c>
      <c r="B6" s="24">
        <f>IFERROR(INDEX(Companies!$A$3:$A$101,MATCH(A6,Companies!$B$3:$B$101,0)),"")</f>
        <v/>
      </c>
      <c r="C6">
        <f>IFERROR(_xlfn.IFNA(INDEX(Sensors_MANU!$F$2:$F$4692,MATCH($D6,Sensors_MANU!$B$2:$B$4692,0)),INDEX(Sensors_MANU!$F$2:$F$4692,MATCH($P6,Sensors_MANU!$A$2:$A$4692,0))),"")</f>
        <v/>
      </c>
      <c r="D6" t="inlineStr">
        <is>
          <t>CF346653DE8F</t>
        </is>
      </c>
      <c r="E6">
        <f>LEFT(D6,2)&amp;":"&amp;MID(D6,3,2)&amp;":"&amp;MID(D6,5,2)&amp;":"&amp;MID(D6,7,2)&amp;":"&amp;MID(D6,9,2)&amp;":"&amp;RIGHT(D6,2)</f>
        <v/>
      </c>
      <c r="H6" t="inlineStr">
        <is>
          <t>B51ED4D08EDB68DC</t>
        </is>
      </c>
      <c r="I6">
        <f>IFERROR(_xlfn.IFNA(INDEX(Sensors_MANU!$C$2:$C$4692,MATCH($D6,Sensors_MANU!$B$2:$B$4692,0)),INDEX(Sensors_MANU!$C$2:$C$4692,MATCH($P6,Sensors_MANU!$A$2:$A$4692,0))),"")</f>
        <v/>
      </c>
      <c r="J6">
        <f>IFERROR(_xlfn.IFNA(INDEX(Sensors_MANU!$D$2:$D$4692,MATCH($D6,Sensors_MANU!$B$2:$B$4692,0)),INDEX(Sensors_MANU!$D$2:$D$4692,MATCH($P6,Sensors_MANU!$A$2:$A$4692,0))),"")</f>
        <v/>
      </c>
      <c r="M6" s="27" t="n"/>
      <c r="N6" s="99">
        <f>IFERROR(INDEX(Sensors_MANU!$G$2:$G$4692,MATCH($P6,Sensors_MANU!$A$2:$A$4692,0)),)</f>
        <v/>
      </c>
      <c r="O6" s="6" t="inlineStr">
        <is>
          <t>v16</t>
        </is>
      </c>
      <c r="P6" t="n">
        <v>4978736</v>
      </c>
    </row>
    <row r="7">
      <c r="A7" s="32">
        <f>IFERROR(_xlfn.IFNA(INDEX(Sensors_MANU!$E$2:$E$4692,MATCH($D7,Sensors_MANU!$B$2:$B$4692,0)),INDEX(Sensors_MANU!$E$2:$E$4692,MATCH($P7,Sensors_MANU!$A$2:$A$4692,0))),"")</f>
        <v/>
      </c>
      <c r="B7" s="24">
        <f>IFERROR(INDEX(Companies!$A$3:$A$101,MATCH(A7,Companies!$B$3:$B$101,0)),"")</f>
        <v/>
      </c>
      <c r="C7">
        <f>IFERROR(_xlfn.IFNA(INDEX(Sensors_MANU!$F$2:$F$4692,MATCH($D7,Sensors_MANU!$B$2:$B$4692,0)),INDEX(Sensors_MANU!$F$2:$F$4692,MATCH($P7,Sensors_MANU!$A$2:$A$4692,0))),"")</f>
        <v/>
      </c>
      <c r="D7" t="inlineStr">
        <is>
          <t>C14457685970</t>
        </is>
      </c>
      <c r="E7">
        <f>LEFT(D7,2)&amp;":"&amp;MID(D7,3,2)&amp;":"&amp;MID(D7,5,2)&amp;":"&amp;MID(D7,7,2)&amp;":"&amp;MID(D7,9,2)&amp;":"&amp;RIGHT(D7,2)</f>
        <v/>
      </c>
      <c r="H7" t="inlineStr">
        <is>
          <t>44C642BFEA2ABC0F</t>
        </is>
      </c>
      <c r="I7">
        <f>IFERROR(_xlfn.IFNA(INDEX(Sensors_MANU!$C$2:$C$4692,MATCH($D7,Sensors_MANU!$B$2:$B$4692,0)),INDEX(Sensors_MANU!$C$2:$C$4692,MATCH($P7,Sensors_MANU!$A$2:$A$4692,0))),"")</f>
        <v/>
      </c>
      <c r="J7">
        <f>IFERROR(_xlfn.IFNA(INDEX(Sensors_MANU!$D$2:$D$4692,MATCH($D7,Sensors_MANU!$B$2:$B$4692,0)),INDEX(Sensors_MANU!$D$2:$D$4692,MATCH($P7,Sensors_MANU!$A$2:$A$4692,0))),"")</f>
        <v/>
      </c>
      <c r="M7" s="27" t="n"/>
      <c r="N7" s="99">
        <f>IFERROR(INDEX(Sensors_MANU!$G$2:$G$4692,MATCH($P7,Sensors_MANU!$A$2:$A$4692,0)),)</f>
        <v/>
      </c>
      <c r="O7" s="6" t="inlineStr">
        <is>
          <t>v16</t>
        </is>
      </c>
      <c r="P7" t="n">
        <v>4978852</v>
      </c>
    </row>
    <row r="8">
      <c r="A8" s="32">
        <f>IFERROR(_xlfn.IFNA(INDEX(Sensors_MANU!$E$2:$E$4692,MATCH($D8,Sensors_MANU!$B$2:$B$4692,0)),INDEX(Sensors_MANU!$E$2:$E$4692,MATCH($P8,Sensors_MANU!$A$2:$A$4692,0))),"")</f>
        <v/>
      </c>
      <c r="B8" s="24">
        <f>IFERROR(INDEX(Companies!$A$3:$A$101,MATCH(A8,Companies!$B$3:$B$101,0)),"")</f>
        <v/>
      </c>
      <c r="C8" t="inlineStr">
        <is>
          <t>cargo</t>
        </is>
      </c>
      <c r="D8" t="inlineStr">
        <is>
          <t>E52691E7E135</t>
        </is>
      </c>
      <c r="E8">
        <f>LEFT(D8,2)&amp;":"&amp;MID(D8,3,2)&amp;":"&amp;MID(D8,5,2)&amp;":"&amp;MID(D8,7,2)&amp;":"&amp;MID(D8,9,2)&amp;":"&amp;RIGHT(D8,2)</f>
        <v/>
      </c>
      <c r="H8" t="inlineStr">
        <is>
          <t>4DAFD62AFA537A1A</t>
        </is>
      </c>
      <c r="I8">
        <f>IFERROR(_xlfn.IFNA(INDEX(Sensors_MANU!$C$2:$C$4692,MATCH($D8,Sensors_MANU!$B$2:$B$4692,0)),INDEX(Sensors_MANU!$C$2:$C$4692,MATCH($P8,Sensors_MANU!$A$2:$A$4692,0))),"")</f>
        <v/>
      </c>
      <c r="J8">
        <f>IFERROR(_xlfn.IFNA(INDEX(Sensors_MANU!$D$2:$D$4692,MATCH($D8,Sensors_MANU!$B$2:$B$4692,0)),INDEX(Sensors_MANU!$D$2:$D$4692,MATCH($P8,Sensors_MANU!$A$2:$A$4692,0))),"")</f>
        <v/>
      </c>
      <c r="M8" s="27" t="n"/>
      <c r="N8" s="99">
        <f>IFERROR(INDEX(Sensors_MANU!$G$2:$G$4692,MATCH($P8,Sensors_MANU!$A$2:$A$4692,0)),)</f>
        <v/>
      </c>
      <c r="O8" s="6" t="inlineStr">
        <is>
          <t>v17</t>
        </is>
      </c>
      <c r="P8" t="n">
        <v>4978898</v>
      </c>
    </row>
    <row r="9">
      <c r="A9" s="32">
        <f>IFERROR(_xlfn.IFNA(INDEX(Sensors_MANU!$E$2:$E$4692,MATCH($D9,Sensors_MANU!$B$2:$B$4692,0)),INDEX(Sensors_MANU!$E$2:$E$4692,MATCH($P9,Sensors_MANU!$A$2:$A$4692,0))),"")</f>
        <v/>
      </c>
      <c r="B9" s="24">
        <f>IFERROR(INDEX(Companies!$A$3:$A$101,MATCH(A9,Companies!$B$3:$B$101,0)),"")</f>
        <v/>
      </c>
      <c r="C9">
        <f>IFERROR(_xlfn.IFNA(INDEX(Sensors_MANU!$F$2:$F$4692,MATCH($D9,Sensors_MANU!$B$2:$B$4692,0)),INDEX(Sensors_MANU!$F$2:$F$4692,MATCH($P9,Sensors_MANU!$A$2:$A$4692,0))),"")</f>
        <v/>
      </c>
      <c r="D9" t="inlineStr">
        <is>
          <t>C2E36726A269</t>
        </is>
      </c>
      <c r="E9">
        <f>LEFT(D9,2)&amp;":"&amp;MID(D9,3,2)&amp;":"&amp;MID(D9,5,2)&amp;":"&amp;MID(D9,7,2)&amp;":"&amp;MID(D9,9,2)&amp;":"&amp;RIGHT(D9,2)</f>
        <v/>
      </c>
      <c r="H9" t="inlineStr">
        <is>
          <t>0FEFDF4A53CF11E7</t>
        </is>
      </c>
      <c r="I9">
        <f>IFERROR(_xlfn.IFNA(INDEX(Sensors_MANU!$C$2:$C$4692,MATCH($D9,Sensors_MANU!$B$2:$B$4692,0)),INDEX(Sensors_MANU!$C$2:$C$4692,MATCH($P9,Sensors_MANU!$A$2:$A$4692,0))),"")</f>
        <v/>
      </c>
      <c r="J9">
        <f>IFERROR(_xlfn.IFNA(INDEX(Sensors_MANU!$D$2:$D$4692,MATCH($D9,Sensors_MANU!$B$2:$B$4692,0)),INDEX(Sensors_MANU!$D$2:$D$4692,MATCH($P9,Sensors_MANU!$A$2:$A$4692,0))),"")</f>
        <v/>
      </c>
      <c r="M9" s="27" t="n"/>
      <c r="N9" s="99">
        <f>IFERROR(INDEX(Sensors_MANU!$G$2:$G$4692,MATCH($P9,Sensors_MANU!$A$2:$A$4692,0)),)</f>
        <v/>
      </c>
      <c r="O9" s="6" t="inlineStr">
        <is>
          <t>v16</t>
        </is>
      </c>
      <c r="P9" t="n">
        <v>4978458</v>
      </c>
    </row>
    <row r="10">
      <c r="A10" s="32">
        <f>IFERROR(_xlfn.IFNA(INDEX(Sensors_MANU!$E$2:$E$4692,MATCH($D10,Sensors_MANU!$B$2:$B$4692,0)),INDEX(Sensors_MANU!$E$2:$E$4692,MATCH($P10,Sensors_MANU!$A$2:$A$4692,0))),"")</f>
        <v/>
      </c>
      <c r="B10" s="24">
        <f>IFERROR(INDEX(Companies!$A$3:$A$101,MATCH(A10,Companies!$B$3:$B$101,0)),"")</f>
        <v/>
      </c>
      <c r="C10">
        <f>IFERROR(_xlfn.IFNA(INDEX(Sensors_MANU!$F$2:$F$4692,MATCH($D10,Sensors_MANU!$B$2:$B$4692,0)),INDEX(Sensors_MANU!$F$2:$F$4692,MATCH($P10,Sensors_MANU!$A$2:$A$4692,0))),"")</f>
        <v/>
      </c>
      <c r="D10" t="inlineStr">
        <is>
          <t>F63EB7585D0D</t>
        </is>
      </c>
      <c r="E10">
        <f>LEFT(D10,2)&amp;":"&amp;MID(D10,3,2)&amp;":"&amp;MID(D10,5,2)&amp;":"&amp;MID(D10,7,2)&amp;":"&amp;MID(D10,9,2)&amp;":"&amp;RIGHT(D10,2)</f>
        <v/>
      </c>
      <c r="H10" t="inlineStr">
        <is>
          <t>08120EAEC72814BB</t>
        </is>
      </c>
      <c r="I10">
        <f>IFERROR(_xlfn.IFNA(INDEX(Sensors_MANU!$C$2:$C$4692,MATCH($D10,Sensors_MANU!$B$2:$B$4692,0)),INDEX(Sensors_MANU!$C$2:$C$4692,MATCH($P10,Sensors_MANU!$A$2:$A$4692,0))),"")</f>
        <v/>
      </c>
      <c r="J10">
        <f>IFERROR(_xlfn.IFNA(INDEX(Sensors_MANU!$D$2:$D$4692,MATCH($D10,Sensors_MANU!$B$2:$B$4692,0)),INDEX(Sensors_MANU!$D$2:$D$4692,MATCH($P10,Sensors_MANU!$A$2:$A$4692,0))),"")</f>
        <v/>
      </c>
      <c r="M10" s="27" t="n"/>
      <c r="N10" s="99">
        <f>IFERROR(INDEX(Sensors_MANU!$G$2:$G$4692,MATCH($P10,Sensors_MANU!$A$2:$A$4692,0)),)</f>
        <v/>
      </c>
      <c r="O10" s="6" t="inlineStr">
        <is>
          <t>v16</t>
        </is>
      </c>
      <c r="P10" t="n">
        <v>4978427</v>
      </c>
    </row>
    <row r="11">
      <c r="A11" s="32">
        <f>IFERROR(_xlfn.IFNA(INDEX(Sensors_MANU!$E$2:$E$4692,MATCH($D11,Sensors_MANU!$B$2:$B$4692,0)),INDEX(Sensors_MANU!$E$2:$E$4692,MATCH($P11,Sensors_MANU!$A$2:$A$4692,0))),"")</f>
        <v/>
      </c>
      <c r="B11" s="24">
        <f>IFERROR(INDEX(Companies!$A$3:$A$101,MATCH(A11,Companies!$B$3:$B$101,0)),"")</f>
        <v/>
      </c>
      <c r="C11">
        <f>IFERROR(_xlfn.IFNA(INDEX(Sensors_MANU!$F$2:$F$4692,MATCH($D11,Sensors_MANU!$B$2:$B$4692,0)),INDEX(Sensors_MANU!$F$2:$F$4692,MATCH($P11,Sensors_MANU!$A$2:$A$4692,0))),"")</f>
        <v/>
      </c>
      <c r="D11" t="inlineStr">
        <is>
          <t>CE2347DA87C2</t>
        </is>
      </c>
      <c r="E11">
        <f>LEFT(D11,2)&amp;":"&amp;MID(D11,3,2)&amp;":"&amp;MID(D11,5,2)&amp;":"&amp;MID(D11,7,2)&amp;":"&amp;MID(D11,9,2)&amp;":"&amp;RIGHT(D11,2)</f>
        <v/>
      </c>
      <c r="H11" t="inlineStr">
        <is>
          <t>617AAC9DE1DE16E0</t>
        </is>
      </c>
      <c r="I11">
        <f>IFERROR(_xlfn.IFNA(INDEX(Sensors_MANU!$C$2:$C$4692,MATCH($D11,Sensors_MANU!$B$2:$B$4692,0)),INDEX(Sensors_MANU!$C$2:$C$4692,MATCH($P11,Sensors_MANU!$A$2:$A$4692,0))),"")</f>
        <v/>
      </c>
      <c r="J11">
        <f>IFERROR(_xlfn.IFNA(INDEX(Sensors_MANU!$D$2:$D$4692,MATCH($D11,Sensors_MANU!$B$2:$B$4692,0)),INDEX(Sensors_MANU!$D$2:$D$4692,MATCH($P11,Sensors_MANU!$A$2:$A$4692,0))),"")</f>
        <v/>
      </c>
      <c r="M11" s="27" t="n"/>
      <c r="N11" s="99">
        <f>IFERROR(INDEX(Sensors_MANU!$G$2:$G$4692,MATCH($P11,Sensors_MANU!$A$2:$A$4692,0)),)</f>
        <v/>
      </c>
      <c r="O11" s="6" t="inlineStr">
        <is>
          <t>v16</t>
        </is>
      </c>
      <c r="P11" t="n">
        <v>4978434</v>
      </c>
    </row>
    <row r="12">
      <c r="A12" s="32">
        <f>IFERROR(_xlfn.IFNA(INDEX(Sensors_MANU!$E$2:$E$4692,MATCH($D12,Sensors_MANU!$B$2:$B$4692,0)),INDEX(Sensors_MANU!$E$2:$E$4692,MATCH($P12,Sensors_MANU!$A$2:$A$4692,0))),"")</f>
        <v/>
      </c>
      <c r="B12" s="24">
        <f>IFERROR(INDEX(Companies!$A$3:$A$101,MATCH(A12,Companies!$B$3:$B$101,0)),"")</f>
        <v/>
      </c>
      <c r="C12">
        <f>IFERROR(_xlfn.IFNA(INDEX(Sensors_MANU!$F$2:$F$4692,MATCH($D12,Sensors_MANU!$B$2:$B$4692,0)),INDEX(Sensors_MANU!$F$2:$F$4692,MATCH($P12,Sensors_MANU!$A$2:$A$4692,0))),"")</f>
        <v/>
      </c>
      <c r="D12" t="inlineStr">
        <is>
          <t>E090C924055C</t>
        </is>
      </c>
      <c r="E12">
        <f>LEFT(D12,2)&amp;":"&amp;MID(D12,3,2)&amp;":"&amp;MID(D12,5,2)&amp;":"&amp;MID(D12,7,2)&amp;":"&amp;MID(D12,9,2)&amp;":"&amp;RIGHT(D12,2)</f>
        <v/>
      </c>
      <c r="H12" t="inlineStr">
        <is>
          <t>29B29DC69DC3E110</t>
        </is>
      </c>
      <c r="I12">
        <f>IFERROR(_xlfn.IFNA(INDEX(Sensors_MANU!$C$2:$C$4692,MATCH($D12,Sensors_MANU!$B$2:$B$4692,0)),INDEX(Sensors_MANU!$C$2:$C$4692,MATCH($P12,Sensors_MANU!$A$2:$A$4692,0))),"")</f>
        <v/>
      </c>
      <c r="J12">
        <f>IFERROR(_xlfn.IFNA(INDEX(Sensors_MANU!$D$2:$D$4692,MATCH($D12,Sensors_MANU!$B$2:$B$4692,0)),INDEX(Sensors_MANU!$D$2:$D$4692,MATCH($P12,Sensors_MANU!$A$2:$A$4692,0))),"")</f>
        <v/>
      </c>
      <c r="M12" s="27" t="n"/>
      <c r="N12" s="99">
        <f>IFERROR(INDEX(Sensors_MANU!$G$2:$G$4692,MATCH($P12,Sensors_MANU!$A$2:$A$4692,0)),)</f>
        <v/>
      </c>
      <c r="O12" s="6" t="inlineStr">
        <is>
          <t>v16</t>
        </is>
      </c>
      <c r="P12" t="n">
        <v>4978463</v>
      </c>
    </row>
    <row r="13">
      <c r="A13" s="32">
        <f>IFERROR(_xlfn.IFNA(INDEX(Sensors_MANU!$E$2:$E$4692,MATCH($D13,Sensors_MANU!$B$2:$B$4692,0)),INDEX(Sensors_MANU!$E$2:$E$4692,MATCH($P13,Sensors_MANU!$A$2:$A$4692,0))),"")</f>
        <v/>
      </c>
      <c r="B13" s="24">
        <f>IFERROR(INDEX(Companies!$A$3:$A$101,MATCH(A13,Companies!$B$3:$B$101,0)),"")</f>
        <v/>
      </c>
      <c r="C13">
        <f>IFERROR(_xlfn.IFNA(INDEX(Sensors_MANU!$F$2:$F$4692,MATCH($D13,Sensors_MANU!$B$2:$B$4692,0)),INDEX(Sensors_MANU!$F$2:$F$4692,MATCH($P13,Sensors_MANU!$A$2:$A$4692,0))),"")</f>
        <v/>
      </c>
      <c r="D13" t="inlineStr">
        <is>
          <t>D6D2AF577A5F</t>
        </is>
      </c>
      <c r="E13">
        <f>LEFT(D13,2)&amp;":"&amp;MID(D13,3,2)&amp;":"&amp;MID(D13,5,2)&amp;":"&amp;MID(D13,7,2)&amp;":"&amp;MID(D13,9,2)&amp;":"&amp;RIGHT(D13,2)</f>
        <v/>
      </c>
      <c r="H13" t="inlineStr">
        <is>
          <t>A7B964273F9D1E7F</t>
        </is>
      </c>
      <c r="I13">
        <f>IFERROR(_xlfn.IFNA(INDEX(Sensors_MANU!$C$2:$C$4692,MATCH($D13,Sensors_MANU!$B$2:$B$4692,0)),INDEX(Sensors_MANU!$C$2:$C$4692,MATCH($P13,Sensors_MANU!$A$2:$A$4692,0))),"")</f>
        <v/>
      </c>
      <c r="J13">
        <f>IFERROR(_xlfn.IFNA(INDEX(Sensors_MANU!$D$2:$D$4692,MATCH($D13,Sensors_MANU!$B$2:$B$4692,0)),INDEX(Sensors_MANU!$D$2:$D$4692,MATCH($P13,Sensors_MANU!$A$2:$A$4692,0))),"")</f>
        <v/>
      </c>
      <c r="M13" s="27" t="n"/>
      <c r="N13" s="99">
        <f>IFERROR(INDEX(Sensors_MANU!$G$2:$G$4692,MATCH($P13,Sensors_MANU!$A$2:$A$4692,0)),)</f>
        <v/>
      </c>
      <c r="O13" s="6" t="inlineStr">
        <is>
          <t>v16</t>
        </is>
      </c>
      <c r="P13" t="n">
        <v>4978426</v>
      </c>
    </row>
    <row r="14">
      <c r="A14" s="32">
        <f>IFERROR(_xlfn.IFNA(INDEX(Sensors_MANU!$E$2:$E$4692,MATCH($D14,Sensors_MANU!$B$2:$B$4692,0)),INDEX(Sensors_MANU!$E$2:$E$4692,MATCH($P14,Sensors_MANU!$A$2:$A$4692,0))),"")</f>
        <v/>
      </c>
      <c r="B14" s="24">
        <f>IFERROR(INDEX(Companies!$A$3:$A$101,MATCH(A14,Companies!$B$3:$B$101,0)),"")</f>
        <v/>
      </c>
      <c r="C14">
        <f>IFERROR(_xlfn.IFNA(INDEX(Sensors_MANU!$F$2:$F$4692,MATCH($D14,Sensors_MANU!$B$2:$B$4692,0)),INDEX(Sensors_MANU!$F$2:$F$4692,MATCH($P14,Sensors_MANU!$A$2:$A$4692,0))),"")</f>
        <v/>
      </c>
      <c r="D14" t="inlineStr">
        <is>
          <t>F51EBDF99D9C</t>
        </is>
      </c>
      <c r="E14">
        <f>LEFT(D14,2)&amp;":"&amp;MID(D14,3,2)&amp;":"&amp;MID(D14,5,2)&amp;":"&amp;MID(D14,7,2)&amp;":"&amp;MID(D14,9,2)&amp;":"&amp;RIGHT(D14,2)</f>
        <v/>
      </c>
      <c r="H14" t="inlineStr">
        <is>
          <t>451627EFB4767859</t>
        </is>
      </c>
      <c r="I14">
        <f>IFERROR(_xlfn.IFNA(INDEX(Sensors_MANU!$C$2:$C$4692,MATCH($D14,Sensors_MANU!$B$2:$B$4692,0)),INDEX(Sensors_MANU!$C$2:$C$4692,MATCH($P14,Sensors_MANU!$A$2:$A$4692,0))),"")</f>
        <v/>
      </c>
      <c r="J14">
        <f>IFERROR(_xlfn.IFNA(INDEX(Sensors_MANU!$D$2:$D$4692,MATCH($D14,Sensors_MANU!$B$2:$B$4692,0)),INDEX(Sensors_MANU!$D$2:$D$4692,MATCH($P14,Sensors_MANU!$A$2:$A$4692,0))),"")</f>
        <v/>
      </c>
      <c r="M14" s="27" t="n"/>
      <c r="N14" s="99" t="inlineStr">
        <is>
          <t>can be 410</t>
        </is>
      </c>
      <c r="O14" s="6" t="inlineStr">
        <is>
          <t>v16</t>
        </is>
      </c>
      <c r="P14" t="inlineStr">
        <is>
          <t>4978885-1</t>
        </is>
      </c>
    </row>
    <row r="15">
      <c r="A15" s="32" t="inlineStr">
        <is>
          <t>LTG</t>
        </is>
      </c>
      <c r="B15" s="24">
        <f>IFERROR(INDEX(Companies!$A$3:$A$101,MATCH(A15,Companies!$B$3:$B$101,0)),"")</f>
        <v/>
      </c>
      <c r="C15" t="inlineStr">
        <is>
          <t>cargo</t>
        </is>
      </c>
      <c r="D15" t="inlineStr">
        <is>
          <t>CA47C040C433</t>
        </is>
      </c>
      <c r="E15">
        <f>LEFT(D15,2)&amp;":"&amp;MID(D15,3,2)&amp;":"&amp;MID(D15,5,2)&amp;":"&amp;MID(D15,7,2)&amp;":"&amp;MID(D15,9,2)&amp;":"&amp;RIGHT(D15,2)</f>
        <v/>
      </c>
      <c r="H15" t="inlineStr">
        <is>
          <t>3195A8F0F36AE326</t>
        </is>
      </c>
      <c r="I15" s="6" t="n"/>
      <c r="J15">
        <f>IFERROR(_xlfn.IFNA(INDEX(Sensors_MANU!$D$2:$D$4692,MATCH($D15,Sensors_MANU!$B$2:$B$4692,0)),INDEX(Sensors_MANU!$D$2:$D$4692,MATCH($P15,Sensors_MANU!$A$2:$A$4692,0))),"")</f>
        <v/>
      </c>
      <c r="K15" s="35" t="n"/>
      <c r="L15" s="35" t="n"/>
      <c r="M15" s="35" t="n"/>
      <c r="N15" s="99">
        <f>IFERROR(INDEX(Sensors_MANU!$G$2:$G$4692,MATCH($P15,Sensors_MANU!$A$2:$A$4692,0)),)</f>
        <v/>
      </c>
      <c r="O15" s="6" t="inlineStr">
        <is>
          <t>v14</t>
        </is>
      </c>
    </row>
    <row r="16">
      <c r="A16" s="32" t="inlineStr">
        <is>
          <t>LTG</t>
        </is>
      </c>
      <c r="B16" s="24">
        <f>IFERROR(INDEX(Companies!$A$3:$A$101,MATCH(A16,Companies!$B$3:$B$101,0)),"")</f>
        <v/>
      </c>
      <c r="C16" t="inlineStr">
        <is>
          <t>cargo</t>
        </is>
      </c>
      <c r="D16" t="inlineStr">
        <is>
          <t>C08CFD293A0B</t>
        </is>
      </c>
      <c r="E16">
        <f>LEFT(D16,2)&amp;":"&amp;MID(D16,3,2)&amp;":"&amp;MID(D16,5,2)&amp;":"&amp;MID(D16,7,2)&amp;":"&amp;MID(D16,9,2)&amp;":"&amp;RIGHT(D16,2)</f>
        <v/>
      </c>
      <c r="H16" t="inlineStr">
        <is>
          <t>B1D7F63C53732A72</t>
        </is>
      </c>
      <c r="I16" s="6" t="n"/>
      <c r="J16">
        <f>IFERROR(_xlfn.IFNA(INDEX(Sensors_MANU!$D$2:$D$4692,MATCH($D16,Sensors_MANU!$B$2:$B$4692,0)),INDEX(Sensors_MANU!$D$2:$D$4692,MATCH($P16,Sensors_MANU!$A$2:$A$4692,0))),"")</f>
        <v/>
      </c>
      <c r="K16" s="35" t="n"/>
      <c r="L16" s="35" t="n"/>
      <c r="M16" s="35" t="n"/>
      <c r="N16" s="99">
        <f>IFERROR(INDEX(Sensors_MANU!$G$2:$G$4692,MATCH($P16,Sensors_MANU!$A$2:$A$4692,0)),)</f>
        <v/>
      </c>
      <c r="O16" s="6" t="inlineStr">
        <is>
          <t>v14</t>
        </is>
      </c>
    </row>
    <row r="17">
      <c r="A17" s="32" t="inlineStr">
        <is>
          <t>LTG</t>
        </is>
      </c>
      <c r="B17" s="24">
        <f>IFERROR(INDEX(Companies!$A$3:$A$101,MATCH(A17,Companies!$B$3:$B$101,0)),"")</f>
        <v/>
      </c>
      <c r="C17" t="inlineStr">
        <is>
          <t>cargo</t>
        </is>
      </c>
      <c r="D17" t="inlineStr">
        <is>
          <t>EF9AFE3E365F</t>
        </is>
      </c>
      <c r="E17">
        <f>LEFT(D17,2)&amp;":"&amp;MID(D17,3,2)&amp;":"&amp;MID(D17,5,2)&amp;":"&amp;MID(D17,7,2)&amp;":"&amp;MID(D17,9,2)&amp;":"&amp;RIGHT(D17,2)</f>
        <v/>
      </c>
      <c r="H17" t="inlineStr">
        <is>
          <t>F4E2E2C6AA67ABB4</t>
        </is>
      </c>
      <c r="I17" s="6" t="n"/>
      <c r="J17">
        <f>IFERROR(_xlfn.IFNA(INDEX(Sensors_MANU!$D$2:$D$4692,MATCH($D17,Sensors_MANU!$B$2:$B$4692,0)),INDEX(Sensors_MANU!$D$2:$D$4692,MATCH($P17,Sensors_MANU!$A$2:$A$4692,0))),"")</f>
        <v/>
      </c>
      <c r="K17" s="35" t="n"/>
      <c r="L17" s="35" t="n"/>
      <c r="M17" s="35" t="n"/>
      <c r="N17" s="99">
        <f>IFERROR(INDEX(Sensors_MANU!$G$2:$G$4692,MATCH($P17,Sensors_MANU!$A$2:$A$4692,0)),)</f>
        <v/>
      </c>
      <c r="O17" s="6" t="inlineStr">
        <is>
          <t>v14</t>
        </is>
      </c>
    </row>
    <row r="18">
      <c r="A18" s="32" t="inlineStr">
        <is>
          <t>LTG</t>
        </is>
      </c>
      <c r="B18" s="24">
        <f>IFERROR(INDEX(Companies!$A$3:$A$101,MATCH(A18,Companies!$B$3:$B$101,0)),"")</f>
        <v/>
      </c>
      <c r="C18" t="inlineStr">
        <is>
          <t>cargo</t>
        </is>
      </c>
      <c r="D18" t="inlineStr">
        <is>
          <t>E36493AD4D8A</t>
        </is>
      </c>
      <c r="E18">
        <f>LEFT(D18,2)&amp;":"&amp;MID(D18,3,2)&amp;":"&amp;MID(D18,5,2)&amp;":"&amp;MID(D18,7,2)&amp;":"&amp;MID(D18,9,2)&amp;":"&amp;RIGHT(D18,2)</f>
        <v/>
      </c>
      <c r="H18" t="inlineStr">
        <is>
          <t>796068D2E9ADC10E</t>
        </is>
      </c>
      <c r="I18" s="6" t="n"/>
      <c r="J18">
        <f>IFERROR(_xlfn.IFNA(INDEX(Sensors_MANU!$D$2:$D$4692,MATCH($D18,Sensors_MANU!$B$2:$B$4692,0)),INDEX(Sensors_MANU!$D$2:$D$4692,MATCH($P18,Sensors_MANU!$A$2:$A$4692,0))),"")</f>
        <v/>
      </c>
      <c r="K18" s="35" t="n"/>
      <c r="L18" s="35" t="n"/>
      <c r="M18" s="35" t="n"/>
      <c r="N18" s="99">
        <f>IFERROR(INDEX(Sensors_MANU!$G$2:$G$4692,MATCH($P18,Sensors_MANU!$A$2:$A$4692,0)),)</f>
        <v/>
      </c>
      <c r="O18" s="6" t="inlineStr">
        <is>
          <t>v14</t>
        </is>
      </c>
    </row>
    <row r="19">
      <c r="A19" s="32" t="inlineStr">
        <is>
          <t>LTG</t>
        </is>
      </c>
      <c r="B19" s="24">
        <f>IFERROR(INDEX(Companies!$A$3:$A$101,MATCH(A19,Companies!$B$3:$B$101,0)),"")</f>
        <v/>
      </c>
      <c r="C19" t="inlineStr">
        <is>
          <t>cargo</t>
        </is>
      </c>
      <c r="D19" t="inlineStr">
        <is>
          <t>DF84A361C71F</t>
        </is>
      </c>
      <c r="E19">
        <f>LEFT(D19,2)&amp;":"&amp;MID(D19,3,2)&amp;":"&amp;MID(D19,5,2)&amp;":"&amp;MID(D19,7,2)&amp;":"&amp;MID(D19,9,2)&amp;":"&amp;RIGHT(D19,2)</f>
        <v/>
      </c>
      <c r="H19" t="inlineStr">
        <is>
          <t>44FE153166EE19D3</t>
        </is>
      </c>
      <c r="I19" s="6" t="n"/>
      <c r="J19">
        <f>IFERROR(_xlfn.IFNA(INDEX(Sensors_MANU!$D$2:$D$4692,MATCH($D19,Sensors_MANU!$B$2:$B$4692,0)),INDEX(Sensors_MANU!$D$2:$D$4692,MATCH($P19,Sensors_MANU!$A$2:$A$4692,0))),"")</f>
        <v/>
      </c>
      <c r="K19" s="35" t="n"/>
      <c r="L19" s="35" t="n"/>
      <c r="M19" s="35" t="n"/>
      <c r="N19" s="99">
        <f>IFERROR(INDEX(Sensors_MANU!$G$2:$G$4692,MATCH($P19,Sensors_MANU!$A$2:$A$4692,0)),)</f>
        <v/>
      </c>
      <c r="O19" s="6" t="inlineStr">
        <is>
          <t>v14</t>
        </is>
      </c>
    </row>
    <row r="20">
      <c r="A20" s="32" t="inlineStr">
        <is>
          <t>LTG</t>
        </is>
      </c>
      <c r="B20" s="24">
        <f>IFERROR(INDEX(Companies!$A$3:$A$101,MATCH(A20,Companies!$B$3:$B$101,0)),"")</f>
        <v/>
      </c>
      <c r="C20" t="inlineStr">
        <is>
          <t>cargo</t>
        </is>
      </c>
      <c r="D20" t="inlineStr">
        <is>
          <t>C9FADA90E01A</t>
        </is>
      </c>
      <c r="E20">
        <f>LEFT(D20,2)&amp;":"&amp;MID(D20,3,2)&amp;":"&amp;MID(D20,5,2)&amp;":"&amp;MID(D20,7,2)&amp;":"&amp;MID(D20,9,2)&amp;":"&amp;RIGHT(D20,2)</f>
        <v/>
      </c>
      <c r="H20" t="inlineStr">
        <is>
          <t>FA55DC7FE24221A5</t>
        </is>
      </c>
      <c r="I20" s="6" t="n"/>
      <c r="J20">
        <f>IFERROR(_xlfn.IFNA(INDEX(Sensors_MANU!$D$2:$D$4692,MATCH($D20,Sensors_MANU!$B$2:$B$4692,0)),INDEX(Sensors_MANU!$D$2:$D$4692,MATCH($P20,Sensors_MANU!$A$2:$A$4692,0))),"")</f>
        <v/>
      </c>
      <c r="K20" s="35" t="n"/>
      <c r="L20" s="35" t="n"/>
      <c r="M20" s="35" t="n"/>
      <c r="N20" s="99">
        <f>IFERROR(INDEX(Sensors_MANU!$G$2:$G$4692,MATCH($P20,Sensors_MANU!$A$2:$A$4692,0)),)</f>
        <v/>
      </c>
      <c r="O20" s="6" t="inlineStr">
        <is>
          <t>v14</t>
        </is>
      </c>
    </row>
    <row r="21">
      <c r="A21" s="32" t="inlineStr">
        <is>
          <t>LTG</t>
        </is>
      </c>
      <c r="B21" s="24">
        <f>IFERROR(INDEX(Companies!$A$3:$A$101,MATCH(A21,Companies!$B$3:$B$101,0)),"")</f>
        <v/>
      </c>
      <c r="C21" t="inlineStr">
        <is>
          <t>cargo</t>
        </is>
      </c>
      <c r="D21" t="inlineStr">
        <is>
          <t>FED5B1121159</t>
        </is>
      </c>
      <c r="E21">
        <f>LEFT(D21,2)&amp;":"&amp;MID(D21,3,2)&amp;":"&amp;MID(D21,5,2)&amp;":"&amp;MID(D21,7,2)&amp;":"&amp;MID(D21,9,2)&amp;":"&amp;RIGHT(D21,2)</f>
        <v/>
      </c>
      <c r="H21" t="inlineStr">
        <is>
          <t>3D56D82F3CE320DC</t>
        </is>
      </c>
      <c r="I21" s="6" t="n"/>
      <c r="J21">
        <f>IFERROR(_xlfn.IFNA(INDEX(Sensors_MANU!$D$2:$D$4692,MATCH($D21,Sensors_MANU!$B$2:$B$4692,0)),INDEX(Sensors_MANU!$D$2:$D$4692,MATCH($P21,Sensors_MANU!$A$2:$A$4692,0))),"")</f>
        <v/>
      </c>
      <c r="K21" s="35" t="n"/>
      <c r="L21" s="35" t="n"/>
      <c r="M21" s="35" t="n"/>
      <c r="N21" s="99">
        <f>IFERROR(INDEX(Sensors_MANU!$G$2:$G$4692,MATCH($P21,Sensors_MANU!$A$2:$A$4692,0)),)</f>
        <v/>
      </c>
      <c r="O21" s="6" t="inlineStr">
        <is>
          <t>v14</t>
        </is>
      </c>
    </row>
    <row r="22">
      <c r="A22" s="32" t="inlineStr">
        <is>
          <t>LTG</t>
        </is>
      </c>
      <c r="B22" s="24">
        <f>IFERROR(INDEX(Companies!$A$3:$A$101,MATCH(A22,Companies!$B$3:$B$101,0)),"")</f>
        <v/>
      </c>
      <c r="C22" t="inlineStr">
        <is>
          <t>cargo</t>
        </is>
      </c>
      <c r="D22" t="inlineStr">
        <is>
          <t>F4A0AC714AF7</t>
        </is>
      </c>
      <c r="E22">
        <f>LEFT(D22,2)&amp;":"&amp;MID(D22,3,2)&amp;":"&amp;MID(D22,5,2)&amp;":"&amp;MID(D22,7,2)&amp;":"&amp;MID(D22,9,2)&amp;":"&amp;RIGHT(D22,2)</f>
        <v/>
      </c>
      <c r="H22" t="inlineStr">
        <is>
          <t>1E21F89A9486812F</t>
        </is>
      </c>
      <c r="I22" s="6" t="n"/>
      <c r="J22">
        <f>IFERROR(_xlfn.IFNA(INDEX(Sensors_MANU!$D$2:$D$4692,MATCH($D22,Sensors_MANU!$B$2:$B$4692,0)),INDEX(Sensors_MANU!$D$2:$D$4692,MATCH($P22,Sensors_MANU!$A$2:$A$4692,0))),"")</f>
        <v/>
      </c>
      <c r="K22" s="35" t="n"/>
      <c r="L22" s="35" t="n"/>
      <c r="M22" s="35" t="n"/>
      <c r="N22" s="99">
        <f>IFERROR(INDEX(Sensors_MANU!$G$2:$G$4692,MATCH($P22,Sensors_MANU!$A$2:$A$4692,0)),)</f>
        <v/>
      </c>
      <c r="O22" s="6" t="inlineStr">
        <is>
          <t>v14</t>
        </is>
      </c>
    </row>
    <row r="23">
      <c r="A23" s="32">
        <f>IFERROR(_xlfn.IFNA(INDEX(Sensors_MANU!$E$2:$E$4692,MATCH($D23,Sensors_MANU!$B$2:$B$4692,0)),INDEX(Sensors_MANU!$E$2:$E$4692,MATCH($P23,Sensors_MANU!$A$2:$A$4692,0))),"")</f>
        <v/>
      </c>
      <c r="B23" s="24">
        <f>IFERROR(INDEX(Companies!$A$3:$A$101,MATCH(A23,Companies!$B$3:$B$101,0)),"")</f>
        <v/>
      </c>
      <c r="C23">
        <f>IFERROR(_xlfn.IFNA(INDEX(Sensors_MANU!$F$2:$F$4692,MATCH($D23,Sensors_MANU!$B$2:$B$4692,0)),INDEX(Sensors_MANU!$F$2:$F$4692,MATCH($P23,Sensors_MANU!$A$2:$A$4692,0))),"")</f>
        <v/>
      </c>
      <c r="D23" t="inlineStr">
        <is>
          <t>DF5840FDF698</t>
        </is>
      </c>
      <c r="E23">
        <f>LEFT(D23,2)&amp;":"&amp;MID(D23,3,2)&amp;":"&amp;MID(D23,5,2)&amp;":"&amp;MID(D23,7,2)&amp;":"&amp;MID(D23,9,2)&amp;":"&amp;RIGHT(D23,2)</f>
        <v/>
      </c>
      <c r="H23" t="inlineStr">
        <is>
          <t>C56ABA8666D8307F</t>
        </is>
      </c>
      <c r="I23">
        <f>IFERROR(_xlfn.IFNA(INDEX(Sensors_MANU!$C$2:$C$4692,MATCH($D23,Sensors_MANU!$B$2:$B$4692,0)),INDEX(Sensors_MANU!$C$2:$C$4692,MATCH($P23,Sensors_MANU!$A$2:$A$4692,0))),"")</f>
        <v/>
      </c>
      <c r="J23">
        <f>IFERROR(_xlfn.IFNA(INDEX(Sensors_MANU!$D$2:$D$4692,MATCH($D23,Sensors_MANU!$B$2:$B$4692,0)),INDEX(Sensors_MANU!$D$2:$D$4692,MATCH($P23,Sensors_MANU!$A$2:$A$4692,0))),"")</f>
        <v/>
      </c>
      <c r="M23" s="27" t="n"/>
      <c r="N23" s="99" t="inlineStr">
        <is>
          <t>Not in Pacific (in Viezo office)</t>
        </is>
      </c>
      <c r="O23" s="6" t="inlineStr">
        <is>
          <t>v16</t>
        </is>
      </c>
      <c r="P23" t="n">
        <v>4978662</v>
      </c>
    </row>
    <row r="24">
      <c r="A24" s="32">
        <f>IFERROR(_xlfn.IFNA(INDEX(Sensors_MANU!$E$2:$E$4692,MATCH($D24,Sensors_MANU!$B$2:$B$4692,0)),INDEX(Sensors_MANU!$E$2:$E$4692,MATCH($P24,Sensors_MANU!$A$2:$A$4692,0))),"")</f>
        <v/>
      </c>
      <c r="B24" s="24">
        <f>IFERROR(INDEX(Companies!$A$3:$A$101,MATCH(A24,Companies!$B$3:$B$101,0)),"")</f>
        <v/>
      </c>
      <c r="C24">
        <f>IFERROR(_xlfn.IFNA(INDEX(Sensors_MANU!$F$2:$F$4692,MATCH($D24,Sensors_MANU!$B$2:$B$4692,0)),INDEX(Sensors_MANU!$F$2:$F$4692,MATCH($P24,Sensors_MANU!$A$2:$A$4692,0))),"")</f>
        <v/>
      </c>
      <c r="D24" t="inlineStr">
        <is>
          <t>C22B286A9D62</t>
        </is>
      </c>
      <c r="E24">
        <f>LEFT(D24,2)&amp;":"&amp;MID(D24,3,2)&amp;":"&amp;MID(D24,5,2)&amp;":"&amp;MID(D24,7,2)&amp;":"&amp;MID(D24,9,2)&amp;":"&amp;RIGHT(D24,2)</f>
        <v/>
      </c>
      <c r="H24" t="inlineStr">
        <is>
          <t>2B0BFB663293135A</t>
        </is>
      </c>
      <c r="I24">
        <f>IFERROR(_xlfn.IFNA(INDEX(Sensors_MANU!$C$2:$C$4692,MATCH($D24,Sensors_MANU!$B$2:$B$4692,0)),INDEX(Sensors_MANU!$C$2:$C$4692,MATCH($P24,Sensors_MANU!$A$2:$A$4692,0))),"")</f>
        <v/>
      </c>
      <c r="J24">
        <f>IFERROR(_xlfn.IFNA(INDEX(Sensors_MANU!$D$2:$D$4692,MATCH($D24,Sensors_MANU!$B$2:$B$4692,0)),INDEX(Sensors_MANU!$D$2:$D$4692,MATCH($P24,Sensors_MANU!$A$2:$A$4692,0))),"")</f>
        <v/>
      </c>
      <c r="M24" s="27" t="n"/>
      <c r="N24" s="99">
        <f>IFERROR(INDEX(Sensors_MANU!$G$2:$G$4692,MATCH($P24,Sensors_MANU!$A$2:$A$4692,0)),)</f>
        <v/>
      </c>
      <c r="O24" s="6" t="inlineStr">
        <is>
          <t>v17</t>
        </is>
      </c>
      <c r="P24" t="n">
        <v>4978664</v>
      </c>
    </row>
    <row r="25">
      <c r="A25" s="32">
        <f>IFERROR(_xlfn.IFNA(INDEX(Sensors_MANU!$E$2:$E$4692,MATCH($D25,Sensors_MANU!$B$2:$B$4692,0)),INDEX(Sensors_MANU!$E$2:$E$4692,MATCH($P25,Sensors_MANU!$A$2:$A$4692,0))),"")</f>
        <v/>
      </c>
      <c r="B25" s="24">
        <f>IFERROR(INDEX(Companies!$A$3:$A$101,MATCH(A25,Companies!$B$3:$B$101,0)),"")</f>
        <v/>
      </c>
      <c r="C25">
        <f>IFERROR(_xlfn.IFNA(INDEX(Sensors_MANU!$F$2:$F$4692,MATCH($D25,Sensors_MANU!$B$2:$B$4692,0)),INDEX(Sensors_MANU!$F$2:$F$4692,MATCH($P25,Sensors_MANU!$A$2:$A$4692,0))),"")</f>
        <v/>
      </c>
      <c r="D25" t="inlineStr">
        <is>
          <t>C6CE395D9E33</t>
        </is>
      </c>
      <c r="E25">
        <f>LEFT(D25,2)&amp;":"&amp;MID(D25,3,2)&amp;":"&amp;MID(D25,5,2)&amp;":"&amp;MID(D25,7,2)&amp;":"&amp;MID(D25,9,2)&amp;":"&amp;RIGHT(D25,2)</f>
        <v/>
      </c>
      <c r="H25" t="inlineStr">
        <is>
          <t>7FB52187268620B1</t>
        </is>
      </c>
      <c r="I25">
        <f>IFERROR(_xlfn.IFNA(INDEX(Sensors_MANU!$C$2:$C$4692,MATCH($D25,Sensors_MANU!$B$2:$B$4692,0)),INDEX(Sensors_MANU!$C$2:$C$4692,MATCH($P25,Sensors_MANU!$A$2:$A$4692,0))),"")</f>
        <v/>
      </c>
      <c r="J25">
        <f>IFERROR(_xlfn.IFNA(INDEX(Sensors_MANU!$D$2:$D$4692,MATCH($D25,Sensors_MANU!$B$2:$B$4692,0)),INDEX(Sensors_MANU!$D$2:$D$4692,MATCH($P25,Sensors_MANU!$A$2:$A$4692,0))),"")</f>
        <v/>
      </c>
      <c r="M25" s="27" t="n"/>
      <c r="N25" s="99">
        <f>IFERROR(INDEX(Sensors_MANU!$G$2:$G$4692,MATCH($P25,Sensors_MANU!$A$2:$A$4692,0)),)</f>
        <v/>
      </c>
      <c r="O25" s="6" t="inlineStr">
        <is>
          <t>v17</t>
        </is>
      </c>
      <c r="P25" t="n">
        <v>4978763</v>
      </c>
    </row>
    <row r="26">
      <c r="A26" s="32">
        <f>IFERROR(_xlfn.IFNA(INDEX(Sensors_MANU!$E$2:$E$4692,MATCH($D26,Sensors_MANU!$B$2:$B$4692,0)),INDEX(Sensors_MANU!$E$2:$E$4692,MATCH($P26,Sensors_MANU!$A$2:$A$4692,0))),"")</f>
        <v/>
      </c>
      <c r="B26" s="24">
        <f>IFERROR(INDEX(Companies!$A$3:$A$101,MATCH(A26,Companies!$B$3:$B$101,0)),"")</f>
        <v/>
      </c>
      <c r="C26">
        <f>IFERROR(_xlfn.IFNA(INDEX(Sensors_MANU!$F$2:$F$4692,MATCH($D26,Sensors_MANU!$B$2:$B$4692,0)),INDEX(Sensors_MANU!$F$2:$F$4692,MATCH($P26,Sensors_MANU!$A$2:$A$4692,0))),"")</f>
        <v/>
      </c>
      <c r="D26" t="inlineStr">
        <is>
          <t>F880BAF2AD87</t>
        </is>
      </c>
      <c r="E26">
        <f>LEFT(D26,2)&amp;":"&amp;MID(D26,3,2)&amp;":"&amp;MID(D26,5,2)&amp;":"&amp;MID(D26,7,2)&amp;":"&amp;MID(D26,9,2)&amp;":"&amp;RIGHT(D26,2)</f>
        <v/>
      </c>
      <c r="H26" t="inlineStr">
        <is>
          <t>3342BBBE726B8BA5</t>
        </is>
      </c>
      <c r="I26">
        <f>IFERROR(_xlfn.IFNA(INDEX(Sensors_MANU!$C$2:$C$4692,MATCH($D26,Sensors_MANU!$B$2:$B$4692,0)),INDEX(Sensors_MANU!$C$2:$C$4692,MATCH($P26,Sensors_MANU!$A$2:$A$4692,0))),"")</f>
        <v/>
      </c>
      <c r="J26">
        <f>IFERROR(_xlfn.IFNA(INDEX(Sensors_MANU!$D$2:$D$4692,MATCH($D26,Sensors_MANU!$B$2:$B$4692,0)),INDEX(Sensors_MANU!$D$2:$D$4692,MATCH($P26,Sensors_MANU!$A$2:$A$4692,0))),"")</f>
        <v/>
      </c>
      <c r="M26" s="27" t="n"/>
      <c r="N26" s="99">
        <f>IFERROR(INDEX(Sensors_MANU!$G$2:$G$4692,MATCH($P26,Sensors_MANU!$A$2:$A$4692,0)),)</f>
        <v/>
      </c>
      <c r="O26" s="6" t="inlineStr">
        <is>
          <t>v17</t>
        </is>
      </c>
      <c r="P26" t="n">
        <v>4978607</v>
      </c>
    </row>
    <row r="27">
      <c r="A27" s="32">
        <f>IFERROR(_xlfn.IFNA(INDEX(Sensors_MANU!$E$2:$E$4692,MATCH($D27,Sensors_MANU!$B$2:$B$4692,0)),INDEX(Sensors_MANU!$E$2:$E$4692,MATCH($P27,Sensors_MANU!$A$2:$A$4692,0))),"")</f>
        <v/>
      </c>
      <c r="B27" s="24">
        <f>IFERROR(INDEX(Companies!$A$3:$A$101,MATCH(A27,Companies!$B$3:$B$101,0)),"")</f>
        <v/>
      </c>
      <c r="C27">
        <f>IFERROR(_xlfn.IFNA(INDEX(Sensors_MANU!$F$2:$F$4692,MATCH($D27,Sensors_MANU!$B$2:$B$4692,0)),INDEX(Sensors_MANU!$F$2:$F$4692,MATCH($P27,Sensors_MANU!$A$2:$A$4692,0))),"")</f>
        <v/>
      </c>
      <c r="D27" t="inlineStr">
        <is>
          <t>C110C525FA7D</t>
        </is>
      </c>
      <c r="E27">
        <f>LEFT(D27,2)&amp;":"&amp;MID(D27,3,2)&amp;":"&amp;MID(D27,5,2)&amp;":"&amp;MID(D27,7,2)&amp;":"&amp;MID(D27,9,2)&amp;":"&amp;RIGHT(D27,2)</f>
        <v/>
      </c>
      <c r="H27" t="inlineStr">
        <is>
          <t>75620B4E10484D4F</t>
        </is>
      </c>
      <c r="I27">
        <f>IFERROR(_xlfn.IFNA(INDEX(Sensors_MANU!$C$2:$C$4692,MATCH($D27,Sensors_MANU!$B$2:$B$4692,0)),INDEX(Sensors_MANU!$C$2:$C$4692,MATCH($P27,Sensors_MANU!$A$2:$A$4692,0))),"")</f>
        <v/>
      </c>
      <c r="J27">
        <f>IFERROR(_xlfn.IFNA(INDEX(Sensors_MANU!$D$2:$D$4692,MATCH($D27,Sensors_MANU!$B$2:$B$4692,0)),INDEX(Sensors_MANU!$D$2:$D$4692,MATCH($P27,Sensors_MANU!$A$2:$A$4692,0))),"")</f>
        <v/>
      </c>
      <c r="M27" s="27" t="n"/>
      <c r="N27" s="99">
        <f>IFERROR(INDEX(Sensors_MANU!$G$2:$G$4692,MATCH($P27,Sensors_MANU!$A$2:$A$4692,0)),)</f>
        <v/>
      </c>
      <c r="O27" s="6" t="inlineStr">
        <is>
          <t>v17</t>
        </is>
      </c>
      <c r="P27" t="n">
        <v>4978601</v>
      </c>
    </row>
    <row r="28">
      <c r="A28" s="32">
        <f>IFERROR(_xlfn.IFNA(INDEX(Sensors_MANU!$E$2:$E$4692,MATCH($D28,Sensors_MANU!$B$2:$B$4692,0)),INDEX(Sensors_MANU!$E$2:$E$4692,MATCH($P28,Sensors_MANU!$A$2:$A$4692,0))),"")</f>
        <v/>
      </c>
      <c r="B28" s="24">
        <f>IFERROR(INDEX(Companies!$A$3:$A$101,MATCH(A28,Companies!$B$3:$B$101,0)),"")</f>
        <v/>
      </c>
      <c r="C28">
        <f>IFERROR(_xlfn.IFNA(INDEX(Sensors_MANU!$F$2:$F$4692,MATCH($D28,Sensors_MANU!$B$2:$B$4692,0)),INDEX(Sensors_MANU!$F$2:$F$4692,MATCH($P28,Sensors_MANU!$A$2:$A$4692,0))),"")</f>
        <v/>
      </c>
      <c r="D28" t="inlineStr">
        <is>
          <t>DCAF5C3AFCFE</t>
        </is>
      </c>
      <c r="E28">
        <f>LEFT(D28,2)&amp;":"&amp;MID(D28,3,2)&amp;":"&amp;MID(D28,5,2)&amp;":"&amp;MID(D28,7,2)&amp;":"&amp;MID(D28,9,2)&amp;":"&amp;RIGHT(D28,2)</f>
        <v/>
      </c>
      <c r="H28" t="inlineStr">
        <is>
          <t>7A2E542E45DA3E34</t>
        </is>
      </c>
      <c r="I28">
        <f>IFERROR(_xlfn.IFNA(INDEX(Sensors_MANU!$C$2:$C$4692,MATCH($D28,Sensors_MANU!$B$2:$B$4692,0)),INDEX(Sensors_MANU!$C$2:$C$4692,MATCH($P28,Sensors_MANU!$A$2:$A$4692,0))),"")</f>
        <v/>
      </c>
      <c r="J28">
        <f>IFERROR(_xlfn.IFNA(INDEX(Sensors_MANU!$D$2:$D$4692,MATCH($D28,Sensors_MANU!$B$2:$B$4692,0)),INDEX(Sensors_MANU!$D$2:$D$4692,MATCH($P28,Sensors_MANU!$A$2:$A$4692,0))),"")</f>
        <v/>
      </c>
      <c r="N28" s="99">
        <f>IFERROR(INDEX(Sensors_MANU!$G$2:$G$4692,MATCH($P28,Sensors_MANU!$A$2:$A$4692,0)),)</f>
        <v/>
      </c>
      <c r="O28" s="6" t="inlineStr">
        <is>
          <t>v17</t>
        </is>
      </c>
      <c r="P28" t="n">
        <v>4978578</v>
      </c>
    </row>
    <row r="29">
      <c r="A29" s="32">
        <f>IFERROR(_xlfn.IFNA(INDEX(Sensors_MANU!$E$2:$E$4692,MATCH($D29,Sensors_MANU!$B$2:$B$4692,0)),INDEX(Sensors_MANU!$E$2:$E$4692,MATCH($P29,Sensors_MANU!$A$2:$A$4692,0))),"")</f>
        <v/>
      </c>
      <c r="B29" s="24">
        <f>IFERROR(INDEX(Companies!$A$3:$A$101,MATCH(A29,Companies!$B$3:$B$101,0)),"")</f>
        <v/>
      </c>
      <c r="C29">
        <f>IFERROR(_xlfn.IFNA(INDEX(Sensors_MANU!$F$2:$F$4692,MATCH($D29,Sensors_MANU!$B$2:$B$4692,0)),INDEX(Sensors_MANU!$F$2:$F$4692,MATCH($P29,Sensors_MANU!$A$2:$A$4692,0))),"")</f>
        <v/>
      </c>
      <c r="D29" s="25" t="inlineStr">
        <is>
          <t>DAB5A17D19D0</t>
        </is>
      </c>
      <c r="E29" s="24">
        <f>LEFT(D29,2)&amp;":"&amp;MID(D29,3,2)&amp;":"&amp;MID(D29,5,2)&amp;":"&amp;MID(D29,7,2)&amp;":"&amp;MID(D29,9,2)&amp;":"&amp;RIGHT(D29,2)</f>
        <v/>
      </c>
      <c r="H29" t="inlineStr">
        <is>
          <t>F16899D9D1554886</t>
        </is>
      </c>
      <c r="I29">
        <f>IFERROR(_xlfn.IFNA(INDEX(Sensors_MANU!$C$2:$C$4692,MATCH($D29,Sensors_MANU!$B$2:$B$4692,0)),INDEX(Sensors_MANU!$C$2:$C$4692,MATCH($P29,Sensors_MANU!$A$2:$A$4692,0))),"")</f>
        <v/>
      </c>
      <c r="J29">
        <f>IFERROR(_xlfn.IFNA(INDEX(Sensors_MANU!$D$2:$D$4692,MATCH($D29,Sensors_MANU!$B$2:$B$4692,0)),INDEX(Sensors_MANU!$D$2:$D$4692,MATCH($P29,Sensors_MANU!$A$2:$A$4692,0))),"")</f>
        <v/>
      </c>
      <c r="O29" s="6" t="inlineStr">
        <is>
          <t>V23</t>
        </is>
      </c>
    </row>
    <row r="30">
      <c r="A30" s="32">
        <f>IFERROR(_xlfn.IFNA(INDEX(Sensors_MANU!$E$2:$E$4692,MATCH($D30,Sensors_MANU!$B$2:$B$4692,0)),INDEX(Sensors_MANU!$E$2:$E$4692,MATCH($P30,Sensors_MANU!$A$2:$A$4692,0))),"")</f>
        <v/>
      </c>
      <c r="B30" s="24">
        <f>IFERROR(INDEX(Companies!$A$3:$A$101,MATCH(A30,Companies!$B$3:$B$101,0)),"")</f>
        <v/>
      </c>
      <c r="D30" t="inlineStr">
        <is>
          <t>E217C40522CC</t>
        </is>
      </c>
      <c r="E30">
        <f>LEFT(D30,2)&amp;":"&amp;MID(D30,3,2)&amp;":"&amp;MID(D30,5,2)&amp;":"&amp;MID(D30,7,2)&amp;":"&amp;MID(D30,9,2)&amp;":"&amp;RIGHT(D30,2)</f>
        <v/>
      </c>
      <c r="H30" t="inlineStr">
        <is>
          <t>E00B7A8CCCFEFEF1</t>
        </is>
      </c>
      <c r="I30">
        <f>IFERROR(_xlfn.IFNA(INDEX(Sensors_MANU!$C$2:$C$4692,MATCH($D30,Sensors_MANU!$B$2:$B$4692,0)),INDEX(Sensors_MANU!$C$2:$C$4692,MATCH($P30,Sensors_MANU!$A$2:$A$4692,0))),"")</f>
        <v/>
      </c>
      <c r="J30">
        <f>IFERROR(_xlfn.IFNA(INDEX(Sensors_MANU!$D$2:$D$4692,MATCH($D30,Sensors_MANU!$B$2:$B$4692,0)),INDEX(Sensors_MANU!$D$2:$D$4692,MATCH($P30,Sensors_MANU!$A$2:$A$4692,0))),"")</f>
        <v/>
      </c>
    </row>
    <row r="31">
      <c r="A31" s="32">
        <f>IFERROR(_xlfn.IFNA(INDEX(Sensors_MANU!$E$2:$E$4692,MATCH($D31,Sensors_MANU!$B$2:$B$4692,0)),INDEX(Sensors_MANU!$E$2:$E$4692,MATCH($P31,Sensors_MANU!$A$2:$A$4692,0))),"")</f>
        <v/>
      </c>
      <c r="B31" s="24">
        <f>IFERROR(INDEX(Companies!$A$3:$A$101,MATCH(A31,Companies!$B$3:$B$101,0)),"")</f>
        <v/>
      </c>
      <c r="D31" t="inlineStr">
        <is>
          <t>EC21D1AE4CBA</t>
        </is>
      </c>
      <c r="E31">
        <f>LEFT(D31,2)&amp;":"&amp;MID(D31,3,2)&amp;":"&amp;MID(D31,5,2)&amp;":"&amp;MID(D31,7,2)&amp;":"&amp;MID(D31,9,2)&amp;":"&amp;RIGHT(D31,2)</f>
        <v/>
      </c>
      <c r="H31" t="inlineStr">
        <is>
          <t>23366BFA23259D4A</t>
        </is>
      </c>
      <c r="I31">
        <f>IFERROR(_xlfn.IFNA(INDEX(Sensors_MANU!$C$2:$C$4692,MATCH($D31,Sensors_MANU!$B$2:$B$4692,0)),INDEX(Sensors_MANU!$C$2:$C$4692,MATCH($P31,Sensors_MANU!$A$2:$A$4692,0))),"")</f>
        <v/>
      </c>
      <c r="J31">
        <f>IFERROR(_xlfn.IFNA(INDEX(Sensors_MANU!$D$2:$D$4692,MATCH($D31,Sensors_MANU!$B$2:$B$4692,0)),INDEX(Sensors_MANU!$D$2:$D$4692,MATCH($P31,Sensors_MANU!$A$2:$A$4692,0))),"")</f>
        <v/>
      </c>
    </row>
    <row r="32">
      <c r="A32" s="32">
        <f>IFERROR(_xlfn.IFNA(INDEX(Sensors_MANU!$E$2:$E$4692,MATCH($D32,Sensors_MANU!$B$2:$B$4692,0)),INDEX(Sensors_MANU!$E$2:$E$4692,MATCH($P32,Sensors_MANU!$A$2:$A$4692,0))),"")</f>
        <v/>
      </c>
      <c r="B32" s="24">
        <f>IFERROR(INDEX(Companies!$A$3:$A$101,MATCH(A32,Companies!$B$3:$B$101,0)),"")</f>
        <v/>
      </c>
      <c r="D32" t="inlineStr">
        <is>
          <t>D251871CF673</t>
        </is>
      </c>
      <c r="E32">
        <f>LEFT(D32,2)&amp;":"&amp;MID(D32,3,2)&amp;":"&amp;MID(D32,5,2)&amp;":"&amp;MID(D32,7,2)&amp;":"&amp;MID(D32,9,2)&amp;":"&amp;RIGHT(D32,2)</f>
        <v/>
      </c>
      <c r="H32" t="inlineStr">
        <is>
          <t>8C043B92775BEFF8</t>
        </is>
      </c>
      <c r="I32">
        <f>IFERROR(_xlfn.IFNA(INDEX(Sensors_MANU!$C$2:$C$4692,MATCH($D32,Sensors_MANU!$B$2:$B$4692,0)),INDEX(Sensors_MANU!$C$2:$C$4692,MATCH($P32,Sensors_MANU!$A$2:$A$4692,0))),"")</f>
        <v/>
      </c>
      <c r="J32">
        <f>IFERROR(_xlfn.IFNA(INDEX(Sensors_MANU!$D$2:$D$4692,MATCH($D32,Sensors_MANU!$B$2:$B$4692,0)),INDEX(Sensors_MANU!$D$2:$D$4692,MATCH($P32,Sensors_MANU!$A$2:$A$4692,0))),"")</f>
        <v/>
      </c>
    </row>
    <row r="33">
      <c r="A33" s="32">
        <f>IFERROR(_xlfn.IFNA(INDEX(Sensors_MANU!$E$2:$E$4692,MATCH($D33,Sensors_MANU!$B$2:$B$4692,0)),INDEX(Sensors_MANU!$E$2:$E$4692,MATCH($P33,Sensors_MANU!$A$2:$A$4692,0))),"")</f>
        <v/>
      </c>
      <c r="B33" s="24">
        <f>IFERROR(INDEX(Companies!$A$3:$A$101,MATCH(A33,Companies!$B$3:$B$101,0)),"")</f>
        <v/>
      </c>
      <c r="D33" t="inlineStr">
        <is>
          <t>E4202FC02258</t>
        </is>
      </c>
      <c r="E33">
        <f>LEFT(D33,2)&amp;":"&amp;MID(D33,3,2)&amp;":"&amp;MID(D33,5,2)&amp;":"&amp;MID(D33,7,2)&amp;":"&amp;MID(D33,9,2)&amp;":"&amp;RIGHT(D33,2)</f>
        <v/>
      </c>
      <c r="H33" t="inlineStr">
        <is>
          <t>D4E30509D3A93139</t>
        </is>
      </c>
      <c r="I33">
        <f>IFERROR(_xlfn.IFNA(INDEX(Sensors_MANU!$C$2:$C$4692,MATCH($D33,Sensors_MANU!$B$2:$B$4692,0)),INDEX(Sensors_MANU!$C$2:$C$4692,MATCH($P33,Sensors_MANU!$A$2:$A$4692,0))),"")</f>
        <v/>
      </c>
      <c r="J33">
        <f>IFERROR(_xlfn.IFNA(INDEX(Sensors_MANU!$D$2:$D$4692,MATCH($D33,Sensors_MANU!$B$2:$B$4692,0)),INDEX(Sensors_MANU!$D$2:$D$4692,MATCH($P33,Sensors_MANU!$A$2:$A$4692,0))),"")</f>
        <v/>
      </c>
    </row>
    <row r="34">
      <c r="A34" s="32">
        <f>IFERROR(_xlfn.IFNA(INDEX(Sensors_MANU!$E$2:$E$4692,MATCH($D34,Sensors_MANU!$B$2:$B$4692,0)),INDEX(Sensors_MANU!$E$2:$E$4692,MATCH($P34,Sensors_MANU!$A$2:$A$4692,0))),"")</f>
        <v/>
      </c>
      <c r="B34" s="24">
        <f>IFERROR(INDEX(Companies!$A$3:$A$101,MATCH(A34,Companies!$B$3:$B$101,0)),"")</f>
        <v/>
      </c>
      <c r="D34" t="inlineStr">
        <is>
          <t>DFD94D3E05FE</t>
        </is>
      </c>
      <c r="E34">
        <f>LEFT(D34,2)&amp;":"&amp;MID(D34,3,2)&amp;":"&amp;MID(D34,5,2)&amp;":"&amp;MID(D34,7,2)&amp;":"&amp;MID(D34,9,2)&amp;":"&amp;RIGHT(D34,2)</f>
        <v/>
      </c>
      <c r="H34" t="inlineStr">
        <is>
          <t>3D5E71425EC34201</t>
        </is>
      </c>
      <c r="I34">
        <f>IFERROR(_xlfn.IFNA(INDEX(Sensors_MANU!$C$2:$C$4692,MATCH($D34,Sensors_MANU!$B$2:$B$4692,0)),INDEX(Sensors_MANU!$C$2:$C$4692,MATCH($P34,Sensors_MANU!$A$2:$A$4692,0))),"")</f>
        <v/>
      </c>
      <c r="J34">
        <f>IFERROR(_xlfn.IFNA(INDEX(Sensors_MANU!$D$2:$D$4692,MATCH($D34,Sensors_MANU!$B$2:$B$4692,0)),INDEX(Sensors_MANU!$D$2:$D$4692,MATCH($P34,Sensors_MANU!$A$2:$A$4692,0))),"")</f>
        <v/>
      </c>
    </row>
    <row r="35">
      <c r="A35" s="32">
        <f>IFERROR(_xlfn.IFNA(INDEX(Sensors_MANU!$E$2:$E$4692,MATCH($D35,Sensors_MANU!$B$2:$B$4692,0)),INDEX(Sensors_MANU!$E$2:$E$4692,MATCH($P35,Sensors_MANU!$A$2:$A$4692,0))),"")</f>
        <v/>
      </c>
      <c r="B35" s="24">
        <f>IFERROR(INDEX(Companies!$A$3:$A$101,MATCH(A35,Companies!$B$3:$B$101,0)),"")</f>
        <v/>
      </c>
      <c r="D35" t="inlineStr">
        <is>
          <t>FCF111E90F9E</t>
        </is>
      </c>
      <c r="E35">
        <f>LEFT(D35,2)&amp;":"&amp;MID(D35,3,2)&amp;":"&amp;MID(D35,5,2)&amp;":"&amp;MID(D35,7,2)&amp;":"&amp;MID(D35,9,2)&amp;":"&amp;RIGHT(D35,2)</f>
        <v/>
      </c>
      <c r="H35" t="inlineStr">
        <is>
          <t>C3E9F96F25AFC2B5</t>
        </is>
      </c>
      <c r="I35">
        <f>IFERROR(_xlfn.IFNA(INDEX(Sensors_MANU!$C$2:$C$4692,MATCH($D35,Sensors_MANU!$B$2:$B$4692,0)),INDEX(Sensors_MANU!$C$2:$C$4692,MATCH($P35,Sensors_MANU!$A$2:$A$4692,0))),"")</f>
        <v/>
      </c>
      <c r="J35">
        <f>IFERROR(_xlfn.IFNA(INDEX(Sensors_MANU!$D$2:$D$4692,MATCH($D35,Sensors_MANU!$B$2:$B$4692,0)),INDEX(Sensors_MANU!$D$2:$D$4692,MATCH($P35,Sensors_MANU!$A$2:$A$4692,0))),"")</f>
        <v/>
      </c>
    </row>
    <row r="36">
      <c r="A36" s="32">
        <f>IFERROR(_xlfn.IFNA(INDEX(Sensors_MANU!$E$2:$E$4692,MATCH($D36,Sensors_MANU!$B$2:$B$4692,0)),INDEX(Sensors_MANU!$E$2:$E$4692,MATCH($P36,Sensors_MANU!$A$2:$A$4692,0))),"")</f>
        <v/>
      </c>
      <c r="B36" s="24">
        <f>IFERROR(INDEX(Companies!$A$3:$A$101,MATCH(A36,Companies!$B$3:$B$101,0)),"")</f>
        <v/>
      </c>
      <c r="C36">
        <f>IFERROR(_xlfn.IFNA(INDEX(Sensors_MANU!$F$2:$F$4692,MATCH($D36,Sensors_MANU!$B$2:$B$4692,0)),INDEX(Sensors_MANU!$F$2:$F$4692,MATCH($P36,Sensors_MANU!$A$2:$A$4692,0))),"")</f>
        <v/>
      </c>
      <c r="D36" t="inlineStr">
        <is>
          <t>C1386E70D7FC</t>
        </is>
      </c>
      <c r="E36">
        <f>LEFT(D36,2)&amp;":"&amp;MID(D36,3,2)&amp;":"&amp;MID(D36,5,2)&amp;":"&amp;MID(D36,7,2)&amp;":"&amp;MID(D36,9,2)&amp;":"&amp;RIGHT(D36,2)</f>
        <v/>
      </c>
      <c r="H36" t="inlineStr">
        <is>
          <t>F09BFC6E7CA2C207</t>
        </is>
      </c>
      <c r="I36">
        <f>IFERROR(_xlfn.IFNA(INDEX(Sensors_MANU!$C$2:$C$4692,MATCH($D36,Sensors_MANU!$B$2:$B$4692,0)),INDEX(Sensors_MANU!$C$2:$C$4692,MATCH($P36,Sensors_MANU!$A$2:$A$4692,0))),"")</f>
        <v/>
      </c>
      <c r="J36">
        <f>IFERROR(_xlfn.IFNA(INDEX(Sensors_MANU!$D$2:$D$4692,MATCH($D36,Sensors_MANU!$B$2:$B$4692,0)),INDEX(Sensors_MANU!$D$2:$D$4692,MATCH($P36,Sensors_MANU!$A$2:$A$4692,0))),"")</f>
        <v/>
      </c>
      <c r="M36" s="27" t="n"/>
      <c r="N36" s="99">
        <f>IFERROR(INDEX(Sensors_MANU!$G$2:$G$4692,MATCH($P36,Sensors_MANU!$A$2:$A$4692,0)),)</f>
        <v/>
      </c>
      <c r="O36" s="6" t="inlineStr">
        <is>
          <t>v17</t>
        </is>
      </c>
      <c r="P36" t="n">
        <v>4978649</v>
      </c>
    </row>
    <row r="37">
      <c r="A37" s="32">
        <f>IFERROR(_xlfn.IFNA(INDEX(Sensors_MANU!$E$2:$E$4692,MATCH($D37,Sensors_MANU!$B$2:$B$4692,0)),INDEX(Sensors_MANU!$E$2:$E$4692,MATCH($P37,Sensors_MANU!$A$2:$A$4692,0))),"")</f>
        <v/>
      </c>
      <c r="B37" s="24">
        <f>IFERROR(INDEX(Companies!$A$3:$A$101,MATCH(A37,Companies!$B$3:$B$101,0)),"")</f>
        <v/>
      </c>
      <c r="C37" t="inlineStr">
        <is>
          <t>cargo</t>
        </is>
      </c>
      <c r="D37" t="inlineStr">
        <is>
          <t>CFB783D03FEC</t>
        </is>
      </c>
      <c r="E37">
        <f>LEFT(D37,2)&amp;":"&amp;MID(D37,3,2)&amp;":"&amp;MID(D37,5,2)&amp;":"&amp;MID(D37,7,2)&amp;":"&amp;MID(D37,9,2)&amp;":"&amp;RIGHT(D37,2)</f>
        <v/>
      </c>
      <c r="H37" t="inlineStr">
        <is>
          <t>925CEB023538470D</t>
        </is>
      </c>
      <c r="I37">
        <f>IFERROR(_xlfn.IFNA(INDEX(Sensors_MANU!$C$2:$C$4692,MATCH($D37,Sensors_MANU!$B$2:$B$4692,0)),INDEX(Sensors_MANU!$C$2:$C$4692,MATCH($P37,Sensors_MANU!$A$2:$A$4692,0))),"")</f>
        <v/>
      </c>
      <c r="J37">
        <f>IFERROR(_xlfn.IFNA(INDEX(Sensors_MANU!$D$2:$D$4692,MATCH($D37,Sensors_MANU!$B$2:$B$4692,0)),INDEX(Sensors_MANU!$D$2:$D$4692,MATCH($P37,Sensors_MANU!$A$2:$A$4692,0))),"")</f>
        <v/>
      </c>
      <c r="M37" s="27" t="n"/>
      <c r="N37" s="99">
        <f>IFERROR(INDEX(Sensors_MANU!$G$2:$G$4692,MATCH($P37,Sensors_MANU!$A$2:$A$4692,0)),)</f>
        <v/>
      </c>
      <c r="O37" s="6" t="inlineStr">
        <is>
          <t>v17</t>
        </is>
      </c>
      <c r="P37" t="n">
        <v>4978646</v>
      </c>
    </row>
    <row r="38">
      <c r="A38" s="32">
        <f>IFERROR(_xlfn.IFNA(INDEX(Sensors_MANU!$E$2:$E$4692,MATCH($D38,Sensors_MANU!$B$2:$B$4692,0)),INDEX(Sensors_MANU!$E$2:$E$4692,MATCH($P38,Sensors_MANU!$A$2:$A$4692,0))),"")</f>
        <v/>
      </c>
      <c r="B38" s="24">
        <f>IFERROR(INDEX(Companies!$A$3:$A$101,MATCH(A38,Companies!$B$3:$B$101,0)),"")</f>
        <v/>
      </c>
      <c r="C38">
        <f>IFERROR(_xlfn.IFNA(INDEX(Sensors_MANU!$F$2:$F$4692,MATCH($D38,Sensors_MANU!$B$2:$B$4692,0)),INDEX(Sensors_MANU!$F$2:$F$4692,MATCH($P38,Sensors_MANU!$A$2:$A$4692,0))),"")</f>
        <v/>
      </c>
      <c r="D38" t="inlineStr">
        <is>
          <t>C6BCF35A4CE4</t>
        </is>
      </c>
      <c r="E38">
        <f>LEFT(D38,2)&amp;":"&amp;MID(D38,3,2)&amp;":"&amp;MID(D38,5,2)&amp;":"&amp;MID(D38,7,2)&amp;":"&amp;MID(D38,9,2)&amp;":"&amp;RIGHT(D38,2)</f>
        <v/>
      </c>
      <c r="H38" t="inlineStr">
        <is>
          <t>751FC6BC785AC829</t>
        </is>
      </c>
      <c r="I38">
        <f>IFERROR(_xlfn.IFNA(INDEX(Sensors_MANU!$C$2:$C$4692,MATCH($D38,Sensors_MANU!$B$2:$B$4692,0)),INDEX(Sensors_MANU!$C$2:$C$4692,MATCH($P38,Sensors_MANU!$A$2:$A$4692,0))),"")</f>
        <v/>
      </c>
      <c r="J38">
        <f>IFERROR(_xlfn.IFNA(INDEX(Sensors_MANU!$D$2:$D$4692,MATCH($D38,Sensors_MANU!$B$2:$B$4692,0)),INDEX(Sensors_MANU!$D$2:$D$4692,MATCH($P38,Sensors_MANU!$A$2:$A$4692,0))),"")</f>
        <v/>
      </c>
      <c r="M38" s="27" t="n"/>
      <c r="N38" s="99">
        <f>IFERROR(INDEX(Sensors_MANU!$G$2:$G$4692,MATCH($P38,Sensors_MANU!$A$2:$A$4692,0)),)</f>
        <v/>
      </c>
      <c r="O38" s="6" t="inlineStr">
        <is>
          <t>v17</t>
        </is>
      </c>
      <c r="P38" t="n">
        <v>4978588</v>
      </c>
    </row>
    <row r="39">
      <c r="A39" s="32">
        <f>IFERROR(_xlfn.IFNA(INDEX(Sensors_MANU!$E$2:$E$4692,MATCH($D39,Sensors_MANU!$B$2:$B$4692,0)),INDEX(Sensors_MANU!$E$2:$E$4692,MATCH($P39,Sensors_MANU!$A$2:$A$4692,0))),"")</f>
        <v/>
      </c>
      <c r="B39" s="24">
        <f>IFERROR(INDEX(Companies!$A$3:$A$101,MATCH(A39,Companies!$B$3:$B$101,0)),"")</f>
        <v/>
      </c>
      <c r="C39">
        <f>IFERROR(_xlfn.IFNA(INDEX(Sensors_MANU!$F$2:$F$4692,MATCH($D39,Sensors_MANU!$B$2:$B$4692,0)),INDEX(Sensors_MANU!$F$2:$F$4692,MATCH($P39,Sensors_MANU!$A$2:$A$4692,0))),"")</f>
        <v/>
      </c>
      <c r="D39" t="inlineStr">
        <is>
          <t>C4210A5C9D5F</t>
        </is>
      </c>
      <c r="E39">
        <f>LEFT(D39,2)&amp;":"&amp;MID(D39,3,2)&amp;":"&amp;MID(D39,5,2)&amp;":"&amp;MID(D39,7,2)&amp;":"&amp;MID(D39,9,2)&amp;":"&amp;RIGHT(D39,2)</f>
        <v/>
      </c>
      <c r="H39" t="inlineStr">
        <is>
          <t>A60A3BEB1BA8A1D5</t>
        </is>
      </c>
      <c r="I39">
        <f>IFERROR(_xlfn.IFNA(INDEX(Sensors_MANU!$C$2:$C$4692,MATCH($D39,Sensors_MANU!$B$2:$B$4692,0)),INDEX(Sensors_MANU!$C$2:$C$4692,MATCH($P39,Sensors_MANU!$A$2:$A$4692,0))),"")</f>
        <v/>
      </c>
      <c r="J39">
        <f>IFERROR(_xlfn.IFNA(INDEX(Sensors_MANU!$D$2:$D$4692,MATCH($D39,Sensors_MANU!$B$2:$B$4692,0)),INDEX(Sensors_MANU!$D$2:$D$4692,MATCH($P39,Sensors_MANU!$A$2:$A$4692,0))),"")</f>
        <v/>
      </c>
      <c r="N39" s="99">
        <f>IFERROR(INDEX(Sensors_MANU!$G$2:$G$4692,MATCH($P39,Sensors_MANU!$A$2:$A$4692,0)),)</f>
        <v/>
      </c>
      <c r="O39" s="6" t="inlineStr">
        <is>
          <t>v17</t>
        </is>
      </c>
      <c r="P39" t="n">
        <v>4978546</v>
      </c>
    </row>
    <row r="40">
      <c r="A40" s="32">
        <f>IFERROR(_xlfn.IFNA(INDEX(Sensors_MANU!$E$2:$E$4692,MATCH($D40,Sensors_MANU!$B$2:$B$4692,0)),INDEX(Sensors_MANU!$E$2:$E$4692,MATCH($P40,Sensors_MANU!$A$2:$A$4692,0))),"")</f>
        <v/>
      </c>
      <c r="B40" s="24">
        <f>IFERROR(INDEX(Companies!$A$3:$A$101,MATCH(A40,Companies!$B$3:$B$101,0)),"")</f>
        <v/>
      </c>
      <c r="C40">
        <f>IFERROR(_xlfn.IFNA(INDEX(Sensors_MANU!$F$2:$F$4692,MATCH($D40,Sensors_MANU!$B$2:$B$4692,0)),INDEX(Sensors_MANU!$F$2:$F$4692,MATCH($P40,Sensors_MANU!$A$2:$A$4692,0))),"")</f>
        <v/>
      </c>
      <c r="D40" t="inlineStr">
        <is>
          <t>FF3EF624B31A</t>
        </is>
      </c>
      <c r="E40">
        <f>LEFT(D40,2)&amp;":"&amp;MID(D40,3,2)&amp;":"&amp;MID(D40,5,2)&amp;":"&amp;MID(D40,7,2)&amp;":"&amp;MID(D40,9,2)&amp;":"&amp;RIGHT(D40,2)</f>
        <v/>
      </c>
      <c r="H40" t="inlineStr">
        <is>
          <t>706A317F95A263AE</t>
        </is>
      </c>
      <c r="I40">
        <f>IFERROR(_xlfn.IFNA(INDEX(Sensors_MANU!$C$2:$C$4692,MATCH($D40,Sensors_MANU!$B$2:$B$4692,0)),INDEX(Sensors_MANU!$C$2:$C$4692,MATCH($P40,Sensors_MANU!$A$2:$A$4692,0))),"")</f>
        <v/>
      </c>
      <c r="J40">
        <f>IFERROR(_xlfn.IFNA(INDEX(Sensors_MANU!$D$2:$D$4692,MATCH($D40,Sensors_MANU!$B$2:$B$4692,0)),INDEX(Sensors_MANU!$D$2:$D$4692,MATCH($P40,Sensors_MANU!$A$2:$A$4692,0))),"")</f>
        <v/>
      </c>
      <c r="M40" s="27" t="n"/>
      <c r="N40" s="99">
        <f>IFERROR(INDEX(Sensors_MANU!$G$2:$G$4692,MATCH($P40,Sensors_MANU!$A$2:$A$4692,0)),)</f>
        <v/>
      </c>
      <c r="O40" s="6" t="inlineStr">
        <is>
          <t>v16</t>
        </is>
      </c>
      <c r="P40" t="n">
        <v>4978592</v>
      </c>
    </row>
    <row r="41">
      <c r="A41" s="32">
        <f>IFERROR(_xlfn.IFNA(INDEX(Sensors_MANU!$E$2:$E$4692,MATCH($D41,Sensors_MANU!$B$2:$B$4692,0)),INDEX(Sensors_MANU!$E$2:$E$4692,MATCH($P41,Sensors_MANU!$A$2:$A$4692,0))),"")</f>
        <v/>
      </c>
      <c r="B41" s="24">
        <f>IFERROR(INDEX(Companies!$A$3:$A$101,MATCH(A41,Companies!$B$3:$B$101,0)),"")</f>
        <v/>
      </c>
      <c r="C41">
        <f>IFERROR(_xlfn.IFNA(INDEX(Sensors_MANU!$F$2:$F$4692,MATCH($D41,Sensors_MANU!$B$2:$B$4692,0)),INDEX(Sensors_MANU!$F$2:$F$4692,MATCH($P41,Sensors_MANU!$A$2:$A$4692,0))),"")</f>
        <v/>
      </c>
      <c r="D41" t="inlineStr">
        <is>
          <t>DEF09F72D0C0</t>
        </is>
      </c>
      <c r="E41">
        <f>LEFT(D41,2)&amp;":"&amp;MID(D41,3,2)&amp;":"&amp;MID(D41,5,2)&amp;":"&amp;MID(D41,7,2)&amp;":"&amp;MID(D41,9,2)&amp;":"&amp;RIGHT(D41,2)</f>
        <v/>
      </c>
      <c r="H41" t="inlineStr">
        <is>
          <t>A0F026BE0E772D91</t>
        </is>
      </c>
      <c r="I41">
        <f>IFERROR(_xlfn.IFNA(INDEX(Sensors_MANU!$C$2:$C$4692,MATCH($D41,Sensors_MANU!$B$2:$B$4692,0)),INDEX(Sensors_MANU!$C$2:$C$4692,MATCH($P41,Sensors_MANU!$A$2:$A$4692,0))),"")</f>
        <v/>
      </c>
      <c r="J41">
        <f>IFERROR(_xlfn.IFNA(INDEX(Sensors_MANU!$D$2:$D$4692,MATCH($D41,Sensors_MANU!$B$2:$B$4692,0)),INDEX(Sensors_MANU!$D$2:$D$4692,MATCH($P41,Sensors_MANU!$A$2:$A$4692,0))),"")</f>
        <v/>
      </c>
      <c r="M41" s="27" t="n"/>
      <c r="N41" s="99">
        <f>IFERROR(INDEX(Sensors_MANU!$G$2:$G$4692,MATCH($P41,Sensors_MANU!$A$2:$A$4692,0)),)</f>
        <v/>
      </c>
      <c r="O41" s="6" t="inlineStr">
        <is>
          <t>v16</t>
        </is>
      </c>
      <c r="P41" t="n">
        <v>4978422</v>
      </c>
    </row>
    <row r="42">
      <c r="A42" s="32">
        <f>IFERROR(_xlfn.IFNA(INDEX(Sensors_MANU!$E$2:$E$4692,MATCH($D42,Sensors_MANU!$B$2:$B$4692,0)),INDEX(Sensors_MANU!$E$2:$E$4692,MATCH($P42,Sensors_MANU!$A$2:$A$4692,0))),"")</f>
        <v/>
      </c>
      <c r="B42" s="24">
        <f>IFERROR(INDEX(Companies!$A$3:$A$101,MATCH(A42,Companies!$B$3:$B$101,0)),"")</f>
        <v/>
      </c>
      <c r="C42">
        <f>IFERROR(_xlfn.IFNA(INDEX(Sensors_MANU!$F$2:$F$4692,MATCH($D42,Sensors_MANU!$B$2:$B$4692,0)),INDEX(Sensors_MANU!$F$2:$F$4692,MATCH($P42,Sensors_MANU!$A$2:$A$4692,0))),"")</f>
        <v/>
      </c>
      <c r="D42" t="inlineStr">
        <is>
          <t>F1D7C7407F2D</t>
        </is>
      </c>
      <c r="E42">
        <f>LEFT(D42,2)&amp;":"&amp;MID(D42,3,2)&amp;":"&amp;MID(D42,5,2)&amp;":"&amp;MID(D42,7,2)&amp;":"&amp;MID(D42,9,2)&amp;":"&amp;RIGHT(D42,2)</f>
        <v/>
      </c>
      <c r="H42" t="inlineStr">
        <is>
          <t>E48A7BD88AF1898A</t>
        </is>
      </c>
      <c r="I42">
        <f>IFERROR(_xlfn.IFNA(INDEX(Sensors_MANU!$C$2:$C$4692,MATCH($D42,Sensors_MANU!$B$2:$B$4692,0)),INDEX(Sensors_MANU!$C$2:$C$4692,MATCH($P42,Sensors_MANU!$A$2:$A$4692,0))),"")</f>
        <v/>
      </c>
      <c r="J42">
        <f>IFERROR(_xlfn.IFNA(INDEX(Sensors_MANU!$D$2:$D$4692,MATCH($D42,Sensors_MANU!$B$2:$B$4692,0)),INDEX(Sensors_MANU!$D$2:$D$4692,MATCH($P42,Sensors_MANU!$A$2:$A$4692,0))),"")</f>
        <v/>
      </c>
      <c r="M42" s="27" t="n"/>
      <c r="N42" s="99">
        <f>IFERROR(INDEX(Sensors_MANU!$G$2:$G$4692,MATCH($P42,Sensors_MANU!$A$2:$A$4692,0)),)</f>
        <v/>
      </c>
      <c r="O42" s="6" t="inlineStr">
        <is>
          <t>v16</t>
        </is>
      </c>
      <c r="P42" t="n">
        <v>4978478</v>
      </c>
    </row>
    <row r="43">
      <c r="A43" s="32">
        <f>IFERROR(_xlfn.IFNA(INDEX(Sensors_MANU!$E$2:$E$4692,MATCH($D43,Sensors_MANU!$B$2:$B$4692,0)),INDEX(Sensors_MANU!$E$2:$E$4692,MATCH($P43,Sensors_MANU!$A$2:$A$4692,0))),"")</f>
        <v/>
      </c>
      <c r="B43" s="24">
        <f>IFERROR(INDEX(Companies!$A$3:$A$101,MATCH(A43,Companies!$B$3:$B$101,0)),"")</f>
        <v/>
      </c>
      <c r="C43">
        <f>IFERROR(_xlfn.IFNA(INDEX(Sensors_MANU!$F$2:$F$4692,MATCH($D43,Sensors_MANU!$B$2:$B$4692,0)),INDEX(Sensors_MANU!$F$2:$F$4692,MATCH($P43,Sensors_MANU!$A$2:$A$4692,0))),"")</f>
        <v/>
      </c>
      <c r="D43" t="inlineStr">
        <is>
          <t>CEB22259AA88</t>
        </is>
      </c>
      <c r="E43">
        <f>LEFT(D43,2)&amp;":"&amp;MID(D43,3,2)&amp;":"&amp;MID(D43,5,2)&amp;":"&amp;MID(D43,7,2)&amp;":"&amp;MID(D43,9,2)&amp;":"&amp;RIGHT(D43,2)</f>
        <v/>
      </c>
      <c r="H43" t="inlineStr">
        <is>
          <t>9A63A15C81787887</t>
        </is>
      </c>
      <c r="I43">
        <f>IFERROR(_xlfn.IFNA(INDEX(Sensors_MANU!$C$2:$C$4692,MATCH($D43,Sensors_MANU!$B$2:$B$4692,0)),INDEX(Sensors_MANU!$C$2:$C$4692,MATCH($P43,Sensors_MANU!$A$2:$A$4692,0))),"")</f>
        <v/>
      </c>
      <c r="J43">
        <f>IFERROR(_xlfn.IFNA(INDEX(Sensors_MANU!$D$2:$D$4692,MATCH($D43,Sensors_MANU!$B$2:$B$4692,0)),INDEX(Sensors_MANU!$D$2:$D$4692,MATCH($P43,Sensors_MANU!$A$2:$A$4692,0))),"")</f>
        <v/>
      </c>
      <c r="M43" s="27" t="n"/>
      <c r="N43" s="99">
        <f>IFERROR(INDEX(Sensors_MANU!$G$2:$G$4692,MATCH($P43,Sensors_MANU!$A$2:$A$4692,0)),)</f>
        <v/>
      </c>
      <c r="O43" s="6" t="inlineStr">
        <is>
          <t>v16</t>
        </is>
      </c>
      <c r="P43" t="n">
        <v>4978479</v>
      </c>
    </row>
    <row r="44">
      <c r="A44" s="32">
        <f>IFERROR(_xlfn.IFNA(INDEX(Sensors_MANU!$E$2:$E$4692,MATCH($D44,Sensors_MANU!$B$2:$B$4692,0)),INDEX(Sensors_MANU!$E$2:$E$4692,MATCH($P44,Sensors_MANU!$A$2:$A$4692,0))),"")</f>
        <v/>
      </c>
      <c r="B44" s="24">
        <f>IFERROR(INDEX(Companies!$A$3:$A$101,MATCH(A44,Companies!$B$3:$B$101,0)),"")</f>
        <v/>
      </c>
      <c r="C44">
        <f>IFERROR(_xlfn.IFNA(INDEX(Sensors_MANU!$F$2:$F$4692,MATCH($D44,Sensors_MANU!$B$2:$B$4692,0)),INDEX(Sensors_MANU!$F$2:$F$4692,MATCH($P44,Sensors_MANU!$A$2:$A$4692,0))),"")</f>
        <v/>
      </c>
      <c r="D44" t="inlineStr">
        <is>
          <t>CA7D8741EE7C</t>
        </is>
      </c>
      <c r="E44">
        <f>LEFT(D44,2)&amp;":"&amp;MID(D44,3,2)&amp;":"&amp;MID(D44,5,2)&amp;":"&amp;MID(D44,7,2)&amp;":"&amp;MID(D44,9,2)&amp;":"&amp;RIGHT(D44,2)</f>
        <v/>
      </c>
      <c r="H44" t="inlineStr">
        <is>
          <t>8C05CFE174697087</t>
        </is>
      </c>
      <c r="I44">
        <f>IFERROR(_xlfn.IFNA(INDEX(Sensors_MANU!$C$2:$C$4692,MATCH($D44,Sensors_MANU!$B$2:$B$4692,0)),INDEX(Sensors_MANU!$C$2:$C$4692,MATCH($P44,Sensors_MANU!$A$2:$A$4692,0))),"")</f>
        <v/>
      </c>
      <c r="J44">
        <f>IFERROR(_xlfn.IFNA(INDEX(Sensors_MANU!$D$2:$D$4692,MATCH($D44,Sensors_MANU!$B$2:$B$4692,0)),INDEX(Sensors_MANU!$D$2:$D$4692,MATCH($P44,Sensors_MANU!$A$2:$A$4692,0))),"")</f>
        <v/>
      </c>
      <c r="M44" s="27" t="n"/>
      <c r="N44" s="99">
        <f>IFERROR(INDEX(Sensors_MANU!$G$2:$G$4692,MATCH($P44,Sensors_MANU!$A$2:$A$4692,0)),)</f>
        <v/>
      </c>
      <c r="O44" s="6" t="inlineStr">
        <is>
          <t>v16</t>
        </is>
      </c>
      <c r="P44" t="n">
        <v>4978438</v>
      </c>
    </row>
    <row r="45">
      <c r="A45" s="32">
        <f>IFERROR(_xlfn.IFNA(INDEX(Sensors_MANU!$E$2:$E$4692,MATCH($D45,Sensors_MANU!$B$2:$B$4692,0)),INDEX(Sensors_MANU!$E$2:$E$4692,MATCH($P45,Sensors_MANU!$A$2:$A$4692,0))),"")</f>
        <v/>
      </c>
      <c r="B45" s="24">
        <f>IFERROR(INDEX(Companies!$A$3:$A$101,MATCH(A45,Companies!$B$3:$B$101,0)),"")</f>
        <v/>
      </c>
      <c r="C45">
        <f>IFERROR(_xlfn.IFNA(INDEX(Sensors_MANU!$F$2:$F$4692,MATCH($D45,Sensors_MANU!$B$2:$B$4692,0)),INDEX(Sensors_MANU!$F$2:$F$4692,MATCH($P45,Sensors_MANU!$A$2:$A$4692,0))),"")</f>
        <v/>
      </c>
      <c r="D45" t="inlineStr">
        <is>
          <t>D8F90E28BEF6</t>
        </is>
      </c>
      <c r="E45">
        <f>LEFT(D45,2)&amp;":"&amp;MID(D45,3,2)&amp;":"&amp;MID(D45,5,2)&amp;":"&amp;MID(D45,7,2)&amp;":"&amp;MID(D45,9,2)&amp;":"&amp;RIGHT(D45,2)</f>
        <v/>
      </c>
      <c r="H45" t="inlineStr">
        <is>
          <t>D10E44678CB41651</t>
        </is>
      </c>
      <c r="I45">
        <f>IFERROR(_xlfn.IFNA(INDEX(Sensors_MANU!$C$2:$C$4692,MATCH($D45,Sensors_MANU!$B$2:$B$4692,0)),INDEX(Sensors_MANU!$C$2:$C$4692,MATCH($P45,Sensors_MANU!$A$2:$A$4692,0))),"")</f>
        <v/>
      </c>
      <c r="J45" s="7">
        <f>IFERROR(_xlfn.IFNA(INDEX(Sensors_MANU!$D$2:$D$4692,MATCH($D45,Sensors_MANU!$B$2:$B$4692,0)),INDEX(Sensors_MANU!$D$2:$D$4692,MATCH($P45,Sensors_MANU!$A$2:$A$4692,0))),"")</f>
        <v/>
      </c>
      <c r="M45" s="27" t="n"/>
      <c r="N45" s="99">
        <f>IFERROR(INDEX(Sensors_MANU!$G$2:$G$4692,MATCH($P45,Sensors_MANU!$A$2:$A$4692,0)),)</f>
        <v/>
      </c>
      <c r="O45" s="6" t="inlineStr">
        <is>
          <t>v16</t>
        </is>
      </c>
      <c r="P45" t="n">
        <v>4978414</v>
      </c>
    </row>
    <row r="46">
      <c r="A46" s="32">
        <f>IFERROR(_xlfn.IFNA(INDEX(Sensors_MANU!$E$2:$E$4692,MATCH($D46,Sensors_MANU!$B$2:$B$4692,0)),INDEX(Sensors_MANU!$E$2:$E$4692,MATCH($P46,Sensors_MANU!$A$2:$A$4692,0))),"")</f>
        <v/>
      </c>
      <c r="B46" s="24">
        <f>IFERROR(INDEX(Companies!$A$3:$A$101,MATCH(A46,Companies!$B$3:$B$101,0)),"")</f>
        <v/>
      </c>
      <c r="C46">
        <f>IFERROR(_xlfn.IFNA(INDEX(Sensors_MANU!$F$2:$F$4692,MATCH($D46,Sensors_MANU!$B$2:$B$4692,0)),INDEX(Sensors_MANU!$F$2:$F$4692,MATCH($P46,Sensors_MANU!$A$2:$A$4692,0))),"")</f>
        <v/>
      </c>
      <c r="D46" t="inlineStr">
        <is>
          <t>F127DD4DF66A</t>
        </is>
      </c>
      <c r="E46">
        <f>LEFT(D46,2)&amp;":"&amp;MID(D46,3,2)&amp;":"&amp;MID(D46,5,2)&amp;":"&amp;MID(D46,7,2)&amp;":"&amp;MID(D46,9,2)&amp;":"&amp;RIGHT(D46,2)</f>
        <v/>
      </c>
      <c r="H46" t="inlineStr">
        <is>
          <t>D3C579E37D866C0A</t>
        </is>
      </c>
      <c r="I46">
        <f>IFERROR(_xlfn.IFNA(INDEX(Sensors_MANU!$C$2:$C$4692,MATCH($D46,Sensors_MANU!$B$2:$B$4692,0)),INDEX(Sensors_MANU!$C$2:$C$4692,MATCH($P46,Sensors_MANU!$A$2:$A$4692,0))),"")</f>
        <v/>
      </c>
      <c r="J46">
        <f>IFERROR(_xlfn.IFNA(INDEX(Sensors_MANU!$D$2:$D$4692,MATCH($D46,Sensors_MANU!$B$2:$B$4692,0)),INDEX(Sensors_MANU!$D$2:$D$4692,MATCH($P46,Sensors_MANU!$A$2:$A$4692,0))),"")</f>
        <v/>
      </c>
      <c r="M46" s="27" t="n"/>
      <c r="N46" s="99">
        <f>IFERROR(INDEX(Sensors_MANU!$G$2:$G$4692,MATCH($P46,Sensors_MANU!$A$2:$A$4692,0)),)</f>
        <v/>
      </c>
      <c r="O46" s="6" t="inlineStr">
        <is>
          <t>v17</t>
        </is>
      </c>
      <c r="P46" t="n">
        <v>4978597</v>
      </c>
    </row>
    <row r="47">
      <c r="A47" s="32">
        <f>IFERROR(_xlfn.IFNA(INDEX(Sensors_MANU!$E$2:$E$4692,MATCH($D47,Sensors_MANU!$B$2:$B$4692,0)),INDEX(Sensors_MANU!$E$2:$E$4692,MATCH($P47,Sensors_MANU!$A$2:$A$4692,0))),"")</f>
        <v/>
      </c>
      <c r="B47" s="24">
        <f>IFERROR(INDEX(Companies!$A$3:$A$101,MATCH(A47,Companies!$B$3:$B$101,0)),"")</f>
        <v/>
      </c>
      <c r="C47">
        <f>IFERROR(_xlfn.IFNA(INDEX(Sensors_MANU!$F$2:$F$4692,MATCH($D47,Sensors_MANU!$B$2:$B$4692,0)),INDEX(Sensors_MANU!$F$2:$F$4692,MATCH($P47,Sensors_MANU!$A$2:$A$4692,0))),"")</f>
        <v/>
      </c>
      <c r="D47" t="inlineStr">
        <is>
          <t>F3AFA184BC38</t>
        </is>
      </c>
      <c r="E47">
        <f>LEFT(D47,2)&amp;":"&amp;MID(D47,3,2)&amp;":"&amp;MID(D47,5,2)&amp;":"&amp;MID(D47,7,2)&amp;":"&amp;MID(D47,9,2)&amp;":"&amp;RIGHT(D47,2)</f>
        <v/>
      </c>
      <c r="H47" t="inlineStr">
        <is>
          <t>7ECDA5C4C46B80D9</t>
        </is>
      </c>
      <c r="I47">
        <f>IFERROR(_xlfn.IFNA(INDEX(Sensors_MANU!$C$2:$C$4692,MATCH($D47,Sensors_MANU!$B$2:$B$4692,0)),INDEX(Sensors_MANU!$C$2:$C$4692,MATCH($P47,Sensors_MANU!$A$2:$A$4692,0))),"")</f>
        <v/>
      </c>
      <c r="J47">
        <f>IFERROR(_xlfn.IFNA(INDEX(Sensors_MANU!$D$2:$D$4692,MATCH($D47,Sensors_MANU!$B$2:$B$4692,0)),INDEX(Sensors_MANU!$D$2:$D$4692,MATCH($P47,Sensors_MANU!$A$2:$A$4692,0))),"")</f>
        <v/>
      </c>
      <c r="M47" s="27" t="n"/>
      <c r="N47" s="99">
        <f>IFERROR(INDEX(Sensors_MANU!$G$2:$G$4692,MATCH($P47,Sensors_MANU!$A$2:$A$4692,0)),)</f>
        <v/>
      </c>
      <c r="O47" s="6" t="inlineStr">
        <is>
          <t>v16</t>
        </is>
      </c>
      <c r="P47" t="n">
        <v>4978501</v>
      </c>
    </row>
    <row r="48">
      <c r="A48" s="32">
        <f>IFERROR(_xlfn.IFNA(INDEX(Sensors_MANU!$E$2:$E$4692,MATCH($D48,Sensors_MANU!$B$2:$B$4692,0)),INDEX(Sensors_MANU!$E$2:$E$4692,MATCH($P48,Sensors_MANU!$A$2:$A$4692,0))),"")</f>
        <v/>
      </c>
      <c r="B48" s="24">
        <f>IFERROR(INDEX(Companies!$A$3:$A$101,MATCH(A48,Companies!$B$3:$B$101,0)),"")</f>
        <v/>
      </c>
      <c r="C48">
        <f>IFERROR(_xlfn.IFNA(INDEX(Sensors_MANU!$F$2:$F$4692,MATCH($D48,Sensors_MANU!$B$2:$B$4692,0)),INDEX(Sensors_MANU!$F$2:$F$4692,MATCH($P48,Sensors_MANU!$A$2:$A$4692,0))),"")</f>
        <v/>
      </c>
      <c r="D48" t="inlineStr">
        <is>
          <t>E5DFA3625269</t>
        </is>
      </c>
      <c r="E48">
        <f>LEFT(D48,2)&amp;":"&amp;MID(D48,3,2)&amp;":"&amp;MID(D48,5,2)&amp;":"&amp;MID(D48,7,2)&amp;":"&amp;MID(D48,9,2)&amp;":"&amp;RIGHT(D48,2)</f>
        <v/>
      </c>
      <c r="H48" t="inlineStr">
        <is>
          <t>51D3F921121F73B8</t>
        </is>
      </c>
      <c r="I48">
        <f>IFERROR(_xlfn.IFNA(INDEX(Sensors_MANU!$C$2:$C$4692,MATCH($D48,Sensors_MANU!$B$2:$B$4692,0)),INDEX(Sensors_MANU!$C$2:$C$4692,MATCH($P48,Sensors_MANU!$A$2:$A$4692,0))),"")</f>
        <v/>
      </c>
      <c r="J48">
        <f>IFERROR(_xlfn.IFNA(INDEX(Sensors_MANU!$D$2:$D$4692,MATCH($D48,Sensors_MANU!$B$2:$B$4692,0)),INDEX(Sensors_MANU!$D$2:$D$4692,MATCH($P48,Sensors_MANU!$A$2:$A$4692,0))),"")</f>
        <v/>
      </c>
      <c r="M48" s="27" t="n"/>
      <c r="N48" s="99">
        <f>IFERROR(INDEX(Sensors_MANU!$G$2:$G$4692,MATCH($P48,Sensors_MANU!$A$2:$A$4692,0)),)</f>
        <v/>
      </c>
      <c r="O48" s="6" t="inlineStr">
        <is>
          <t>v17</t>
        </is>
      </c>
      <c r="P48" t="n">
        <v>4978815</v>
      </c>
    </row>
    <row r="49">
      <c r="A49" s="32">
        <f>IFERROR(_xlfn.IFNA(INDEX(Sensors_MANU!$E$2:$E$4692,MATCH($D49,Sensors_MANU!$B$2:$B$4692,0)),INDEX(Sensors_MANU!$E$2:$E$4692,MATCH($P49,Sensors_MANU!$A$2:$A$4692,0))),"")</f>
        <v/>
      </c>
      <c r="B49" s="24">
        <f>IFERROR(INDEX(Companies!$A$3:$A$101,MATCH(A49,Companies!$B$3:$B$101,0)),"")</f>
        <v/>
      </c>
      <c r="C49">
        <f>IFERROR(_xlfn.IFNA(INDEX(Sensors_MANU!$F$2:$F$4692,MATCH($D49,Sensors_MANU!$B$2:$B$4692,0)),INDEX(Sensors_MANU!$F$2:$F$4692,MATCH($P49,Sensors_MANU!$A$2:$A$4692,0))),"")</f>
        <v/>
      </c>
      <c r="D49" t="inlineStr">
        <is>
          <t>F3BDF552BCC5</t>
        </is>
      </c>
      <c r="E49">
        <f>LEFT(D49,2)&amp;":"&amp;MID(D49,3,2)&amp;":"&amp;MID(D49,5,2)&amp;":"&amp;MID(D49,7,2)&amp;":"&amp;MID(D49,9,2)&amp;":"&amp;RIGHT(D49,2)</f>
        <v/>
      </c>
      <c r="H49" t="inlineStr">
        <is>
          <t>6C78B640FD8AE44C</t>
        </is>
      </c>
      <c r="I49">
        <f>IFERROR(_xlfn.IFNA(INDEX(Sensors_MANU!$C$2:$C$4692,MATCH($D49,Sensors_MANU!$B$2:$B$4692,0)),INDEX(Sensors_MANU!$C$2:$C$4692,MATCH($P49,Sensors_MANU!$A$2:$A$4692,0))),"")</f>
        <v/>
      </c>
      <c r="J49" s="7">
        <f>IFERROR(_xlfn.IFNA(INDEX(Sensors_MANU!$D$2:$D$4692,MATCH($D49,Sensors_MANU!$B$2:$B$4692,0)),INDEX(Sensors_MANU!$D$2:$D$4692,MATCH($P49,Sensors_MANU!$A$2:$A$4692,0))),"")</f>
        <v/>
      </c>
      <c r="M49" s="27" t="n"/>
      <c r="N49" s="99">
        <f>IFERROR(INDEX(Sensors_MANU!$G$2:$G$4692,MATCH($P49,Sensors_MANU!$A$2:$A$4692,0)),)</f>
        <v/>
      </c>
      <c r="O49" s="6" t="inlineStr">
        <is>
          <t>v16</t>
        </is>
      </c>
      <c r="P49" t="n">
        <v>4978416</v>
      </c>
    </row>
    <row r="50">
      <c r="A50" s="32">
        <f>IFERROR(_xlfn.IFNA(INDEX(Sensors_MANU!$E$2:$E$4692,MATCH($D50,Sensors_MANU!$B$2:$B$4692,0)),INDEX(Sensors_MANU!$E$2:$E$4692,MATCH($P50,Sensors_MANU!$A$2:$A$4692,0))),"")</f>
        <v/>
      </c>
      <c r="B50" s="24">
        <f>IFERROR(INDEX(Companies!$A$3:$A$101,MATCH(A50,Companies!$B$3:$B$101,0)),"")</f>
        <v/>
      </c>
      <c r="C50">
        <f>IFERROR(_xlfn.IFNA(INDEX(Sensors_MANU!$F$2:$F$4692,MATCH($D50,Sensors_MANU!$B$2:$B$4692,0)),INDEX(Sensors_MANU!$F$2:$F$4692,MATCH($P50,Sensors_MANU!$A$2:$A$4692,0))),"")</f>
        <v/>
      </c>
      <c r="D50" t="inlineStr">
        <is>
          <t>D79ED1FAF65E</t>
        </is>
      </c>
      <c r="E50">
        <f>LEFT(D50,2)&amp;":"&amp;MID(D50,3,2)&amp;":"&amp;MID(D50,5,2)&amp;":"&amp;MID(D50,7,2)&amp;":"&amp;MID(D50,9,2)&amp;":"&amp;RIGHT(D50,2)</f>
        <v/>
      </c>
      <c r="H50" t="inlineStr">
        <is>
          <t>B0C197399B5913B7</t>
        </is>
      </c>
      <c r="I50">
        <f>IFERROR(_xlfn.IFNA(INDEX(Sensors_MANU!$C$2:$C$4692,MATCH($D50,Sensors_MANU!$B$2:$B$4692,0)),INDEX(Sensors_MANU!$C$2:$C$4692,MATCH($P50,Sensors_MANU!$A$2:$A$4692,0))),"")</f>
        <v/>
      </c>
      <c r="J50">
        <f>IFERROR(_xlfn.IFNA(INDEX(Sensors_MANU!$D$2:$D$4692,MATCH($D50,Sensors_MANU!$B$2:$B$4692,0)),INDEX(Sensors_MANU!$D$2:$D$4692,MATCH($P50,Sensors_MANU!$A$2:$A$4692,0))),"")</f>
        <v/>
      </c>
      <c r="M50" s="27" t="n"/>
      <c r="N50" s="99">
        <f>IFERROR(INDEX(Sensors_MANU!$G$2:$G$4692,MATCH($P50,Sensors_MANU!$A$2:$A$4692,0)),)</f>
        <v/>
      </c>
      <c r="O50" s="6" t="inlineStr">
        <is>
          <t>v16</t>
        </is>
      </c>
      <c r="P50" t="n">
        <v>4978480</v>
      </c>
    </row>
    <row r="51">
      <c r="A51" s="32">
        <f>IFERROR(_xlfn.IFNA(INDEX(Sensors_MANU!$E$2:$E$4692,MATCH($D51,Sensors_MANU!$B$2:$B$4692,0)),INDEX(Sensors_MANU!$E$2:$E$4692,MATCH($P51,Sensors_MANU!$A$2:$A$4692,0))),"")</f>
        <v/>
      </c>
      <c r="B51" s="24">
        <f>IFERROR(INDEX(Companies!$A$3:$A$101,MATCH(A51,Companies!$B$3:$B$101,0)),"")</f>
        <v/>
      </c>
      <c r="C51">
        <f>IFERROR(_xlfn.IFNA(INDEX(Sensors_MANU!$F$2:$F$4692,MATCH($D51,Sensors_MANU!$B$2:$B$4692,0)),INDEX(Sensors_MANU!$F$2:$F$4692,MATCH($P51,Sensors_MANU!$A$2:$A$4692,0))),"")</f>
        <v/>
      </c>
      <c r="D51" t="inlineStr">
        <is>
          <t>C39F44BB347A</t>
        </is>
      </c>
      <c r="E51">
        <f>LEFT(D51,2)&amp;":"&amp;MID(D51,3,2)&amp;":"&amp;MID(D51,5,2)&amp;":"&amp;MID(D51,7,2)&amp;":"&amp;MID(D51,9,2)&amp;":"&amp;RIGHT(D51,2)</f>
        <v/>
      </c>
      <c r="H51" t="inlineStr">
        <is>
          <t>B3039C8958222F45</t>
        </is>
      </c>
      <c r="I51">
        <f>IFERROR(_xlfn.IFNA(INDEX(Sensors_MANU!$C$2:$C$4692,MATCH($D51,Sensors_MANU!$B$2:$B$4692,0)),INDEX(Sensors_MANU!$C$2:$C$4692,MATCH($P51,Sensors_MANU!$A$2:$A$4692,0))),"")</f>
        <v/>
      </c>
      <c r="J51">
        <f>IFERROR(_xlfn.IFNA(INDEX(Sensors_MANU!$D$2:$D$4692,MATCH($D51,Sensors_MANU!$B$2:$B$4692,0)),INDEX(Sensors_MANU!$D$2:$D$4692,MATCH($P51,Sensors_MANU!$A$2:$A$4692,0))),"")</f>
        <v/>
      </c>
      <c r="M51" s="27" t="n"/>
      <c r="N51" s="99">
        <f>IFERROR(INDEX(Sensors_MANU!$G$2:$G$4692,MATCH($P51,Sensors_MANU!$A$2:$A$4692,0)),)</f>
        <v/>
      </c>
      <c r="O51" s="6" t="inlineStr">
        <is>
          <t>v16</t>
        </is>
      </c>
      <c r="P51" t="n">
        <v>4978455</v>
      </c>
    </row>
    <row r="52">
      <c r="A52" s="32">
        <f>IFERROR(_xlfn.IFNA(INDEX(Sensors_MANU!$E$2:$E$4692,MATCH($D52,Sensors_MANU!$B$2:$B$4692,0)),INDEX(Sensors_MANU!$E$2:$E$4692,MATCH($P52,Sensors_MANU!$A$2:$A$4692,0))),"")</f>
        <v/>
      </c>
      <c r="B52" s="24">
        <f>IFERROR(INDEX(Companies!$A$3:$A$101,MATCH(A52,Companies!$B$3:$B$101,0)),"")</f>
        <v/>
      </c>
      <c r="C52">
        <f>IFERROR(_xlfn.IFNA(INDEX(Sensors_MANU!$F$2:$F$4692,MATCH($D52,Sensors_MANU!$B$2:$B$4692,0)),INDEX(Sensors_MANU!$F$2:$F$4692,MATCH($P52,Sensors_MANU!$A$2:$A$4692,0))),"")</f>
        <v/>
      </c>
      <c r="D52" t="inlineStr">
        <is>
          <t>CB41F6EA2606</t>
        </is>
      </c>
      <c r="E52">
        <f>LEFT(D52,2)&amp;":"&amp;MID(D52,3,2)&amp;":"&amp;MID(D52,5,2)&amp;":"&amp;MID(D52,7,2)&amp;":"&amp;MID(D52,9,2)&amp;":"&amp;RIGHT(D52,2)</f>
        <v/>
      </c>
      <c r="H52" t="inlineStr">
        <is>
          <t>14A7CFB298B78CA9</t>
        </is>
      </c>
      <c r="I52">
        <f>IFERROR(_xlfn.IFNA(INDEX(Sensors_MANU!$C$2:$C$4692,MATCH($D52,Sensors_MANU!$B$2:$B$4692,0)),INDEX(Sensors_MANU!$C$2:$C$4692,MATCH($P52,Sensors_MANU!$A$2:$A$4692,0))),"")</f>
        <v/>
      </c>
      <c r="J52">
        <f>IFERROR(_xlfn.IFNA(INDEX(Sensors_MANU!$D$2:$D$4692,MATCH($D52,Sensors_MANU!$B$2:$B$4692,0)),INDEX(Sensors_MANU!$D$2:$D$4692,MATCH($P52,Sensors_MANU!$A$2:$A$4692,0))),"")</f>
        <v/>
      </c>
      <c r="M52" s="27" t="n"/>
      <c r="N52" s="99">
        <f>IFERROR(INDEX(Sensors_MANU!$G$2:$G$4692,MATCH($P52,Sensors_MANU!$A$2:$A$4692,0)),)</f>
        <v/>
      </c>
      <c r="O52" s="6" t="inlineStr">
        <is>
          <t>v16</t>
        </is>
      </c>
      <c r="P52" t="n">
        <v>4978485</v>
      </c>
    </row>
    <row r="53">
      <c r="A53" s="32">
        <f>IFERROR(_xlfn.IFNA(INDEX(Sensors_MANU!$E$2:$E$4692,MATCH($D53,Sensors_MANU!$B$2:$B$4692,0)),INDEX(Sensors_MANU!$E$2:$E$4692,MATCH($P53,Sensors_MANU!$A$2:$A$4692,0))),"")</f>
        <v/>
      </c>
      <c r="B53" s="24">
        <f>IFERROR(INDEX(Companies!$A$3:$A$101,MATCH(A53,Companies!$B$3:$B$101,0)),"")</f>
        <v/>
      </c>
      <c r="C53">
        <f>IFERROR(_xlfn.IFNA(INDEX(Sensors_MANU!$F$2:$F$4692,MATCH($D53,Sensors_MANU!$B$2:$B$4692,0)),INDEX(Sensors_MANU!$F$2:$F$4692,MATCH($P53,Sensors_MANU!$A$2:$A$4692,0))),"")</f>
        <v/>
      </c>
      <c r="D53" t="inlineStr">
        <is>
          <t>EA5F533A1AF5</t>
        </is>
      </c>
      <c r="E53">
        <f>LEFT(D53,2)&amp;":"&amp;MID(D53,3,2)&amp;":"&amp;MID(D53,5,2)&amp;":"&amp;MID(D53,7,2)&amp;":"&amp;MID(D53,9,2)&amp;":"&amp;RIGHT(D53,2)</f>
        <v/>
      </c>
      <c r="H53" t="inlineStr">
        <is>
          <t>E3E1845D6042829F</t>
        </is>
      </c>
      <c r="I53">
        <f>IFERROR(_xlfn.IFNA(INDEX(Sensors_MANU!$C$2:$C$4692,MATCH($D53,Sensors_MANU!$B$2:$B$4692,0)),INDEX(Sensors_MANU!$C$2:$C$4692,MATCH($P53,Sensors_MANU!$A$2:$A$4692,0))),"")</f>
        <v/>
      </c>
      <c r="J53" s="7">
        <f>IFERROR(_xlfn.IFNA(INDEX(Sensors_MANU!$D$2:$D$4692,MATCH($D53,Sensors_MANU!$B$2:$B$4692,0)),INDEX(Sensors_MANU!$D$2:$D$4692,MATCH($P53,Sensors_MANU!$A$2:$A$4692,0))),"")</f>
        <v/>
      </c>
      <c r="M53" s="27" t="n"/>
      <c r="N53" s="99">
        <f>IFERROR(INDEX(Sensors_MANU!$G$2:$G$4692,MATCH($P53,Sensors_MANU!$A$2:$A$4692,0)),)</f>
        <v/>
      </c>
      <c r="O53" s="6" t="inlineStr">
        <is>
          <t>v16</t>
        </is>
      </c>
      <c r="P53" t="n">
        <v>4978448</v>
      </c>
    </row>
    <row r="54">
      <c r="A54" s="32">
        <f>IFERROR(_xlfn.IFNA(INDEX(Sensors_MANU!$E$2:$E$4692,MATCH($D54,Sensors_MANU!$B$2:$B$4692,0)),INDEX(Sensors_MANU!$E$2:$E$4692,MATCH($P54,Sensors_MANU!$A$2:$A$4692,0))),"")</f>
        <v/>
      </c>
      <c r="B54" s="24">
        <f>IFERROR(INDEX(Companies!$A$3:$A$101,MATCH(A54,Companies!$B$3:$B$101,0)),"")</f>
        <v/>
      </c>
      <c r="C54">
        <f>IFERROR(_xlfn.IFNA(INDEX(Sensors_MANU!$F$2:$F$4692,MATCH($D54,Sensors_MANU!$B$2:$B$4692,0)),INDEX(Sensors_MANU!$F$2:$F$4692,MATCH($P54,Sensors_MANU!$A$2:$A$4692,0))),"")</f>
        <v/>
      </c>
      <c r="D54" t="inlineStr">
        <is>
          <t>D652ADCE862C</t>
        </is>
      </c>
      <c r="E54">
        <f>LEFT(D54,2)&amp;":"&amp;MID(D54,3,2)&amp;":"&amp;MID(D54,5,2)&amp;":"&amp;MID(D54,7,2)&amp;":"&amp;MID(D54,9,2)&amp;":"&amp;RIGHT(D54,2)</f>
        <v/>
      </c>
      <c r="H54" t="inlineStr">
        <is>
          <t>36BD3401F3189F11</t>
        </is>
      </c>
      <c r="I54">
        <f>IFERROR(_xlfn.IFNA(INDEX(Sensors_MANU!$C$2:$C$4692,MATCH($D54,Sensors_MANU!$B$2:$B$4692,0)),INDEX(Sensors_MANU!$C$2:$C$4692,MATCH($P54,Sensors_MANU!$A$2:$A$4692,0))),"")</f>
        <v/>
      </c>
      <c r="J54">
        <f>IFERROR(_xlfn.IFNA(INDEX(Sensors_MANU!$D$2:$D$4692,MATCH($D54,Sensors_MANU!$B$2:$B$4692,0)),INDEX(Sensors_MANU!$D$2:$D$4692,MATCH($P54,Sensors_MANU!$A$2:$A$4692,0))),"")</f>
        <v/>
      </c>
      <c r="M54" s="27" t="n"/>
      <c r="N54" s="99">
        <f>IFERROR(INDEX(Sensors_MANU!$G$2:$G$4692,MATCH($P54,Sensors_MANU!$A$2:$A$4692,0)),)</f>
        <v/>
      </c>
      <c r="O54" s="6" t="inlineStr">
        <is>
          <t>v16</t>
        </is>
      </c>
      <c r="P54" t="n">
        <v>4978430</v>
      </c>
    </row>
    <row r="55">
      <c r="A55" s="32">
        <f>IFERROR(_xlfn.IFNA(INDEX(Sensors_MANU!$E$2:$E$4692,MATCH($D55,Sensors_MANU!$B$2:$B$4692,0)),INDEX(Sensors_MANU!$E$2:$E$4692,MATCH($P55,Sensors_MANU!$A$2:$A$4692,0))),"")</f>
        <v/>
      </c>
      <c r="B55" s="24">
        <f>IFERROR(INDEX(Companies!$A$3:$A$101,MATCH(A55,Companies!$B$3:$B$101,0)),"")</f>
        <v/>
      </c>
      <c r="C55">
        <f>IFERROR(_xlfn.IFNA(INDEX(Sensors_MANU!$F$2:$F$4692,MATCH($D55,Sensors_MANU!$B$2:$B$4692,0)),INDEX(Sensors_MANU!$F$2:$F$4692,MATCH($P55,Sensors_MANU!$A$2:$A$4692,0))),"")</f>
        <v/>
      </c>
      <c r="D55" t="inlineStr">
        <is>
          <t>FB713EF9E867</t>
        </is>
      </c>
      <c r="E55">
        <f>LEFT(D55,2)&amp;":"&amp;MID(D55,3,2)&amp;":"&amp;MID(D55,5,2)&amp;":"&amp;MID(D55,7,2)&amp;":"&amp;MID(D55,9,2)&amp;":"&amp;RIGHT(D55,2)</f>
        <v/>
      </c>
      <c r="H55" t="inlineStr">
        <is>
          <t>DEC67867DA577B9F</t>
        </is>
      </c>
      <c r="I55">
        <f>IFERROR(_xlfn.IFNA(INDEX(Sensors_MANU!$C$2:$C$4692,MATCH($D55,Sensors_MANU!$B$2:$B$4692,0)),INDEX(Sensors_MANU!$C$2:$C$4692,MATCH($P55,Sensors_MANU!$A$2:$A$4692,0))),"")</f>
        <v/>
      </c>
      <c r="J55">
        <f>IFERROR(_xlfn.IFNA(INDEX(Sensors_MANU!$D$2:$D$4692,MATCH($D55,Sensors_MANU!$B$2:$B$4692,0)),INDEX(Sensors_MANU!$D$2:$D$4692,MATCH($P55,Sensors_MANU!$A$2:$A$4692,0))),"")</f>
        <v/>
      </c>
      <c r="M55" s="27" t="n"/>
      <c r="N55" s="99">
        <f>IFERROR(INDEX(Sensors_MANU!$G$2:$G$4692,MATCH($P55,Sensors_MANU!$A$2:$A$4692,0)),)</f>
        <v/>
      </c>
      <c r="O55" s="6" t="inlineStr">
        <is>
          <t>v16</t>
        </is>
      </c>
      <c r="P55" t="n">
        <v>4978451</v>
      </c>
    </row>
    <row r="56">
      <c r="A56" s="32">
        <f>IFERROR(_xlfn.IFNA(INDEX(Sensors_MANU!$E$2:$E$4692,MATCH($D56,Sensors_MANU!$B$2:$B$4692,0)),INDEX(Sensors_MANU!$E$2:$E$4692,MATCH($P56,Sensors_MANU!$A$2:$A$4692,0))),"")</f>
        <v/>
      </c>
      <c r="B56" s="24">
        <f>IFERROR(INDEX(Companies!$A$3:$A$101,MATCH(A56,Companies!$B$3:$B$101,0)),"")</f>
        <v/>
      </c>
      <c r="C56">
        <f>IFERROR(_xlfn.IFNA(INDEX(Sensors_MANU!$F$2:$F$4692,MATCH($D56,Sensors_MANU!$B$2:$B$4692,0)),INDEX(Sensors_MANU!$F$2:$F$4692,MATCH($P56,Sensors_MANU!$A$2:$A$4692,0))),"")</f>
        <v/>
      </c>
      <c r="D56" t="inlineStr">
        <is>
          <t>E4C66DEE5821</t>
        </is>
      </c>
      <c r="E56">
        <f>LEFT(D56,2)&amp;":"&amp;MID(D56,3,2)&amp;":"&amp;MID(D56,5,2)&amp;":"&amp;MID(D56,7,2)&amp;":"&amp;MID(D56,9,2)&amp;":"&amp;RIGHT(D56,2)</f>
        <v/>
      </c>
      <c r="H56" t="inlineStr">
        <is>
          <t>B8B1C2F403A405ED</t>
        </is>
      </c>
      <c r="I56">
        <f>IFERROR(_xlfn.IFNA(INDEX(Sensors_MANU!$C$2:$C$4692,MATCH($D56,Sensors_MANU!$B$2:$B$4692,0)),INDEX(Sensors_MANU!$C$2:$C$4692,MATCH($P56,Sensors_MANU!$A$2:$A$4692,0))),"")</f>
        <v/>
      </c>
      <c r="J56">
        <f>IFERROR(_xlfn.IFNA(INDEX(Sensors_MANU!$D$2:$D$4692,MATCH($D56,Sensors_MANU!$B$2:$B$4692,0)),INDEX(Sensors_MANU!$D$2:$D$4692,MATCH($P56,Sensors_MANU!$A$2:$A$4692,0))),"")</f>
        <v/>
      </c>
      <c r="M56" s="27" t="n"/>
      <c r="N56" s="99">
        <f>IFERROR(INDEX(Sensors_MANU!$G$2:$G$4692,MATCH($P56,Sensors_MANU!$A$2:$A$4692,0)),)</f>
        <v/>
      </c>
      <c r="O56" s="6" t="inlineStr">
        <is>
          <t>v16</t>
        </is>
      </c>
      <c r="P56" t="n">
        <v>4978778</v>
      </c>
    </row>
    <row r="57">
      <c r="A57" s="32">
        <f>IFERROR(_xlfn.IFNA(INDEX(Sensors_MANU!$E$2:$E$4692,MATCH($D57,Sensors_MANU!$B$2:$B$4692,0)),INDEX(Sensors_MANU!$E$2:$E$4692,MATCH($P57,Sensors_MANU!$A$2:$A$4692,0))),"")</f>
        <v/>
      </c>
      <c r="B57" s="24">
        <f>IFERROR(INDEX(Companies!$A$3:$A$101,MATCH(A57,Companies!$B$3:$B$101,0)),"")</f>
        <v/>
      </c>
      <c r="C57">
        <f>IFERROR(_xlfn.IFNA(INDEX(Sensors_MANU!$F$2:$F$4692,MATCH($D57,Sensors_MANU!$B$2:$B$4692,0)),INDEX(Sensors_MANU!$F$2:$F$4692,MATCH($P57,Sensors_MANU!$A$2:$A$4692,0))),"")</f>
        <v/>
      </c>
      <c r="D57" t="inlineStr">
        <is>
          <t>DAB76465F11B</t>
        </is>
      </c>
      <c r="E57">
        <f>LEFT(D57,2)&amp;":"&amp;MID(D57,3,2)&amp;":"&amp;MID(D57,5,2)&amp;":"&amp;MID(D57,7,2)&amp;":"&amp;MID(D57,9,2)&amp;":"&amp;RIGHT(D57,2)</f>
        <v/>
      </c>
      <c r="H57" t="inlineStr">
        <is>
          <t>F87720AA2A5319CC</t>
        </is>
      </c>
      <c r="I57">
        <f>IFERROR(_xlfn.IFNA(INDEX(Sensors_MANU!$C$2:$C$4692,MATCH($D57,Sensors_MANU!$B$2:$B$4692,0)),INDEX(Sensors_MANU!$C$2:$C$4692,MATCH($P57,Sensors_MANU!$A$2:$A$4692,0))),"")</f>
        <v/>
      </c>
      <c r="J57">
        <f>IFERROR(_xlfn.IFNA(INDEX(Sensors_MANU!$D$2:$D$4692,MATCH($D57,Sensors_MANU!$B$2:$B$4692,0)),INDEX(Sensors_MANU!$D$2:$D$4692,MATCH($P57,Sensors_MANU!$A$2:$A$4692,0))),"")</f>
        <v/>
      </c>
      <c r="M57" s="27" t="n"/>
      <c r="N57" s="99">
        <f>IFERROR(INDEX(Sensors_MANU!$G$2:$G$4692,MATCH($P57,Sensors_MANU!$A$2:$A$4692,0)),)</f>
        <v/>
      </c>
      <c r="O57" s="6" t="inlineStr">
        <is>
          <t>v16</t>
        </is>
      </c>
      <c r="P57" t="n">
        <v>4978908</v>
      </c>
    </row>
    <row r="58">
      <c r="A58" s="32">
        <f>IFERROR(_xlfn.IFNA(INDEX(Sensors_MANU!$E$2:$E$4692,MATCH($D58,Sensors_MANU!$B$2:$B$4692,0)),INDEX(Sensors_MANU!$E$2:$E$4692,MATCH($P58,Sensors_MANU!$A$2:$A$4692,0))),"")</f>
        <v/>
      </c>
      <c r="B58" s="24">
        <f>IFERROR(INDEX(Companies!$A$3:$A$101,MATCH(A58,Companies!$B$3:$B$101,0)),"")</f>
        <v/>
      </c>
      <c r="C58">
        <f>IFERROR(_xlfn.IFNA(INDEX(Sensors_MANU!$F$2:$F$4692,MATCH($D58,Sensors_MANU!$B$2:$B$4692,0)),INDEX(Sensors_MANU!$F$2:$F$4692,MATCH($P58,Sensors_MANU!$A$2:$A$4692,0))),"")</f>
        <v/>
      </c>
      <c r="D58" t="inlineStr">
        <is>
          <t>FBBF5EFEAEC9</t>
        </is>
      </c>
      <c r="E58">
        <f>LEFT(D58,2)&amp;":"&amp;MID(D58,3,2)&amp;":"&amp;MID(D58,5,2)&amp;":"&amp;MID(D58,7,2)&amp;":"&amp;MID(D58,9,2)&amp;":"&amp;RIGHT(D58,2)</f>
        <v/>
      </c>
      <c r="H58" t="inlineStr">
        <is>
          <t>964BB1AA8F998D40</t>
        </is>
      </c>
      <c r="I58">
        <f>IFERROR(_xlfn.IFNA(INDEX(Sensors_MANU!$C$2:$C$4692,MATCH($D58,Sensors_MANU!$B$2:$B$4692,0)),INDEX(Sensors_MANU!$C$2:$C$4692,MATCH($P58,Sensors_MANU!$A$2:$A$4692,0))),"")</f>
        <v/>
      </c>
      <c r="J58">
        <f>IFERROR(_xlfn.IFNA(INDEX(Sensors_MANU!$D$2:$D$4692,MATCH($D58,Sensors_MANU!$B$2:$B$4692,0)),INDEX(Sensors_MANU!$D$2:$D$4692,MATCH($P58,Sensors_MANU!$A$2:$A$4692,0))),"")</f>
        <v/>
      </c>
      <c r="M58" s="27" t="n"/>
      <c r="N58" s="99">
        <f>IFERROR(INDEX(Sensors_MANU!$G$2:$G$4692,MATCH($P58,Sensors_MANU!$A$2:$A$4692,0)),)</f>
        <v/>
      </c>
      <c r="O58" s="6" t="inlineStr">
        <is>
          <t>v16</t>
        </is>
      </c>
      <c r="P58" t="n">
        <v>4978465</v>
      </c>
    </row>
    <row r="59">
      <c r="A59" s="32">
        <f>IFERROR(_xlfn.IFNA(INDEX(Sensors_MANU!$E$2:$E$4692,MATCH($D59,Sensors_MANU!$B$2:$B$4692,0)),INDEX(Sensors_MANU!$E$2:$E$4692,MATCH($P59,Sensors_MANU!$A$2:$A$4692,0))),"")</f>
        <v/>
      </c>
      <c r="B59" s="24">
        <f>IFERROR(INDEX(Companies!$A$3:$A$101,MATCH(A59,Companies!$B$3:$B$101,0)),"")</f>
        <v/>
      </c>
      <c r="C59">
        <f>IFERROR(_xlfn.IFNA(INDEX(Sensors_MANU!$F$2:$F$4692,MATCH($D59,Sensors_MANU!$B$2:$B$4692,0)),INDEX(Sensors_MANU!$F$2:$F$4692,MATCH($P59,Sensors_MANU!$A$2:$A$4692,0))),"")</f>
        <v/>
      </c>
      <c r="D59" t="inlineStr">
        <is>
          <t>E9402740A996</t>
        </is>
      </c>
      <c r="E59">
        <f>LEFT(D59,2)&amp;":"&amp;MID(D59,3,2)&amp;":"&amp;MID(D59,5,2)&amp;":"&amp;MID(D59,7,2)&amp;":"&amp;MID(D59,9,2)&amp;":"&amp;RIGHT(D59,2)</f>
        <v/>
      </c>
      <c r="H59" t="inlineStr">
        <is>
          <t>EAB93E19122C564A</t>
        </is>
      </c>
      <c r="I59">
        <f>IFERROR(_xlfn.IFNA(INDEX(Sensors_MANU!$C$2:$C$4692,MATCH($D59,Sensors_MANU!$B$2:$B$4692,0)),INDEX(Sensors_MANU!$C$2:$C$4692,MATCH($P59,Sensors_MANU!$A$2:$A$4692,0))),"")</f>
        <v/>
      </c>
      <c r="J59">
        <f>IFERROR(_xlfn.IFNA(INDEX(Sensors_MANU!$D$2:$D$4692,MATCH($D59,Sensors_MANU!$B$2:$B$4692,0)),INDEX(Sensors_MANU!$D$2:$D$4692,MATCH($P59,Sensors_MANU!$A$2:$A$4692,0))),"")</f>
        <v/>
      </c>
      <c r="M59" s="27" t="n"/>
      <c r="N59" s="99">
        <f>IFERROR(INDEX(Sensors_MANU!$G$2:$G$4692,MATCH($P59,Sensors_MANU!$A$2:$A$4692,0)),)</f>
        <v/>
      </c>
      <c r="O59" s="6" t="inlineStr">
        <is>
          <t>v16</t>
        </is>
      </c>
      <c r="P59" t="n">
        <v>4978461</v>
      </c>
    </row>
    <row r="60">
      <c r="A60" s="32">
        <f>IFERROR(_xlfn.IFNA(INDEX(Sensors_MANU!$E$2:$E$4692,MATCH($D60,Sensors_MANU!$B$2:$B$4692,0)),INDEX(Sensors_MANU!$E$2:$E$4692,MATCH($P60,Sensors_MANU!$A$2:$A$4692,0))),"")</f>
        <v/>
      </c>
      <c r="B60" s="24">
        <f>IFERROR(INDEX(Companies!$A$3:$A$101,MATCH(A60,Companies!$B$3:$B$101,0)),"")</f>
        <v/>
      </c>
      <c r="C60">
        <f>IFERROR(_xlfn.IFNA(INDEX(Sensors_MANU!$F$2:$F$4692,MATCH($D60,Sensors_MANU!$B$2:$B$4692,0)),INDEX(Sensors_MANU!$F$2:$F$4692,MATCH($P60,Sensors_MANU!$A$2:$A$4692,0))),"")</f>
        <v/>
      </c>
      <c r="D60" t="inlineStr">
        <is>
          <t>DA0E9D5773C3</t>
        </is>
      </c>
      <c r="E60">
        <f>LEFT(D60,2)&amp;":"&amp;MID(D60,3,2)&amp;":"&amp;MID(D60,5,2)&amp;":"&amp;MID(D60,7,2)&amp;":"&amp;MID(D60,9,2)&amp;":"&amp;RIGHT(D60,2)</f>
        <v/>
      </c>
      <c r="H60" t="inlineStr">
        <is>
          <t>5C7F8B1A7BE53405</t>
        </is>
      </c>
      <c r="I60">
        <f>IFERROR(_xlfn.IFNA(INDEX(Sensors_MANU!$C$2:$C$4692,MATCH($D60,Sensors_MANU!$B$2:$B$4692,0)),INDEX(Sensors_MANU!$C$2:$C$4692,MATCH($P60,Sensors_MANU!$A$2:$A$4692,0))),"")</f>
        <v/>
      </c>
      <c r="J60">
        <f>IFERROR(_xlfn.IFNA(INDEX(Sensors_MANU!$D$2:$D$4692,MATCH($D60,Sensors_MANU!$B$2:$B$4692,0)),INDEX(Sensors_MANU!$D$2:$D$4692,MATCH($P60,Sensors_MANU!$A$2:$A$4692,0))),"")</f>
        <v/>
      </c>
      <c r="M60" s="27" t="n"/>
      <c r="N60" s="99">
        <f>IFERROR(INDEX(Sensors_MANU!$G$2:$G$4692,MATCH($P60,Sensors_MANU!$A$2:$A$4692,0)),)</f>
        <v/>
      </c>
      <c r="O60" s="6" t="inlineStr">
        <is>
          <t>v16</t>
        </is>
      </c>
      <c r="P60" t="n">
        <v>4978432</v>
      </c>
    </row>
    <row r="61">
      <c r="A61" s="32">
        <f>IFERROR(_xlfn.IFNA(INDEX(Sensors_MANU!$E$2:$E$4692,MATCH($D61,Sensors_MANU!$B$2:$B$4692,0)),INDEX(Sensors_MANU!$E$2:$E$4692,MATCH($P61,Sensors_MANU!$A$2:$A$4692,0))),"")</f>
        <v/>
      </c>
      <c r="B61" s="24">
        <f>IFERROR(INDEX(Companies!$A$3:$A$101,MATCH(A61,Companies!$B$3:$B$101,0)),"")</f>
        <v/>
      </c>
      <c r="C61">
        <f>IFERROR(_xlfn.IFNA(INDEX(Sensors_MANU!$F$2:$F$4692,MATCH($D61,Sensors_MANU!$B$2:$B$4692,0)),INDEX(Sensors_MANU!$F$2:$F$4692,MATCH($P61,Sensors_MANU!$A$2:$A$4692,0))),"")</f>
        <v/>
      </c>
      <c r="D61" t="inlineStr">
        <is>
          <t>EF4CCAC59380</t>
        </is>
      </c>
      <c r="E61">
        <f>LEFT(D61,2)&amp;":"&amp;MID(D61,3,2)&amp;":"&amp;MID(D61,5,2)&amp;":"&amp;MID(D61,7,2)&amp;":"&amp;MID(D61,9,2)&amp;":"&amp;RIGHT(D61,2)</f>
        <v/>
      </c>
      <c r="H61" t="inlineStr">
        <is>
          <t>F7B3E77F65B4CDE1</t>
        </is>
      </c>
      <c r="I61">
        <f>IFERROR(_xlfn.IFNA(INDEX(Sensors_MANU!$C$2:$C$4692,MATCH($D61,Sensors_MANU!$B$2:$B$4692,0)),INDEX(Sensors_MANU!$C$2:$C$4692,MATCH($P61,Sensors_MANU!$A$2:$A$4692,0))),"")</f>
        <v/>
      </c>
      <c r="J61">
        <f>IFERROR(_xlfn.IFNA(INDEX(Sensors_MANU!$D$2:$D$4692,MATCH($D61,Sensors_MANU!$B$2:$B$4692,0)),INDEX(Sensors_MANU!$D$2:$D$4692,MATCH($P61,Sensors_MANU!$A$2:$A$4692,0))),"")</f>
        <v/>
      </c>
      <c r="M61" s="27" t="n"/>
      <c r="N61" s="99">
        <f>IFERROR(INDEX(Sensors_MANU!$G$2:$G$4692,MATCH($P61,Sensors_MANU!$A$2:$A$4692,0)),)</f>
        <v/>
      </c>
      <c r="O61" s="6" t="inlineStr">
        <is>
          <t>v16</t>
        </is>
      </c>
      <c r="P61" t="n">
        <v>4978473</v>
      </c>
    </row>
    <row r="62">
      <c r="A62" s="32">
        <f>IFERROR(_xlfn.IFNA(INDEX(Sensors_MANU!$E$2:$E$4692,MATCH($D62,Sensors_MANU!$B$2:$B$4692,0)),INDEX(Sensors_MANU!$E$2:$E$4692,MATCH($P62,Sensors_MANU!$A$2:$A$4692,0))),"")</f>
        <v/>
      </c>
      <c r="B62" s="24">
        <f>IFERROR(INDEX(Companies!$A$3:$A$101,MATCH(A62,Companies!$B$3:$B$101,0)),"")</f>
        <v/>
      </c>
      <c r="C62">
        <f>IFERROR(_xlfn.IFNA(INDEX(Sensors_MANU!$F$2:$F$4692,MATCH($D62,Sensors_MANU!$B$2:$B$4692,0)),INDEX(Sensors_MANU!$F$2:$F$4692,MATCH($P62,Sensors_MANU!$A$2:$A$4692,0))),"")</f>
        <v/>
      </c>
      <c r="D62" t="inlineStr">
        <is>
          <t>E79455E5B628</t>
        </is>
      </c>
      <c r="E62">
        <f>LEFT(D62,2)&amp;":"&amp;MID(D62,3,2)&amp;":"&amp;MID(D62,5,2)&amp;":"&amp;MID(D62,7,2)&amp;":"&amp;MID(D62,9,2)&amp;":"&amp;RIGHT(D62,2)</f>
        <v/>
      </c>
      <c r="H62" t="inlineStr">
        <is>
          <t>B8EE3018630B87F7</t>
        </is>
      </c>
      <c r="I62">
        <f>IFERROR(_xlfn.IFNA(INDEX(Sensors_MANU!$C$2:$C$4692,MATCH($D62,Sensors_MANU!$B$2:$B$4692,0)),INDEX(Sensors_MANU!$C$2:$C$4692,MATCH($P62,Sensors_MANU!$A$2:$A$4692,0))),"")</f>
        <v/>
      </c>
      <c r="J62">
        <f>IFERROR(_xlfn.IFNA(INDEX(Sensors_MANU!$D$2:$D$4692,MATCH($D62,Sensors_MANU!$B$2:$B$4692,0)),INDEX(Sensors_MANU!$D$2:$D$4692,MATCH($P62,Sensors_MANU!$A$2:$A$4692,0))),"")</f>
        <v/>
      </c>
      <c r="M62" s="27" t="n"/>
      <c r="N62" s="99">
        <f>IFERROR(INDEX(Sensors_MANU!$G$2:$G$4692,MATCH($P62,Sensors_MANU!$A$2:$A$4692,0)),)</f>
        <v/>
      </c>
      <c r="O62" s="6" t="inlineStr">
        <is>
          <t>v16</t>
        </is>
      </c>
      <c r="P62" t="n">
        <v>4978462</v>
      </c>
    </row>
    <row r="63">
      <c r="A63" s="32">
        <f>IFERROR(_xlfn.IFNA(INDEX(Sensors_MANU!$E$2:$E$4692,MATCH($D63,Sensors_MANU!$B$2:$B$4692,0)),INDEX(Sensors_MANU!$E$2:$E$4692,MATCH($P63,Sensors_MANU!$A$2:$A$4692,0))),"")</f>
        <v/>
      </c>
      <c r="B63" s="24">
        <f>IFERROR(INDEX(Companies!$A$3:$A$101,MATCH(A63,Companies!$B$3:$B$101,0)),"")</f>
        <v/>
      </c>
      <c r="C63">
        <f>IFERROR(_xlfn.IFNA(INDEX(Sensors_MANU!$F$2:$F$4692,MATCH($D63,Sensors_MANU!$B$2:$B$4692,0)),INDEX(Sensors_MANU!$F$2:$F$4692,MATCH($P63,Sensors_MANU!$A$2:$A$4692,0))),"")</f>
        <v/>
      </c>
      <c r="D63" t="inlineStr">
        <is>
          <t>CBA3A44B0385</t>
        </is>
      </c>
      <c r="E63">
        <f>LEFT(D63,2)&amp;":"&amp;MID(D63,3,2)&amp;":"&amp;MID(D63,5,2)&amp;":"&amp;MID(D63,7,2)&amp;":"&amp;MID(D63,9,2)&amp;":"&amp;RIGHT(D63,2)</f>
        <v/>
      </c>
      <c r="H63" t="inlineStr">
        <is>
          <t>A423EC07ADFCD6C7</t>
        </is>
      </c>
      <c r="I63">
        <f>IFERROR(_xlfn.IFNA(INDEX(Sensors_MANU!$C$2:$C$4692,MATCH($D63,Sensors_MANU!$B$2:$B$4692,0)),INDEX(Sensors_MANU!$C$2:$C$4692,MATCH($P63,Sensors_MANU!$A$2:$A$4692,0))),"")</f>
        <v/>
      </c>
      <c r="J63">
        <f>IFERROR(_xlfn.IFNA(INDEX(Sensors_MANU!$D$2:$D$4692,MATCH($D63,Sensors_MANU!$B$2:$B$4692,0)),INDEX(Sensors_MANU!$D$2:$D$4692,MATCH($P63,Sensors_MANU!$A$2:$A$4692,0))),"")</f>
        <v/>
      </c>
      <c r="M63" s="27" t="n"/>
      <c r="N63" s="99">
        <f>IFERROR(INDEX(Sensors_MANU!$G$2:$G$4692,MATCH($P63,Sensors_MANU!$A$2:$A$4692,0)),)</f>
        <v/>
      </c>
      <c r="O63" s="6" t="inlineStr">
        <is>
          <t>v16</t>
        </is>
      </c>
      <c r="P63" t="n">
        <v>4978498</v>
      </c>
    </row>
    <row r="64">
      <c r="A64" s="32">
        <f>IFERROR(_xlfn.IFNA(INDEX(Sensors_MANU!$E$2:$E$4692,MATCH($D64,Sensors_MANU!$B$2:$B$4692,0)),INDEX(Sensors_MANU!$E$2:$E$4692,MATCH($P64,Sensors_MANU!$A$2:$A$4692,0))),"")</f>
        <v/>
      </c>
      <c r="B64" s="24">
        <f>IFERROR(INDEX(Companies!$A$3:$A$101,MATCH(A64,Companies!$B$3:$B$101,0)),"")</f>
        <v/>
      </c>
      <c r="C64">
        <f>IFERROR(_xlfn.IFNA(INDEX(Sensors_MANU!$F$2:$F$4692,MATCH($D64,Sensors_MANU!$B$2:$B$4692,0)),INDEX(Sensors_MANU!$F$2:$F$4692,MATCH($P64,Sensors_MANU!$A$2:$A$4692,0))),"")</f>
        <v/>
      </c>
      <c r="D64" t="inlineStr">
        <is>
          <t>E5F69987979B</t>
        </is>
      </c>
      <c r="E64">
        <f>LEFT(D64,2)&amp;":"&amp;MID(D64,3,2)&amp;":"&amp;MID(D64,5,2)&amp;":"&amp;MID(D64,7,2)&amp;":"&amp;MID(D64,9,2)&amp;":"&amp;RIGHT(D64,2)</f>
        <v/>
      </c>
      <c r="H64" t="inlineStr">
        <is>
          <t>43F1E58D79DE83C9</t>
        </is>
      </c>
      <c r="I64">
        <f>IFERROR(_xlfn.IFNA(INDEX(Sensors_MANU!$C$2:$C$4692,MATCH($D64,Sensors_MANU!$B$2:$B$4692,0)),INDEX(Sensors_MANU!$C$2:$C$4692,MATCH($P64,Sensors_MANU!$A$2:$A$4692,0))),"")</f>
        <v/>
      </c>
      <c r="J64">
        <f>IFERROR(_xlfn.IFNA(INDEX(Sensors_MANU!$D$2:$D$4692,MATCH($D64,Sensors_MANU!$B$2:$B$4692,0)),INDEX(Sensors_MANU!$D$2:$D$4692,MATCH($P64,Sensors_MANU!$A$2:$A$4692,0))),"")</f>
        <v/>
      </c>
      <c r="M64" s="27" t="n"/>
      <c r="N64" s="99">
        <f>IFERROR(INDEX(Sensors_MANU!$G$2:$G$4692,MATCH($P64,Sensors_MANU!$A$2:$A$4692,0)),)</f>
        <v/>
      </c>
      <c r="O64" s="6" t="inlineStr">
        <is>
          <t>v16</t>
        </is>
      </c>
      <c r="P64" t="n">
        <v>4978732</v>
      </c>
    </row>
    <row r="65">
      <c r="A65" s="32">
        <f>IFERROR(_xlfn.IFNA(INDEX(Sensors_MANU!$E$2:$E$4692,MATCH($D65,Sensors_MANU!$B$2:$B$4692,0)),INDEX(Sensors_MANU!$E$2:$E$4692,MATCH($P65,Sensors_MANU!$A$2:$A$4692,0))),"")</f>
        <v/>
      </c>
      <c r="B65" s="24">
        <f>IFERROR(INDEX(Companies!$A$3:$A$101,MATCH(A65,Companies!$B$3:$B$101,0)),"")</f>
        <v/>
      </c>
      <c r="C65">
        <f>IFERROR(_xlfn.IFNA(INDEX(Sensors_MANU!$F$2:$F$4692,MATCH($D65,Sensors_MANU!$B$2:$B$4692,0)),INDEX(Sensors_MANU!$F$2:$F$4692,MATCH($P65,Sensors_MANU!$A$2:$A$4692,0))),"")</f>
        <v/>
      </c>
      <c r="D65" t="inlineStr">
        <is>
          <t>C1885B07BACD</t>
        </is>
      </c>
      <c r="E65">
        <f>LEFT(D65,2)&amp;":"&amp;MID(D65,3,2)&amp;":"&amp;MID(D65,5,2)&amp;":"&amp;MID(D65,7,2)&amp;":"&amp;MID(D65,9,2)&amp;":"&amp;RIGHT(D65,2)</f>
        <v/>
      </c>
      <c r="H65" t="inlineStr">
        <is>
          <t>9AD724132DFDF41B</t>
        </is>
      </c>
      <c r="I65">
        <f>IFERROR(_xlfn.IFNA(INDEX(Sensors_MANU!$C$2:$C$4692,MATCH($D65,Sensors_MANU!$B$2:$B$4692,0)),INDEX(Sensors_MANU!$C$2:$C$4692,MATCH($P65,Sensors_MANU!$A$2:$A$4692,0))),"")</f>
        <v/>
      </c>
      <c r="J65">
        <f>IFERROR(_xlfn.IFNA(INDEX(Sensors_MANU!$D$2:$D$4692,MATCH($D65,Sensors_MANU!$B$2:$B$4692,0)),INDEX(Sensors_MANU!$D$2:$D$4692,MATCH($P65,Sensors_MANU!$A$2:$A$4692,0))),"")</f>
        <v/>
      </c>
      <c r="M65" s="27" t="n"/>
      <c r="N65" s="99">
        <f>IFERROR(INDEX(Sensors_MANU!$G$2:$G$4692,MATCH($P65,Sensors_MANU!$A$2:$A$4692,0)),)</f>
        <v/>
      </c>
      <c r="O65" s="6" t="inlineStr">
        <is>
          <t>v16</t>
        </is>
      </c>
      <c r="P65" t="n">
        <v>4978789</v>
      </c>
    </row>
    <row r="66">
      <c r="A66" s="32">
        <f>IFERROR(_xlfn.IFNA(INDEX(Sensors_MANU!$E$2:$E$4692,MATCH($D66,Sensors_MANU!$B$2:$B$4692,0)),INDEX(Sensors_MANU!$E$2:$E$4692,MATCH($P66,Sensors_MANU!$A$2:$A$4692,0))),"")</f>
        <v/>
      </c>
      <c r="B66" s="24">
        <f>IFERROR(INDEX(Companies!$A$3:$A$101,MATCH(A66,Companies!$B$3:$B$101,0)),"")</f>
        <v/>
      </c>
      <c r="C66">
        <f>IFERROR(_xlfn.IFNA(INDEX(Sensors_MANU!$F$2:$F$4692,MATCH($D66,Sensors_MANU!$B$2:$B$4692,0)),INDEX(Sensors_MANU!$F$2:$F$4692,MATCH($P66,Sensors_MANU!$A$2:$A$4692,0))),"")</f>
        <v/>
      </c>
      <c r="D66" s="50" t="inlineStr">
        <is>
          <t>E1CE51A3E8E9</t>
        </is>
      </c>
      <c r="E66" s="24">
        <f>LEFT(D66,2)&amp;":"&amp;MID(D66,3,2)&amp;":"&amp;MID(D66,5,2)&amp;":"&amp;MID(D66,7,2)&amp;":"&amp;MID(D66,9,2)&amp;":"&amp;RIGHT(D66,2)</f>
        <v/>
      </c>
      <c r="H66" s="26" t="inlineStr">
        <is>
          <t>EFA272B9F0DA7C3A</t>
        </is>
      </c>
      <c r="I66">
        <f>IFERROR(_xlfn.IFNA(INDEX(Sensors_MANU!$C$2:$C$4692,MATCH($D66,Sensors_MANU!$B$2:$B$4692,0)),INDEX(Sensors_MANU!$C$2:$C$4692,MATCH($P66,Sensors_MANU!$A$2:$A$4692,0))),"")</f>
        <v/>
      </c>
      <c r="J66">
        <f>IFERROR(_xlfn.IFNA(INDEX(Sensors_MANU!$D$2:$D$4692,MATCH($D66,Sensors_MANU!$B$2:$B$4692,0)),INDEX(Sensors_MANU!$D$2:$D$4692,MATCH($P66,Sensors_MANU!$A$2:$A$4692,0))),"")</f>
        <v/>
      </c>
      <c r="N66" s="99" t="inlineStr">
        <is>
          <t xml:space="preserve">Warranty </t>
        </is>
      </c>
      <c r="O66" s="6" t="inlineStr">
        <is>
          <t>V23</t>
        </is>
      </c>
    </row>
    <row r="67">
      <c r="A67" s="32">
        <f>IFERROR(_xlfn.IFNA(INDEX(Sensors_MANU!$E$2:$E$4692,MATCH($D67,Sensors_MANU!$B$2:$B$4692,0)),INDEX(Sensors_MANU!$E$2:$E$4692,MATCH($P67,Sensors_MANU!$A$2:$A$4692,0))),"")</f>
        <v/>
      </c>
      <c r="B67" s="24">
        <f>IFERROR(INDEX(Companies!$A$3:$A$101,MATCH(A67,Companies!$B$3:$B$101,0)),"")</f>
        <v/>
      </c>
      <c r="C67">
        <f>IFERROR(_xlfn.IFNA(INDEX(Sensors_MANU!$F$2:$F$4692,MATCH($D67,Sensors_MANU!$B$2:$B$4692,0)),INDEX(Sensors_MANU!$F$2:$F$4692,MATCH($P67,Sensors_MANU!$A$2:$A$4692,0))),"")</f>
        <v/>
      </c>
      <c r="D67" s="25" t="inlineStr">
        <is>
          <t>FD045E322C06</t>
        </is>
      </c>
      <c r="E67" s="24">
        <f>LEFT(D67,2)&amp;":"&amp;MID(D67,3,2)&amp;":"&amp;MID(D67,5,2)&amp;":"&amp;MID(D67,7,2)&amp;":"&amp;MID(D67,9,2)&amp;":"&amp;RIGHT(D67,2)</f>
        <v/>
      </c>
      <c r="H67" t="inlineStr">
        <is>
          <t>0E4BB7A75268E4A8</t>
        </is>
      </c>
      <c r="I67">
        <f>IFERROR(_xlfn.IFNA(INDEX(Sensors_MANU!$C$2:$C$4692,MATCH($D67,Sensors_MANU!$B$2:$B$4692,0)),INDEX(Sensors_MANU!$C$2:$C$4692,MATCH($P67,Sensors_MANU!$A$2:$A$4692,0))),"")</f>
        <v/>
      </c>
      <c r="J67">
        <f>IFERROR(_xlfn.IFNA(INDEX(Sensors_MANU!$D$2:$D$4692,MATCH($D67,Sensors_MANU!$B$2:$B$4692,0)),INDEX(Sensors_MANU!$D$2:$D$4692,MATCH($P67,Sensors_MANU!$A$2:$A$4692,0))),"")</f>
        <v/>
      </c>
      <c r="N67" s="99" t="inlineStr">
        <is>
          <t xml:space="preserve">Warranty </t>
        </is>
      </c>
      <c r="O67" s="6" t="inlineStr">
        <is>
          <t>V23</t>
        </is>
      </c>
    </row>
    <row r="68">
      <c r="A68" s="32">
        <f>IFERROR(_xlfn.IFNA(INDEX(Sensors_MANU!$E$2:$E$4692,MATCH($D68,Sensors_MANU!$B$2:$B$4692,0)),INDEX(Sensors_MANU!$E$2:$E$4692,MATCH($P68,Sensors_MANU!$A$2:$A$4692,0))),"")</f>
        <v/>
      </c>
      <c r="B68" s="24">
        <f>IFERROR(INDEX(Companies!$A$3:$A$101,MATCH(A68,Companies!$B$3:$B$101,0)),"")</f>
        <v/>
      </c>
      <c r="C68">
        <f>IFERROR(_xlfn.IFNA(INDEX(Sensors_MANU!$F$2:$F$4692,MATCH($D68,Sensors_MANU!$B$2:$B$4692,0)),INDEX(Sensors_MANU!$F$2:$F$4692,MATCH($P68,Sensors_MANU!$A$2:$A$4692,0))),"")</f>
        <v/>
      </c>
      <c r="D68" s="25" t="inlineStr">
        <is>
          <t>F736B8CB69EE</t>
        </is>
      </c>
      <c r="E68" s="24">
        <f>LEFT(D68,2)&amp;":"&amp;MID(D68,3,2)&amp;":"&amp;MID(D68,5,2)&amp;":"&amp;MID(D68,7,2)&amp;":"&amp;MID(D68,9,2)&amp;":"&amp;RIGHT(D68,2)</f>
        <v/>
      </c>
      <c r="H68" t="inlineStr">
        <is>
          <t>0A668A2B60D63E74</t>
        </is>
      </c>
      <c r="I68">
        <f>IFERROR(_xlfn.IFNA(INDEX(Sensors_MANU!$C$2:$C$4692,MATCH($D68,Sensors_MANU!$B$2:$B$4692,0)),INDEX(Sensors_MANU!$C$2:$C$4692,MATCH($P68,Sensors_MANU!$A$2:$A$4692,0))),"")</f>
        <v/>
      </c>
      <c r="J68">
        <f>IFERROR(_xlfn.IFNA(INDEX(Sensors_MANU!$D$2:$D$4692,MATCH($D68,Sensors_MANU!$B$2:$B$4692,0)),INDEX(Sensors_MANU!$D$2:$D$4692,MATCH($P68,Sensors_MANU!$A$2:$A$4692,0))),"")</f>
        <v/>
      </c>
      <c r="N68" s="99" t="inlineStr">
        <is>
          <t xml:space="preserve">Warranty </t>
        </is>
      </c>
      <c r="O68" s="6" t="inlineStr">
        <is>
          <t>V23</t>
        </is>
      </c>
    </row>
    <row r="69">
      <c r="A69" s="32">
        <f>IFERROR(_xlfn.IFNA(INDEX(Sensors_MANU!$E$2:$E$4692,MATCH($D69,Sensors_MANU!$B$2:$B$4692,0)),INDEX(Sensors_MANU!$E$2:$E$4692,MATCH($P69,Sensors_MANU!$A$2:$A$4692,0))),"")</f>
        <v/>
      </c>
      <c r="B69" s="24">
        <f>IFERROR(INDEX(Companies!$A$3:$A$101,MATCH(A69,Companies!$B$3:$B$101,0)),"")</f>
        <v/>
      </c>
      <c r="C69">
        <f>IFERROR(_xlfn.IFNA(INDEX(Sensors_MANU!$F$2:$F$4692,MATCH($D69,Sensors_MANU!$B$2:$B$4692,0)),INDEX(Sensors_MANU!$F$2:$F$4692,MATCH($P69,Sensors_MANU!$A$2:$A$4692,0))),"")</f>
        <v/>
      </c>
      <c r="D69" s="25" t="inlineStr">
        <is>
          <t>C883F1411228</t>
        </is>
      </c>
      <c r="E69" s="24">
        <f>LEFT(D69,2)&amp;":"&amp;MID(D69,3,2)&amp;":"&amp;MID(D69,5,2)&amp;":"&amp;MID(D69,7,2)&amp;":"&amp;MID(D69,9,2)&amp;":"&amp;RIGHT(D69,2)</f>
        <v/>
      </c>
      <c r="H69" t="inlineStr">
        <is>
          <t>B0057455D3D3AA64</t>
        </is>
      </c>
      <c r="I69">
        <f>IFERROR(_xlfn.IFNA(INDEX(Sensors_MANU!$C$2:$C$4692,MATCH($D69,Sensors_MANU!$B$2:$B$4692,0)),INDEX(Sensors_MANU!$C$2:$C$4692,MATCH($P69,Sensors_MANU!$A$2:$A$4692,0))),"")</f>
        <v/>
      </c>
      <c r="J69">
        <f>IFERROR(_xlfn.IFNA(INDEX(Sensors_MANU!$D$2:$D$4692,MATCH($D69,Sensors_MANU!$B$2:$B$4692,0)),INDEX(Sensors_MANU!$D$2:$D$4692,MATCH($P69,Sensors_MANU!$A$2:$A$4692,0))),"")</f>
        <v/>
      </c>
      <c r="N69" s="99" t="inlineStr">
        <is>
          <t xml:space="preserve">Warranty </t>
        </is>
      </c>
      <c r="O69" s="6" t="inlineStr">
        <is>
          <t>V23</t>
        </is>
      </c>
    </row>
    <row r="70">
      <c r="A70" s="32">
        <f>IFERROR(_xlfn.IFNA(INDEX(Sensors_MANU!$E$2:$E$4692,MATCH($D70,Sensors_MANU!$B$2:$B$4692,0)),INDEX(Sensors_MANU!$E$2:$E$4692,MATCH($P70,Sensors_MANU!$A$2:$A$4692,0))),"")</f>
        <v/>
      </c>
      <c r="B70" s="24">
        <f>IFERROR(INDEX(Companies!$A$3:$A$101,MATCH(A70,Companies!$B$3:$B$101,0)),"")</f>
        <v/>
      </c>
      <c r="C70">
        <f>IFERROR(_xlfn.IFNA(INDEX(Sensors_MANU!$F$2:$F$4692,MATCH($D70,Sensors_MANU!$B$2:$B$4692,0)),INDEX(Sensors_MANU!$F$2:$F$4692,MATCH($P70,Sensors_MANU!$A$2:$A$4692,0))),"")</f>
        <v/>
      </c>
      <c r="D70" s="25" t="inlineStr">
        <is>
          <t>CED675527EF8</t>
        </is>
      </c>
      <c r="E70" s="24">
        <f>LEFT(D70,2)&amp;":"&amp;MID(D70,3,2)&amp;":"&amp;MID(D70,5,2)&amp;":"&amp;MID(D70,7,2)&amp;":"&amp;MID(D70,9,2)&amp;":"&amp;RIGHT(D70,2)</f>
        <v/>
      </c>
      <c r="H70" t="inlineStr">
        <is>
          <t>69276A85EB27A815</t>
        </is>
      </c>
      <c r="I70">
        <f>IFERROR(_xlfn.IFNA(INDEX(Sensors_MANU!$C$2:$C$4692,MATCH($D70,Sensors_MANU!$B$2:$B$4692,0)),INDEX(Sensors_MANU!$C$2:$C$4692,MATCH($P70,Sensors_MANU!$A$2:$A$4692,0))),"")</f>
        <v/>
      </c>
      <c r="J70">
        <f>IFERROR(_xlfn.IFNA(INDEX(Sensors_MANU!$D$2:$D$4692,MATCH($D70,Sensors_MANU!$B$2:$B$4692,0)),INDEX(Sensors_MANU!$D$2:$D$4692,MATCH($P70,Sensors_MANU!$A$2:$A$4692,0))),"")</f>
        <v/>
      </c>
      <c r="N70" s="99" t="inlineStr">
        <is>
          <t xml:space="preserve">Warranty </t>
        </is>
      </c>
      <c r="O70" s="6" t="inlineStr">
        <is>
          <t>V23</t>
        </is>
      </c>
    </row>
    <row r="71">
      <c r="A71" s="32">
        <f>IFERROR(_xlfn.IFNA(INDEX(Sensors_MANU!$E$2:$E$4692,MATCH($D71,Sensors_MANU!$B$2:$B$4692,0)),INDEX(Sensors_MANU!$E$2:$E$4692,MATCH($P71,Sensors_MANU!$A$2:$A$4692,0))),"")</f>
        <v/>
      </c>
      <c r="B71" s="24">
        <f>IFERROR(INDEX(Companies!$A$3:$A$101,MATCH(A71,Companies!$B$3:$B$101,0)),"")</f>
        <v/>
      </c>
      <c r="C71">
        <f>IFERROR(_xlfn.IFNA(INDEX(Sensors_MANU!$F$2:$F$4692,MATCH($D71,Sensors_MANU!$B$2:$B$4692,0)),INDEX(Sensors_MANU!$F$2:$F$4692,MATCH($P71,Sensors_MANU!$A$2:$A$4692,0))),"")</f>
        <v/>
      </c>
      <c r="D71" t="inlineStr">
        <is>
          <t>C2073834A07B</t>
        </is>
      </c>
      <c r="E71" s="24">
        <f>LEFT(D71,2)&amp;":"&amp;MID(D71,3,2)&amp;":"&amp;MID(D71,5,2)&amp;":"&amp;MID(D71,7,2)&amp;":"&amp;MID(D71,9,2)&amp;":"&amp;RIGHT(D71,2)</f>
        <v/>
      </c>
      <c r="H71" t="inlineStr">
        <is>
          <t>5EB9AF3A5C8F0134</t>
        </is>
      </c>
      <c r="I71">
        <f>IFERROR(_xlfn.IFNA(INDEX(Sensors_MANU!$C$2:$C$4692,MATCH($D71,Sensors_MANU!$B$2:$B$4692,0)),INDEX(Sensors_MANU!$C$2:$C$4692,MATCH($P71,Sensors_MANU!$A$2:$A$4692,0))),"")</f>
        <v/>
      </c>
      <c r="J71">
        <f>IFERROR(_xlfn.IFNA(INDEX(Sensors_MANU!$D$2:$D$4692,MATCH($D71,Sensors_MANU!$B$2:$B$4692,0)),INDEX(Sensors_MANU!$D$2:$D$4692,MATCH($P71,Sensors_MANU!$A$2:$A$4692,0))),"")</f>
        <v/>
      </c>
      <c r="O71" s="6" t="inlineStr">
        <is>
          <t>V24</t>
        </is>
      </c>
    </row>
    <row r="72">
      <c r="A72" s="32">
        <f>IFERROR(_xlfn.IFNA(INDEX(Sensors_MANU!$E$2:$E$4692,MATCH($D72,Sensors_MANU!$B$2:$B$4692,0)),INDEX(Sensors_MANU!$E$2:$E$4692,MATCH($P72,Sensors_MANU!$A$2:$A$4692,0))),"")</f>
        <v/>
      </c>
      <c r="B72" s="24">
        <f>IFERROR(INDEX(Companies!$A$3:$A$101,MATCH(A72,Companies!$B$3:$B$101,0)),"")</f>
        <v/>
      </c>
      <c r="C72">
        <f>IFERROR(_xlfn.IFNA(INDEX(Sensors_MANU!$F$2:$F$4692,MATCH($D72,Sensors_MANU!$B$2:$B$4692,0)),INDEX(Sensors_MANU!$F$2:$F$4692,MATCH($P72,Sensors_MANU!$A$2:$A$4692,0))),"")</f>
        <v/>
      </c>
      <c r="D72" t="inlineStr">
        <is>
          <t>CCFE5A0E9A5D</t>
        </is>
      </c>
      <c r="E72" s="24">
        <f>LEFT(D72,2)&amp;":"&amp;MID(D72,3,2)&amp;":"&amp;MID(D72,5,2)&amp;":"&amp;MID(D72,7,2)&amp;":"&amp;MID(D72,9,2)&amp;":"&amp;RIGHT(D72,2)</f>
        <v/>
      </c>
      <c r="H72" t="inlineStr">
        <is>
          <t>3534D54BF5A6D6A9</t>
        </is>
      </c>
      <c r="I72">
        <f>IFERROR(_xlfn.IFNA(INDEX(Sensors_MANU!$C$2:$C$4692,MATCH($D72,Sensors_MANU!$B$2:$B$4692,0)),INDEX(Sensors_MANU!$C$2:$C$4692,MATCH($P72,Sensors_MANU!$A$2:$A$4692,0))),"")</f>
        <v/>
      </c>
      <c r="J72">
        <f>IFERROR(_xlfn.IFNA(INDEX(Sensors_MANU!$D$2:$D$4692,MATCH($D72,Sensors_MANU!$B$2:$B$4692,0)),INDEX(Sensors_MANU!$D$2:$D$4692,MATCH($P72,Sensors_MANU!$A$2:$A$4692,0))),"")</f>
        <v/>
      </c>
      <c r="O72" s="6" t="inlineStr">
        <is>
          <t>V24</t>
        </is>
      </c>
    </row>
    <row r="73">
      <c r="A73" s="32">
        <f>IFERROR(_xlfn.IFNA(INDEX(Sensors_MANU!$E$2:$E$4692,MATCH($D73,Sensors_MANU!$B$2:$B$4692,0)),INDEX(Sensors_MANU!$E$2:$E$4692,MATCH($P73,Sensors_MANU!$A$2:$A$4692,0))),"")</f>
        <v/>
      </c>
      <c r="B73" s="24">
        <f>IFERROR(INDEX(Companies!$A$3:$A$101,MATCH(A73,Companies!$B$3:$B$101,0)),"")</f>
        <v/>
      </c>
      <c r="C73">
        <f>IFERROR(_xlfn.IFNA(INDEX(Sensors_MANU!$F$2:$F$4692,MATCH($D73,Sensors_MANU!$B$2:$B$4692,0)),INDEX(Sensors_MANU!$F$2:$F$4692,MATCH($P73,Sensors_MANU!$A$2:$A$4692,0))),"")</f>
        <v/>
      </c>
      <c r="D73" t="inlineStr">
        <is>
          <t>CFCB5DFC1E01</t>
        </is>
      </c>
      <c r="E73" s="24">
        <f>LEFT(D73,2)&amp;":"&amp;MID(D73,3,2)&amp;":"&amp;MID(D73,5,2)&amp;":"&amp;MID(D73,7,2)&amp;":"&amp;MID(D73,9,2)&amp;":"&amp;RIGHT(D73,2)</f>
        <v/>
      </c>
      <c r="H73" t="inlineStr">
        <is>
          <t>0C90DF8534FE2E9D</t>
        </is>
      </c>
      <c r="I73">
        <f>IFERROR(_xlfn.IFNA(INDEX(Sensors_MANU!$C$2:$C$4692,MATCH($D73,Sensors_MANU!$B$2:$B$4692,0)),INDEX(Sensors_MANU!$C$2:$C$4692,MATCH($P73,Sensors_MANU!$A$2:$A$4692,0))),"")</f>
        <v/>
      </c>
      <c r="J73">
        <f>IFERROR(_xlfn.IFNA(INDEX(Sensors_MANU!$D$2:$D$4692,MATCH($D73,Sensors_MANU!$B$2:$B$4692,0)),INDEX(Sensors_MANU!$D$2:$D$4692,MATCH($P73,Sensors_MANU!$A$2:$A$4692,0))),"")</f>
        <v/>
      </c>
      <c r="O73" s="6" t="inlineStr">
        <is>
          <t>V23</t>
        </is>
      </c>
    </row>
    <row r="74">
      <c r="A74" s="32">
        <f>IFERROR(_xlfn.IFNA(INDEX(Sensors_MANU!$E$2:$E$4692,MATCH($D74,Sensors_MANU!$B$2:$B$4692,0)),INDEX(Sensors_MANU!$E$2:$E$4692,MATCH($P74,Sensors_MANU!$A$2:$A$4692,0))),"")</f>
        <v/>
      </c>
      <c r="B74" s="24">
        <f>IFERROR(INDEX(Companies!$A$3:$A$101,MATCH(A74,Companies!$B$3:$B$101,0)),"")</f>
        <v/>
      </c>
      <c r="C74">
        <f>IFERROR(_xlfn.IFNA(INDEX(Sensors_MANU!$F$2:$F$4692,MATCH($D74,Sensors_MANU!$B$2:$B$4692,0)),INDEX(Sensors_MANU!$F$2:$F$4692,MATCH($P74,Sensors_MANU!$A$2:$A$4692,0))),"")</f>
        <v/>
      </c>
      <c r="D74" t="inlineStr">
        <is>
          <t>F05BFDFB0F08</t>
        </is>
      </c>
      <c r="E74" s="24">
        <f>LEFT(D74,2)&amp;":"&amp;MID(D74,3,2)&amp;":"&amp;MID(D74,5,2)&amp;":"&amp;MID(D74,7,2)&amp;":"&amp;MID(D74,9,2)&amp;":"&amp;RIGHT(D74,2)</f>
        <v/>
      </c>
      <c r="H74" t="inlineStr">
        <is>
          <t>35CEB1C8A24F077C</t>
        </is>
      </c>
      <c r="I74">
        <f>IFERROR(_xlfn.IFNA(INDEX(Sensors_MANU!$C$2:$C$4692,MATCH($D74,Sensors_MANU!$B$2:$B$4692,0)),INDEX(Sensors_MANU!$C$2:$C$4692,MATCH($P74,Sensors_MANU!$A$2:$A$4692,0))),"")</f>
        <v/>
      </c>
      <c r="J74">
        <f>IFERROR(_xlfn.IFNA(INDEX(Sensors_MANU!$D$2:$D$4692,MATCH($D74,Sensors_MANU!$B$2:$B$4692,0)),INDEX(Sensors_MANU!$D$2:$D$4692,MATCH($P74,Sensors_MANU!$A$2:$A$4692,0))),"")</f>
        <v/>
      </c>
      <c r="O74" s="6" t="inlineStr">
        <is>
          <t>V24</t>
        </is>
      </c>
    </row>
    <row r="75">
      <c r="A75" s="32">
        <f>IFERROR(_xlfn.IFNA(INDEX(Sensors_MANU!$E$2:$E$4692,MATCH($D75,Sensors_MANU!$B$2:$B$4692,0)),INDEX(Sensors_MANU!$E$2:$E$4692,MATCH($P75,Sensors_MANU!$A$2:$A$4692,0))),"")</f>
        <v/>
      </c>
      <c r="B75" s="24">
        <f>IFERROR(INDEX(Companies!$A$3:$A$101,MATCH(A75,Companies!$B$3:$B$101,0)),"")</f>
        <v/>
      </c>
      <c r="C75">
        <f>IFERROR(_xlfn.IFNA(INDEX(Sensors_MANU!$F$2:$F$4692,MATCH($D75,Sensors_MANU!$B$2:$B$4692,0)),INDEX(Sensors_MANU!$F$2:$F$4692,MATCH($P75,Sensors_MANU!$A$2:$A$4692,0))),"")</f>
        <v/>
      </c>
      <c r="D75" t="inlineStr">
        <is>
          <t>D27C62245676</t>
        </is>
      </c>
      <c r="E75" s="24">
        <f>LEFT(D75,2)&amp;":"&amp;MID(D75,3,2)&amp;":"&amp;MID(D75,5,2)&amp;":"&amp;MID(D75,7,2)&amp;":"&amp;MID(D75,9,2)&amp;":"&amp;RIGHT(D75,2)</f>
        <v/>
      </c>
      <c r="F75" s="29" t="n">
        <v>44862</v>
      </c>
      <c r="G75" s="29" t="inlineStr">
        <is>
          <t>Fertagus</t>
        </is>
      </c>
      <c r="H75" t="inlineStr">
        <is>
          <t>2DD9A6CF0E96A9A3</t>
        </is>
      </c>
      <c r="I75">
        <f>IFERROR(_xlfn.IFNA(INDEX(Sensors_MANU!$C$2:$C$4692,MATCH($D75,Sensors_MANU!$B$2:$B$4692,0)),INDEX(Sensors_MANU!$C$2:$C$4692,MATCH($P75,Sensors_MANU!$A$2:$A$4692,0))),"")</f>
        <v/>
      </c>
      <c r="J75">
        <f>IFERROR(_xlfn.IFNA(INDEX(Sensors_MANU!$D$2:$D$4692,MATCH($D75,Sensors_MANU!$B$2:$B$4692,0)),INDEX(Sensors_MANU!$D$2:$D$4692,MATCH($P75,Sensors_MANU!$A$2:$A$4692,0))),"")</f>
        <v/>
      </c>
      <c r="K75" s="27" t="inlineStr">
        <is>
          <t>R3555</t>
        </is>
      </c>
      <c r="L75" s="27" t="inlineStr">
        <is>
          <t>2R</t>
        </is>
      </c>
      <c r="O75" s="6" t="inlineStr">
        <is>
          <t>V25</t>
        </is>
      </c>
    </row>
    <row r="76">
      <c r="A76" s="32">
        <f>IFERROR(_xlfn.IFNA(INDEX(Sensors_MANU!$E$2:$E$4692,MATCH($D76,Sensors_MANU!$B$2:$B$4692,0)),INDEX(Sensors_MANU!$E$2:$E$4692,MATCH($P76,Sensors_MANU!$A$2:$A$4692,0))),"")</f>
        <v/>
      </c>
      <c r="B76" s="24">
        <f>IFERROR(INDEX(Companies!$A$3:$A$101,MATCH(A76,Companies!$B$3:$B$101,0)),"")</f>
        <v/>
      </c>
      <c r="C76">
        <f>IFERROR(_xlfn.IFNA(INDEX(Sensors_MANU!$F$2:$F$4692,MATCH($D76,Sensors_MANU!$B$2:$B$4692,0)),INDEX(Sensors_MANU!$F$2:$F$4692,MATCH($P76,Sensors_MANU!$A$2:$A$4692,0))),"")</f>
        <v/>
      </c>
      <c r="D76" t="inlineStr">
        <is>
          <t>FEDB2B2AA8C7</t>
        </is>
      </c>
      <c r="E76" s="24">
        <f>LEFT(D76,2)&amp;":"&amp;MID(D76,3,2)&amp;":"&amp;MID(D76,5,2)&amp;":"&amp;MID(D76,7,2)&amp;":"&amp;MID(D76,9,2)&amp;":"&amp;RIGHT(D76,2)</f>
        <v/>
      </c>
      <c r="H76" t="inlineStr">
        <is>
          <t>76CFE86B0226740A</t>
        </is>
      </c>
      <c r="I76">
        <f>IFERROR(_xlfn.IFNA(INDEX(Sensors_MANU!$C$2:$C$4692,MATCH($D76,Sensors_MANU!$B$2:$B$4692,0)),INDEX(Sensors_MANU!$C$2:$C$4692,MATCH($P76,Sensors_MANU!$A$2:$A$4692,0))),"")</f>
        <v/>
      </c>
      <c r="J76">
        <f>IFERROR(_xlfn.IFNA(INDEX(Sensors_MANU!$D$2:$D$4692,MATCH($D76,Sensors_MANU!$B$2:$B$4692,0)),INDEX(Sensors_MANU!$D$2:$D$4692,MATCH($P76,Sensors_MANU!$A$2:$A$4692,0))),"")</f>
        <v/>
      </c>
      <c r="O76" s="6" t="inlineStr">
        <is>
          <t>V24</t>
        </is>
      </c>
    </row>
    <row r="77">
      <c r="A77" s="32">
        <f>IFERROR(_xlfn.IFNA(INDEX(Sensors_MANU!$E$2:$E$4692,MATCH($D77,Sensors_MANU!$B$2:$B$4692,0)),INDEX(Sensors_MANU!$E$2:$E$4692,MATCH($P77,Sensors_MANU!$A$2:$A$4692,0))),"")</f>
        <v/>
      </c>
      <c r="B77" s="24">
        <f>IFERROR(INDEX(Companies!$A$3:$A$101,MATCH(A77,Companies!$B$3:$B$101,0)),"")</f>
        <v/>
      </c>
      <c r="C77">
        <f>IFERROR(_xlfn.IFNA(INDEX(Sensors_MANU!$F$2:$F$4692,MATCH($D77,Sensors_MANU!$B$2:$B$4692,0)),INDEX(Sensors_MANU!$F$2:$F$4692,MATCH($P77,Sensors_MANU!$A$2:$A$4692,0))),"")</f>
        <v/>
      </c>
      <c r="D77" t="inlineStr">
        <is>
          <t>E108D079A7AA</t>
        </is>
      </c>
      <c r="E77" s="24">
        <f>LEFT(D77,2)&amp;":"&amp;MID(D77,3,2)&amp;":"&amp;MID(D77,5,2)&amp;":"&amp;MID(D77,7,2)&amp;":"&amp;MID(D77,9,2)&amp;":"&amp;RIGHT(D77,2)</f>
        <v/>
      </c>
      <c r="H77" t="inlineStr">
        <is>
          <t>F6C7421080A3A844</t>
        </is>
      </c>
      <c r="I77">
        <f>IFERROR(_xlfn.IFNA(INDEX(Sensors_MANU!$C$2:$C$4692,MATCH($D77,Sensors_MANU!$B$2:$B$4692,0)),INDEX(Sensors_MANU!$C$2:$C$4692,MATCH($P77,Sensors_MANU!$A$2:$A$4692,0))),"")</f>
        <v/>
      </c>
      <c r="J77">
        <f>IFERROR(_xlfn.IFNA(INDEX(Sensors_MANU!$D$2:$D$4692,MATCH($D77,Sensors_MANU!$B$2:$B$4692,0)),INDEX(Sensors_MANU!$D$2:$D$4692,MATCH($P77,Sensors_MANU!$A$2:$A$4692,0))),"")</f>
        <v/>
      </c>
      <c r="O77" s="6" t="inlineStr">
        <is>
          <t>V24</t>
        </is>
      </c>
    </row>
    <row r="78">
      <c r="A78" s="32">
        <f>IFERROR(_xlfn.IFNA(INDEX(Sensors_MANU!$E$2:$E$4692,MATCH($D78,Sensors_MANU!$B$2:$B$4692,0)),INDEX(Sensors_MANU!$E$2:$E$4692,MATCH($P78,Sensors_MANU!$A$2:$A$4692,0))),"")</f>
        <v/>
      </c>
      <c r="B78" s="24">
        <f>IFERROR(INDEX(Companies!$A$3:$A$101,MATCH(A78,Companies!$B$3:$B$101,0)),"")</f>
        <v/>
      </c>
      <c r="C78">
        <f>IFERROR(_xlfn.IFNA(INDEX(Sensors_MANU!$F$2:$F$4692,MATCH($D78,Sensors_MANU!$B$2:$B$4692,0)),INDEX(Sensors_MANU!$F$2:$F$4692,MATCH($P78,Sensors_MANU!$A$2:$A$4692,0))),"")</f>
        <v/>
      </c>
      <c r="D78" t="inlineStr">
        <is>
          <t>F4B3AF4B7488</t>
        </is>
      </c>
      <c r="E78" s="24">
        <f>LEFT(D78,2)&amp;":"&amp;MID(D78,3,2)&amp;":"&amp;MID(D78,5,2)&amp;":"&amp;MID(D78,7,2)&amp;":"&amp;MID(D78,9,2)&amp;":"&amp;RIGHT(D78,2)</f>
        <v/>
      </c>
      <c r="H78" t="inlineStr">
        <is>
          <t>8F2EE2380EA09202</t>
        </is>
      </c>
      <c r="I78">
        <f>IFERROR(_xlfn.IFNA(INDEX(Sensors_MANU!$C$2:$C$4692,MATCH($D78,Sensors_MANU!$B$2:$B$4692,0)),INDEX(Sensors_MANU!$C$2:$C$4692,MATCH($P78,Sensors_MANU!$A$2:$A$4692,0))),"")</f>
        <v/>
      </c>
      <c r="J78">
        <f>IFERROR(_xlfn.IFNA(INDEX(Sensors_MANU!$D$2:$D$4692,MATCH($D78,Sensors_MANU!$B$2:$B$4692,0)),INDEX(Sensors_MANU!$D$2:$D$4692,MATCH($P78,Sensors_MANU!$A$2:$A$4692,0))),"")</f>
        <v/>
      </c>
      <c r="O78" s="6" t="inlineStr">
        <is>
          <t>V24</t>
        </is>
      </c>
    </row>
    <row r="79">
      <c r="A79" s="32">
        <f>IFERROR(_xlfn.IFNA(INDEX(Sensors_MANU!$E$2:$E$4692,MATCH($D79,Sensors_MANU!$B$2:$B$4692,0)),INDEX(Sensors_MANU!$E$2:$E$4692,MATCH($P79,Sensors_MANU!$A$2:$A$4692,0))),"")</f>
        <v/>
      </c>
      <c r="B79" s="24">
        <f>IFERROR(INDEX(Companies!$A$3:$A$101,MATCH(A79,Companies!$B$3:$B$101,0)),"")</f>
        <v/>
      </c>
      <c r="C79">
        <f>IFERROR(_xlfn.IFNA(INDEX(Sensors_MANU!$F$2:$F$4692,MATCH($D79,Sensors_MANU!$B$2:$B$4692,0)),INDEX(Sensors_MANU!$F$2:$F$4692,MATCH($P79,Sensors_MANU!$A$2:$A$4692,0))),"")</f>
        <v/>
      </c>
      <c r="D79" s="25" t="inlineStr">
        <is>
          <t>E6D34F511877</t>
        </is>
      </c>
      <c r="E79" s="24">
        <f>LEFT(D79,2)&amp;":"&amp;MID(D79,3,2)&amp;":"&amp;MID(D79,5,2)&amp;":"&amp;MID(D79,7,2)&amp;":"&amp;MID(D79,9,2)&amp;":"&amp;RIGHT(D79,2)</f>
        <v/>
      </c>
      <c r="H79" t="inlineStr">
        <is>
          <t>72ECF776DCD02A80</t>
        </is>
      </c>
      <c r="I79">
        <f>IFERROR(_xlfn.IFNA(INDEX(Sensors_MANU!$C$2:$C$4692,MATCH($D79,Sensors_MANU!$B$2:$B$4692,0)),INDEX(Sensors_MANU!$C$2:$C$4692,MATCH($P79,Sensors_MANU!$A$2:$A$4692,0))),"")</f>
        <v/>
      </c>
      <c r="J79">
        <f>IFERROR(_xlfn.IFNA(INDEX(Sensors_MANU!$D$2:$D$4692,MATCH($D79,Sensors_MANU!$B$2:$B$4692,0)),INDEX(Sensors_MANU!$D$2:$D$4692,MATCH($P79,Sensors_MANU!$A$2:$A$4692,0))),"")</f>
        <v/>
      </c>
      <c r="N79" s="99" t="inlineStr">
        <is>
          <t xml:space="preserve">Warranty </t>
        </is>
      </c>
      <c r="O79" s="6" t="inlineStr">
        <is>
          <t>V23</t>
        </is>
      </c>
    </row>
    <row r="80">
      <c r="A80" s="32">
        <f>IFERROR(_xlfn.IFNA(INDEX(Sensors_MANU!$E$2:$E$4692,MATCH($D80,Sensors_MANU!$B$2:$B$4692,0)),INDEX(Sensors_MANU!$E$2:$E$4692,MATCH($P80,Sensors_MANU!$A$2:$A$4692,0))),"")</f>
        <v/>
      </c>
      <c r="B80" s="24">
        <f>IFERROR(INDEX(Companies!$A$3:$A$101,MATCH(A80,Companies!$B$3:$B$101,0)),"")</f>
        <v/>
      </c>
      <c r="C80">
        <f>IFERROR(_xlfn.IFNA(INDEX(Sensors_MANU!$F$2:$F$4692,MATCH($D80,Sensors_MANU!$B$2:$B$4692,0)),INDEX(Sensors_MANU!$F$2:$F$4692,MATCH($P80,Sensors_MANU!$A$2:$A$4692,0))),"")</f>
        <v/>
      </c>
      <c r="D80" s="25" t="inlineStr">
        <is>
          <t>DD6529384BC6</t>
        </is>
      </c>
      <c r="E80" s="24">
        <f>LEFT(D80,2)&amp;":"&amp;MID(D80,3,2)&amp;":"&amp;MID(D80,5,2)&amp;":"&amp;MID(D80,7,2)&amp;":"&amp;MID(D80,9,2)&amp;":"&amp;RIGHT(D80,2)</f>
        <v/>
      </c>
      <c r="H80" t="inlineStr">
        <is>
          <t>06A3508AD62A09DA</t>
        </is>
      </c>
      <c r="I80">
        <f>IFERROR(_xlfn.IFNA(INDEX(Sensors_MANU!$C$2:$C$4692,MATCH($D80,Sensors_MANU!$B$2:$B$4692,0)),INDEX(Sensors_MANU!$C$2:$C$4692,MATCH($P80,Sensors_MANU!$A$2:$A$4692,0))),"")</f>
        <v/>
      </c>
      <c r="J80">
        <f>IFERROR(_xlfn.IFNA(INDEX(Sensors_MANU!$D$2:$D$4692,MATCH($D80,Sensors_MANU!$B$2:$B$4692,0)),INDEX(Sensors_MANU!$D$2:$D$4692,MATCH($P80,Sensors_MANU!$A$2:$A$4692,0))),"")</f>
        <v/>
      </c>
      <c r="N80" s="99" t="inlineStr">
        <is>
          <t xml:space="preserve">Warranty </t>
        </is>
      </c>
      <c r="O80" s="6" t="inlineStr">
        <is>
          <t>V23</t>
        </is>
      </c>
    </row>
    <row r="81">
      <c r="A81" s="32">
        <f>IFERROR(_xlfn.IFNA(INDEX(Sensors_MANU!$E$2:$E$4692,MATCH($D81,Sensors_MANU!$B$2:$B$4692,0)),INDEX(Sensors_MANU!$E$2:$E$4692,MATCH($P81,Sensors_MANU!$A$2:$A$4692,0))),"")</f>
        <v/>
      </c>
      <c r="B81" s="24">
        <f>IFERROR(INDEX(Companies!$A$3:$A$101,MATCH(A81,Companies!$B$3:$B$101,0)),"")</f>
        <v/>
      </c>
      <c r="C81">
        <f>IFERROR(_xlfn.IFNA(INDEX(Sensors_MANU!$F$2:$F$4692,MATCH($D81,Sensors_MANU!$B$2:$B$4692,0)),INDEX(Sensors_MANU!$F$2:$F$4692,MATCH($P81,Sensors_MANU!$A$2:$A$4692,0))),"")</f>
        <v/>
      </c>
      <c r="D81" s="25" t="inlineStr">
        <is>
          <t>F0F0A3FD6D84</t>
        </is>
      </c>
      <c r="E81" s="24">
        <f>LEFT(D81,2)&amp;":"&amp;MID(D81,3,2)&amp;":"&amp;MID(D81,5,2)&amp;":"&amp;MID(D81,7,2)&amp;":"&amp;MID(D81,9,2)&amp;":"&amp;RIGHT(D81,2)</f>
        <v/>
      </c>
      <c r="H81" t="inlineStr">
        <is>
          <t>8C300677A228A9AC</t>
        </is>
      </c>
      <c r="I81">
        <f>IFERROR(_xlfn.IFNA(INDEX(Sensors_MANU!$C$2:$C$4692,MATCH($D81,Sensors_MANU!$B$2:$B$4692,0)),INDEX(Sensors_MANU!$C$2:$C$4692,MATCH($P81,Sensors_MANU!$A$2:$A$4692,0))),"")</f>
        <v/>
      </c>
      <c r="J81">
        <f>IFERROR(_xlfn.IFNA(INDEX(Sensors_MANU!$D$2:$D$4692,MATCH($D81,Sensors_MANU!$B$2:$B$4692,0)),INDEX(Sensors_MANU!$D$2:$D$4692,MATCH($P81,Sensors_MANU!$A$2:$A$4692,0))),"")</f>
        <v/>
      </c>
      <c r="N81" s="99" t="inlineStr">
        <is>
          <t xml:space="preserve">Warranty </t>
        </is>
      </c>
      <c r="O81" s="6" t="inlineStr">
        <is>
          <t>V23</t>
        </is>
      </c>
    </row>
    <row r="82">
      <c r="A82" s="32">
        <f>IFERROR(_xlfn.IFNA(INDEX(Sensors_MANU!$E$2:$E$4692,MATCH($D82,Sensors_MANU!$B$2:$B$4692,0)),INDEX(Sensors_MANU!$E$2:$E$4692,MATCH($P82,Sensors_MANU!$A$2:$A$4692,0))),"")</f>
        <v/>
      </c>
      <c r="B82" s="24">
        <f>IFERROR(INDEX(Companies!$A$3:$A$101,MATCH(A82,Companies!$B$3:$B$101,0)),"")</f>
        <v/>
      </c>
      <c r="C82">
        <f>IFERROR(_xlfn.IFNA(INDEX(Sensors_MANU!$F$2:$F$4692,MATCH($D82,Sensors_MANU!$B$2:$B$4692,0)),INDEX(Sensors_MANU!$F$2:$F$4692,MATCH($P82,Sensors_MANU!$A$2:$A$4692,0))),"")</f>
        <v/>
      </c>
      <c r="D82" t="inlineStr">
        <is>
          <t>D2A8B9633E8E</t>
        </is>
      </c>
      <c r="E82" s="24">
        <f>LEFT(D82,2)&amp;":"&amp;MID(D82,3,2)&amp;":"&amp;MID(D82,5,2)&amp;":"&amp;MID(D82,7,2)&amp;":"&amp;MID(D82,9,2)&amp;":"&amp;RIGHT(D82,2)</f>
        <v/>
      </c>
      <c r="F82" s="29" t="n">
        <v>44862</v>
      </c>
      <c r="G82" s="29" t="inlineStr">
        <is>
          <t>Fertagus</t>
        </is>
      </c>
      <c r="H82" t="inlineStr">
        <is>
          <t>4D1617A67741D038</t>
        </is>
      </c>
      <c r="I82">
        <f>IFERROR(_xlfn.IFNA(INDEX(Sensors_MANU!$C$2:$C$4692,MATCH($D82,Sensors_MANU!$B$2:$B$4692,0)),INDEX(Sensors_MANU!$C$2:$C$4692,MATCH($P82,Sensors_MANU!$A$2:$A$4692,0))),"")</f>
        <v/>
      </c>
      <c r="J82">
        <f>IFERROR(_xlfn.IFNA(INDEX(Sensors_MANU!$D$2:$D$4692,MATCH($D82,Sensors_MANU!$B$2:$B$4692,0)),INDEX(Sensors_MANU!$D$2:$D$4692,MATCH($P82,Sensors_MANU!$A$2:$A$4692,0))),"")</f>
        <v/>
      </c>
      <c r="K82" s="27" t="inlineStr">
        <is>
          <t>R3505</t>
        </is>
      </c>
      <c r="L82" s="27" t="inlineStr">
        <is>
          <t>4L</t>
        </is>
      </c>
      <c r="O82" s="6" t="inlineStr">
        <is>
          <t>V25</t>
        </is>
      </c>
    </row>
    <row r="83">
      <c r="A83" s="32">
        <f>IFERROR(_xlfn.IFNA(INDEX(Sensors_MANU!$E$2:$E$4692,MATCH($D83,Sensors_MANU!$B$2:$B$4692,0)),INDEX(Sensors_MANU!$E$2:$E$4692,MATCH($P83,Sensors_MANU!$A$2:$A$4692,0))),"")</f>
        <v/>
      </c>
      <c r="B83" s="24">
        <f>IFERROR(INDEX(Companies!$A$3:$A$101,MATCH(A83,Companies!$B$3:$B$101,0)),"")</f>
        <v/>
      </c>
      <c r="C83">
        <f>IFERROR(_xlfn.IFNA(INDEX(Sensors_MANU!$F$2:$F$4692,MATCH($D83,Sensors_MANU!$B$2:$B$4692,0)),INDEX(Sensors_MANU!$F$2:$F$4692,MATCH($P83,Sensors_MANU!$A$2:$A$4692,0))),"")</f>
        <v/>
      </c>
      <c r="D83" t="inlineStr">
        <is>
          <t>EA84A3C4015F</t>
        </is>
      </c>
      <c r="E83" s="24">
        <f>LEFT(D83,2)&amp;":"&amp;MID(D83,3,2)&amp;":"&amp;MID(D83,5,2)&amp;":"&amp;MID(D83,7,2)&amp;":"&amp;MID(D83,9,2)&amp;":"&amp;RIGHT(D83,2)</f>
        <v/>
      </c>
      <c r="F83" s="29" t="n">
        <v>44862</v>
      </c>
      <c r="G83" s="29" t="inlineStr">
        <is>
          <t>Fertagus</t>
        </is>
      </c>
      <c r="H83" t="inlineStr">
        <is>
          <t>7BB42F6F87D0C50A</t>
        </is>
      </c>
      <c r="I83">
        <f>IFERROR(_xlfn.IFNA(INDEX(Sensors_MANU!$C$2:$C$4692,MATCH($D83,Sensors_MANU!$B$2:$B$4692,0)),INDEX(Sensors_MANU!$C$2:$C$4692,MATCH($P83,Sensors_MANU!$A$2:$A$4692,0))),"")</f>
        <v/>
      </c>
      <c r="J83">
        <f>IFERROR(_xlfn.IFNA(INDEX(Sensors_MANU!$D$2:$D$4692,MATCH($D83,Sensors_MANU!$B$2:$B$4692,0)),INDEX(Sensors_MANU!$D$2:$D$4692,MATCH($P83,Sensors_MANU!$A$2:$A$4692,0))),"")</f>
        <v/>
      </c>
      <c r="K83" s="27" t="inlineStr">
        <is>
          <t>M3505</t>
        </is>
      </c>
      <c r="L83" s="27" t="inlineStr">
        <is>
          <t>4L</t>
        </is>
      </c>
      <c r="O83" s="6" t="inlineStr">
        <is>
          <t>V25</t>
        </is>
      </c>
    </row>
    <row r="84">
      <c r="A84" s="32">
        <f>IFERROR(_xlfn.IFNA(INDEX(Sensors_MANU!$E$2:$E$4692,MATCH($D84,Sensors_MANU!$B$2:$B$4692,0)),INDEX(Sensors_MANU!$E$2:$E$4692,MATCH($P84,Sensors_MANU!$A$2:$A$4692,0))),"")</f>
        <v/>
      </c>
      <c r="B84" s="24">
        <f>IFERROR(INDEX(Companies!$A$3:$A$101,MATCH(A84,Companies!$B$3:$B$101,0)),"")</f>
        <v/>
      </c>
      <c r="C84">
        <f>IFERROR(_xlfn.IFNA(INDEX(Sensors_MANU!$F$2:$F$4692,MATCH($D84,Sensors_MANU!$B$2:$B$4692,0)),INDEX(Sensors_MANU!$F$2:$F$4692,MATCH($P84,Sensors_MANU!$A$2:$A$4692,0))),"")</f>
        <v/>
      </c>
      <c r="D84" t="inlineStr">
        <is>
          <t>DDE9FE97BF03</t>
        </is>
      </c>
      <c r="E84" s="24">
        <f>LEFT(D84,2)&amp;":"&amp;MID(D84,3,2)&amp;":"&amp;MID(D84,5,2)&amp;":"&amp;MID(D84,7,2)&amp;":"&amp;MID(D84,9,2)&amp;":"&amp;RIGHT(D84,2)</f>
        <v/>
      </c>
      <c r="F84" s="29" t="n">
        <v>44862</v>
      </c>
      <c r="G84" s="29" t="inlineStr">
        <is>
          <t>Fertagus</t>
        </is>
      </c>
      <c r="H84" t="inlineStr">
        <is>
          <t>81FDFC1A3A535F5A</t>
        </is>
      </c>
      <c r="I84">
        <f>IFERROR(_xlfn.IFNA(INDEX(Sensors_MANU!$C$2:$C$4692,MATCH($D84,Sensors_MANU!$B$2:$B$4692,0)),INDEX(Sensors_MANU!$C$2:$C$4692,MATCH($P84,Sensors_MANU!$A$2:$A$4692,0))),"")</f>
        <v/>
      </c>
      <c r="J84">
        <f>IFERROR(_xlfn.IFNA(INDEX(Sensors_MANU!$D$2:$D$4692,MATCH($D84,Sensors_MANU!$B$2:$B$4692,0)),INDEX(Sensors_MANU!$D$2:$D$4692,MATCH($P84,Sensors_MANU!$A$2:$A$4692,0))),"")</f>
        <v/>
      </c>
      <c r="K84" s="27" t="inlineStr">
        <is>
          <t>M3555</t>
        </is>
      </c>
      <c r="L84" s="27" t="inlineStr">
        <is>
          <t>3L</t>
        </is>
      </c>
      <c r="O84" s="6" t="inlineStr">
        <is>
          <t>V25</t>
        </is>
      </c>
    </row>
    <row r="85">
      <c r="A85" s="32">
        <f>IFERROR(_xlfn.IFNA(INDEX(Sensors_MANU!$E$2:$E$4692,MATCH($D85,Sensors_MANU!$B$2:$B$4692,0)),INDEX(Sensors_MANU!$E$2:$E$4692,MATCH($P85,Sensors_MANU!$A$2:$A$4692,0))),"")</f>
        <v/>
      </c>
      <c r="B85" s="24">
        <f>IFERROR(INDEX(Companies!$A$3:$A$101,MATCH(A85,Companies!$B$3:$B$101,0)),"")</f>
        <v/>
      </c>
      <c r="C85">
        <f>IFERROR(_xlfn.IFNA(INDEX(Sensors_MANU!$F$2:$F$4692,MATCH($D85,Sensors_MANU!$B$2:$B$4692,0)),INDEX(Sensors_MANU!$F$2:$F$4692,MATCH($P85,Sensors_MANU!$A$2:$A$4692,0))),"")</f>
        <v/>
      </c>
      <c r="D85" t="inlineStr">
        <is>
          <t>E9DFB801EA87</t>
        </is>
      </c>
      <c r="E85" s="24">
        <f>LEFT(D85,2)&amp;":"&amp;MID(D85,3,2)&amp;":"&amp;MID(D85,5,2)&amp;":"&amp;MID(D85,7,2)&amp;":"&amp;MID(D85,9,2)&amp;":"&amp;RIGHT(D85,2)</f>
        <v/>
      </c>
      <c r="F85" s="29" t="n">
        <v>44862</v>
      </c>
      <c r="G85" s="29" t="inlineStr">
        <is>
          <t>Fertagus</t>
        </is>
      </c>
      <c r="H85" t="inlineStr">
        <is>
          <t>C77CE3A38A91B0FB</t>
        </is>
      </c>
      <c r="I85">
        <f>IFERROR(_xlfn.IFNA(INDEX(Sensors_MANU!$C$2:$C$4692,MATCH($D85,Sensors_MANU!$B$2:$B$4692,0)),INDEX(Sensors_MANU!$C$2:$C$4692,MATCH($P85,Sensors_MANU!$A$2:$A$4692,0))),"")</f>
        <v/>
      </c>
      <c r="J85">
        <f>IFERROR(_xlfn.IFNA(INDEX(Sensors_MANU!$D$2:$D$4692,MATCH($D85,Sensors_MANU!$B$2:$B$4692,0)),INDEX(Sensors_MANU!$D$2:$D$4692,MATCH($P85,Sensors_MANU!$A$2:$A$4692,0))),"")</f>
        <v/>
      </c>
      <c r="K85" s="27" t="inlineStr">
        <is>
          <t>R3505</t>
        </is>
      </c>
      <c r="L85" s="27" t="inlineStr">
        <is>
          <t>1R</t>
        </is>
      </c>
      <c r="O85" s="6" t="inlineStr">
        <is>
          <t>V25</t>
        </is>
      </c>
    </row>
    <row r="86">
      <c r="A86" s="32">
        <f>IFERROR(_xlfn.IFNA(INDEX(Sensors_MANU!$E$2:$E$4692,MATCH($D86,Sensors_MANU!$B$2:$B$4692,0)),INDEX(Sensors_MANU!$E$2:$E$4692,MATCH($P86,Sensors_MANU!$A$2:$A$4692,0))),"")</f>
        <v/>
      </c>
      <c r="B86" s="24">
        <f>IFERROR(INDEX(Companies!$A$3:$A$101,MATCH(A86,Companies!$B$3:$B$101,0)),"")</f>
        <v/>
      </c>
      <c r="C86">
        <f>IFERROR(_xlfn.IFNA(INDEX(Sensors_MANU!$F$2:$F$4692,MATCH($D86,Sensors_MANU!$B$2:$B$4692,0)),INDEX(Sensors_MANU!$F$2:$F$4692,MATCH($P86,Sensors_MANU!$A$2:$A$4692,0))),"")</f>
        <v/>
      </c>
      <c r="D86" t="inlineStr">
        <is>
          <t>D71C19449AB1</t>
        </is>
      </c>
      <c r="E86" s="24">
        <f>LEFT(D86,2)&amp;":"&amp;MID(D86,3,2)&amp;":"&amp;MID(D86,5,2)&amp;":"&amp;MID(D86,7,2)&amp;":"&amp;MID(D86,9,2)&amp;":"&amp;RIGHT(D86,2)</f>
        <v/>
      </c>
      <c r="F86" s="29" t="n">
        <v>44862</v>
      </c>
      <c r="G86" s="29" t="inlineStr">
        <is>
          <t>Fertagus</t>
        </is>
      </c>
      <c r="H86" t="inlineStr">
        <is>
          <t>F6BD7B2E26896524</t>
        </is>
      </c>
      <c r="I86">
        <f>IFERROR(_xlfn.IFNA(INDEX(Sensors_MANU!$C$2:$C$4692,MATCH($D86,Sensors_MANU!$B$2:$B$4692,0)),INDEX(Sensors_MANU!$C$2:$C$4692,MATCH($P86,Sensors_MANU!$A$2:$A$4692,0))),"")</f>
        <v/>
      </c>
      <c r="J86">
        <f>IFERROR(_xlfn.IFNA(INDEX(Sensors_MANU!$D$2:$D$4692,MATCH($D86,Sensors_MANU!$B$2:$B$4692,0)),INDEX(Sensors_MANU!$D$2:$D$4692,MATCH($P86,Sensors_MANU!$A$2:$A$4692,0))),"")</f>
        <v/>
      </c>
      <c r="K86" s="27" t="inlineStr">
        <is>
          <t>R3555</t>
        </is>
      </c>
      <c r="L86" s="27" t="inlineStr">
        <is>
          <t>2L</t>
        </is>
      </c>
      <c r="O86" s="6" t="inlineStr">
        <is>
          <t>V25</t>
        </is>
      </c>
    </row>
    <row r="87">
      <c r="A87" s="32">
        <f>IFERROR(_xlfn.IFNA(INDEX(Sensors_MANU!$E$2:$E$4692,MATCH($D87,Sensors_MANU!$B$2:$B$4692,0)),INDEX(Sensors_MANU!$E$2:$E$4692,MATCH($P87,Sensors_MANU!$A$2:$A$4692,0))),"")</f>
        <v/>
      </c>
      <c r="B87" s="24">
        <f>IFERROR(INDEX(Companies!$A$3:$A$101,MATCH(A87,Companies!$B$3:$B$101,0)),"")</f>
        <v/>
      </c>
      <c r="C87">
        <f>IFERROR(_xlfn.IFNA(INDEX(Sensors_MANU!$F$2:$F$4692,MATCH($D87,Sensors_MANU!$B$2:$B$4692,0)),INDEX(Sensors_MANU!$F$2:$F$4692,MATCH($P87,Sensors_MANU!$A$2:$A$4692,0))),"")</f>
        <v/>
      </c>
      <c r="D87" t="inlineStr">
        <is>
          <t>C42AC2AB2788</t>
        </is>
      </c>
      <c r="E87" s="24">
        <f>LEFT(D87,2)&amp;":"&amp;MID(D87,3,2)&amp;":"&amp;MID(D87,5,2)&amp;":"&amp;MID(D87,7,2)&amp;":"&amp;MID(D87,9,2)&amp;":"&amp;RIGHT(D87,2)</f>
        <v/>
      </c>
      <c r="F87" s="29" t="n">
        <v>44862</v>
      </c>
      <c r="G87" s="29" t="inlineStr">
        <is>
          <t>Fertagus</t>
        </is>
      </c>
      <c r="H87" t="inlineStr">
        <is>
          <t>429EACA72AA4303A</t>
        </is>
      </c>
      <c r="I87">
        <f>IFERROR(_xlfn.IFNA(INDEX(Sensors_MANU!$C$2:$C$4692,MATCH($D87,Sensors_MANU!$B$2:$B$4692,0)),INDEX(Sensors_MANU!$C$2:$C$4692,MATCH($P87,Sensors_MANU!$A$2:$A$4692,0))),"")</f>
        <v/>
      </c>
      <c r="J87">
        <f>IFERROR(_xlfn.IFNA(INDEX(Sensors_MANU!$D$2:$D$4692,MATCH($D87,Sensors_MANU!$B$2:$B$4692,0)),INDEX(Sensors_MANU!$D$2:$D$4692,MATCH($P87,Sensors_MANU!$A$2:$A$4692,0))),"")</f>
        <v/>
      </c>
      <c r="K87" s="27" t="inlineStr">
        <is>
          <t>R3555</t>
        </is>
      </c>
      <c r="L87" s="27" t="inlineStr">
        <is>
          <t>1L</t>
        </is>
      </c>
      <c r="O87" s="6" t="inlineStr">
        <is>
          <t>V25</t>
        </is>
      </c>
    </row>
    <row r="88">
      <c r="A88" s="32">
        <f>IFERROR(_xlfn.IFNA(INDEX(Sensors_MANU!$E$2:$E$4692,MATCH($D88,Sensors_MANU!$B$2:$B$4692,0)),INDEX(Sensors_MANU!$E$2:$E$4692,MATCH($P88,Sensors_MANU!$A$2:$A$4692,0))),"")</f>
        <v/>
      </c>
      <c r="B88" s="24">
        <f>IFERROR(INDEX(Companies!$A$3:$A$101,MATCH(A88,Companies!$B$3:$B$101,0)),"")</f>
        <v/>
      </c>
      <c r="C88">
        <f>IFERROR(_xlfn.IFNA(INDEX(Sensors_MANU!$F$2:$F$4692,MATCH($D88,Sensors_MANU!$B$2:$B$4692,0)),INDEX(Sensors_MANU!$F$2:$F$4692,MATCH($P88,Sensors_MANU!$A$2:$A$4692,0))),"")</f>
        <v/>
      </c>
      <c r="D88" t="inlineStr">
        <is>
          <t>D2AFB82EE1E2</t>
        </is>
      </c>
      <c r="E88" s="24">
        <f>LEFT(D88,2)&amp;":"&amp;MID(D88,3,2)&amp;":"&amp;MID(D88,5,2)&amp;":"&amp;MID(D88,7,2)&amp;":"&amp;MID(D88,9,2)&amp;":"&amp;RIGHT(D88,2)</f>
        <v/>
      </c>
      <c r="H88" t="inlineStr">
        <is>
          <t>DE3D65E472043558</t>
        </is>
      </c>
      <c r="I88">
        <f>IFERROR(_xlfn.IFNA(INDEX(Sensors_MANU!$C$2:$C$4692,MATCH($D88,Sensors_MANU!$B$2:$B$4692,0)),INDEX(Sensors_MANU!$C$2:$C$4692,MATCH($P88,Sensors_MANU!$A$2:$A$4692,0))),"")</f>
        <v/>
      </c>
      <c r="J88">
        <f>IFERROR(_xlfn.IFNA(INDEX(Sensors_MANU!$D$2:$D$4692,MATCH($D88,Sensors_MANU!$B$2:$B$4692,0)),INDEX(Sensors_MANU!$D$2:$D$4692,MATCH($P88,Sensors_MANU!$A$2:$A$4692,0))),"")</f>
        <v/>
      </c>
      <c r="O88" s="6" t="inlineStr">
        <is>
          <t>V23</t>
        </is>
      </c>
    </row>
    <row r="89">
      <c r="A89" s="32" t="inlineStr">
        <is>
          <t>DELPHISONIC</t>
        </is>
      </c>
      <c r="B89" s="24">
        <f>IFERROR(INDEX(Companies!$A$3:$A$101,MATCH(A89,Companies!$B$3:$B$101,0)),"")</f>
        <v/>
      </c>
      <c r="D89" t="inlineStr">
        <is>
          <t>EB5D5C8B6005</t>
        </is>
      </c>
      <c r="E89">
        <f>LEFT(D89,2)&amp;":"&amp;MID(D89,3,2)&amp;":"&amp;MID(D89,5,2)&amp;":"&amp;MID(D89,7,2)&amp;":"&amp;MID(D89,9,2)&amp;":"&amp;RIGHT(D89,2)</f>
        <v/>
      </c>
      <c r="H89" t="inlineStr">
        <is>
          <t>3A7BA05E105FE62B</t>
        </is>
      </c>
      <c r="I89">
        <f>IFERROR(_xlfn.IFNA(INDEX(Sensors_MANU!$C$2:$C$4692,MATCH($D89,Sensors_MANU!$B$2:$B$4692,0)),INDEX(Sensors_MANU!$C$2:$C$4692,MATCH($P89,Sensors_MANU!$A$2:$A$4692,0))),"")</f>
        <v/>
      </c>
      <c r="J89">
        <f>IFERROR(_xlfn.IFNA(INDEX(Sensors_MANU!$D$2:$D$4692,MATCH($D89,Sensors_MANU!$B$2:$B$4692,0)),INDEX(Sensors_MANU!$D$2:$D$4692,MATCH($P89,Sensors_MANU!$A$2:$A$4692,0))),"")</f>
        <v/>
      </c>
    </row>
    <row r="90">
      <c r="A90" s="32" t="inlineStr">
        <is>
          <t>VIEZO</t>
        </is>
      </c>
      <c r="B90" s="24">
        <f>IFERROR(INDEX(Companies!$A$3:$A$101,MATCH(A90,Companies!$B$3:$B$101,0)),"")</f>
        <v/>
      </c>
      <c r="D90" t="inlineStr">
        <is>
          <t>C7662F8CB00B</t>
        </is>
      </c>
      <c r="E90">
        <f>LEFT(D90,2)&amp;":"&amp;MID(D90,3,2)&amp;":"&amp;MID(D90,5,2)&amp;":"&amp;MID(D90,7,2)&amp;":"&amp;MID(D90,9,2)&amp;":"&amp;RIGHT(D90,2)</f>
        <v/>
      </c>
      <c r="H90" t="inlineStr">
        <is>
          <t>F0B00D136D4D8870</t>
        </is>
      </c>
      <c r="I90">
        <f>IFERROR(_xlfn.IFNA(INDEX(Sensors_MANU!$C$2:$C$4692,MATCH($D90,Sensors_MANU!$B$2:$B$4692,0)),INDEX(Sensors_MANU!$C$2:$C$4692,MATCH($P90,Sensors_MANU!$A$2:$A$4692,0))),"")</f>
        <v/>
      </c>
      <c r="J90">
        <f>IFERROR(_xlfn.IFNA(INDEX(Sensors_MANU!$D$2:$D$4692,MATCH($D90,Sensors_MANU!$B$2:$B$4692,0)),INDEX(Sensors_MANU!$D$2:$D$4692,MATCH($P90,Sensors_MANU!$A$2:$A$4692,0))),"")</f>
        <v/>
      </c>
    </row>
    <row r="91">
      <c r="A91" s="32" t="inlineStr">
        <is>
          <t>DELPHISONIC</t>
        </is>
      </c>
      <c r="B91" s="24">
        <f>IFERROR(INDEX(Companies!$A$3:$A$101,MATCH(A91,Companies!$B$3:$B$101,0)),"")</f>
        <v/>
      </c>
      <c r="D91" t="inlineStr">
        <is>
          <t>E9B20345D39B</t>
        </is>
      </c>
      <c r="E91">
        <f>LEFT(D91,2)&amp;":"&amp;MID(D91,3,2)&amp;":"&amp;MID(D91,5,2)&amp;":"&amp;MID(D91,7,2)&amp;":"&amp;MID(D91,9,2)&amp;":"&amp;RIGHT(D91,2)</f>
        <v/>
      </c>
      <c r="H91" t="inlineStr">
        <is>
          <t>A6EA1904318CA8D8</t>
        </is>
      </c>
      <c r="I91">
        <f>IFERROR(_xlfn.IFNA(INDEX(Sensors_MANU!$C$2:$C$4692,MATCH($D91,Sensors_MANU!$B$2:$B$4692,0)),INDEX(Sensors_MANU!$C$2:$C$4692,MATCH($P91,Sensors_MANU!$A$2:$A$4692,0))),"")</f>
        <v/>
      </c>
      <c r="J91">
        <f>IFERROR(_xlfn.IFNA(INDEX(Sensors_MANU!$D$2:$D$4692,MATCH($D91,Sensors_MANU!$B$2:$B$4692,0)),INDEX(Sensors_MANU!$D$2:$D$4692,MATCH($P91,Sensors_MANU!$A$2:$A$4692,0))),"")</f>
        <v/>
      </c>
    </row>
    <row r="92">
      <c r="A92" s="32" t="inlineStr">
        <is>
          <t>VIEZO</t>
        </is>
      </c>
      <c r="B92">
        <f>IFERROR(INDEX(Companies!$A$3:$A$101,MATCH(A84,Companies!$B$3:$B$101,0)),"")</f>
        <v/>
      </c>
      <c r="D92" t="inlineStr">
        <is>
          <t>DB79DB044093</t>
        </is>
      </c>
      <c r="E92" s="24">
        <f>LEFT(D92,2)&amp;":"&amp;MID(D92,3,2)&amp;":"&amp;MID(D92,5,2)&amp;":"&amp;MID(D92,7,2)&amp;":"&amp;MID(D92,9,2)&amp;":"&amp;RIGHT(D92,2)</f>
        <v/>
      </c>
      <c r="H92" t="inlineStr">
        <is>
          <t>49A73B375BED4EF4</t>
        </is>
      </c>
      <c r="I92">
        <f>IFERROR(_xlfn.IFNA(INDEX(Sensors_MANU!$C$2:$C$4692,MATCH($D92,Sensors_MANU!$B$2:$B$4692,0)),INDEX(Sensors_MANU!$C$2:$C$4692,MATCH($P92,Sensors_MANU!$A$2:$A$4692,0))),"")</f>
        <v/>
      </c>
      <c r="J92">
        <f>IFERROR(_xlfn.IFNA(INDEX(Sensors_MANU!$D$2:$D$4692,MATCH($D92,Sensors_MANU!$B$2:$B$4692,0)),INDEX(Sensors_MANU!$D$2:$D$4692,MATCH($P92,Sensors_MANU!$A$2:$A$4692,0))),"")</f>
        <v/>
      </c>
      <c r="N92" s="102" t="inlineStr">
        <is>
          <t>Prepared for Atex shipment. FW 2.1_0.11</t>
        </is>
      </c>
    </row>
    <row r="93">
      <c r="A93" s="32" t="inlineStr">
        <is>
          <t>VIEZO</t>
        </is>
      </c>
      <c r="B93" s="24">
        <f>IFERROR(INDEX(Companies!$A$3:$A$101,MATCH(A93,Companies!$B$3:$B$101,0)),"")</f>
        <v/>
      </c>
      <c r="D93" t="inlineStr">
        <is>
          <t>D442680A5311</t>
        </is>
      </c>
      <c r="E93" s="24">
        <f>LEFT(D93,2)&amp;":"&amp;MID(D93,3,2)&amp;":"&amp;MID(D93,5,2)&amp;":"&amp;MID(D93,7,2)&amp;":"&amp;MID(D93,9,2)&amp;":"&amp;RIGHT(D93,2)</f>
        <v/>
      </c>
      <c r="H93" t="inlineStr">
        <is>
          <t>B5033F53B17EDCD7</t>
        </is>
      </c>
      <c r="J93">
        <f>IFERROR(_xlfn.IFNA(INDEX(Sensors_MANU!$D$2:$D$4692,MATCH($D93,Sensors_MANU!$B$2:$B$4692,0)),INDEX(Sensors_MANU!$D$2:$D$4692,MATCH($P93,Sensors_MANU!$A$2:$A$4692,0))),"")</f>
        <v/>
      </c>
    </row>
    <row r="94">
      <c r="A94" s="32">
        <f>IFERROR(_xlfn.IFNA(INDEX(Sensors_MANU!$E$2:$E$4692,MATCH($D94,Sensors_MANU!$B$2:$B$4692,0)),INDEX(Sensors_MANU!$E$2:$E$4692,MATCH($P94,Sensors_MANU!$A$2:$A$4692,0))),"")</f>
        <v/>
      </c>
      <c r="B94">
        <f>IFERROR(INDEX(Companies!$A$3:$A$101,MATCH(A94,Companies!$B$3:$B$101,0)),"")</f>
        <v/>
      </c>
      <c r="D94" t="inlineStr">
        <is>
          <t>E6DBB39D6043</t>
        </is>
      </c>
      <c r="E94" s="24">
        <f>LEFT(D94,2)&amp;":"&amp;MID(D94,3,2)&amp;":"&amp;MID(D94,5,2)&amp;":"&amp;MID(D94,7,2)&amp;":"&amp;MID(D94,9,2)&amp;":"&amp;RIGHT(D94,2)</f>
        <v/>
      </c>
      <c r="H94" t="inlineStr">
        <is>
          <t>A3AED17B0D851F9F</t>
        </is>
      </c>
      <c r="J94" t="inlineStr">
        <is>
          <t>A3AED17B0D851F9F</t>
        </is>
      </c>
      <c r="N94" s="99" t="inlineStr">
        <is>
          <t>Nexxiot</t>
        </is>
      </c>
    </row>
    <row r="95">
      <c r="A95" s="32">
        <f>IFERROR(_xlfn.IFNA(INDEX(Sensors_MANU!$E$2:$E$4692,MATCH($D95,Sensors_MANU!$B$2:$B$4692,0)),INDEX(Sensors_MANU!$E$2:$E$4692,MATCH($P95,Sensors_MANU!$A$2:$A$4692,0))),"")</f>
        <v/>
      </c>
      <c r="B95">
        <f>IFERROR(INDEX(Companies!$A$3:$A$101,MATCH(A95,Companies!$B$3:$B$101,0)),"")</f>
        <v/>
      </c>
      <c r="D95" t="inlineStr">
        <is>
          <t>E8648BD88D40</t>
        </is>
      </c>
      <c r="E95" s="24">
        <f>LEFT(D95,2)&amp;":"&amp;MID(D95,3,2)&amp;":"&amp;MID(D95,5,2)&amp;":"&amp;MID(D95,7,2)&amp;":"&amp;MID(D95,9,2)&amp;":"&amp;RIGHT(D95,2)</f>
        <v/>
      </c>
      <c r="H95" t="inlineStr">
        <is>
          <t>6BC1BDF7B9129653</t>
        </is>
      </c>
      <c r="J95">
        <f>IFERROR(_xlfn.IFNA(INDEX(Sensors_MANU!$D$2:$D$4692,MATCH($D95,Sensors_MANU!$B$2:$B$4692,0)),INDEX(Sensors_MANU!$D$2:$D$4692,MATCH($P95,Sensors_MANU!$A$2:$A$4692,0))),"")</f>
        <v/>
      </c>
      <c r="N95" s="99" t="inlineStr">
        <is>
          <t>Nexxiot</t>
        </is>
      </c>
    </row>
    <row r="96">
      <c r="A96" s="32">
        <f>IFERROR(_xlfn.IFNA(INDEX(Sensors_MANU!$E$2:$E$4692,MATCH($D96,Sensors_MANU!$B$2:$B$4692,0)),INDEX(Sensors_MANU!$E$2:$E$4692,MATCH($P96,Sensors_MANU!$A$2:$A$4692,0))),"")</f>
        <v/>
      </c>
      <c r="B96">
        <f>IFERROR(INDEX(Companies!$A$3:$A$101,MATCH(A96,Companies!$B$3:$B$101,0)),"")</f>
        <v/>
      </c>
      <c r="D96" t="inlineStr">
        <is>
          <t>C416BB04EC40</t>
        </is>
      </c>
      <c r="E96" s="24">
        <f>LEFT(D96,2)&amp;":"&amp;MID(D96,3,2)&amp;":"&amp;MID(D96,5,2)&amp;":"&amp;MID(D96,7,2)&amp;":"&amp;MID(D96,9,2)&amp;":"&amp;RIGHT(D96,2)</f>
        <v/>
      </c>
      <c r="H96" t="inlineStr">
        <is>
          <t>3C8531F71883CB39</t>
        </is>
      </c>
      <c r="J96" t="inlineStr">
        <is>
          <t>3C8531F71883CB39</t>
        </is>
      </c>
      <c r="N96" s="99" t="inlineStr">
        <is>
          <t>Nexxiot</t>
        </is>
      </c>
    </row>
    <row r="97">
      <c r="A97" s="32">
        <f>IFERROR(_xlfn.IFNA(INDEX(Sensors_MANU!$E$2:$E$4692,MATCH($D97,Sensors_MANU!$B$2:$B$4692,0)),INDEX(Sensors_MANU!$E$2:$E$4692,MATCH($P97,Sensors_MANU!$A$2:$A$4692,0))),"")</f>
        <v/>
      </c>
      <c r="B97">
        <f>IFERROR(INDEX(Companies!$A$3:$A$101,MATCH(A97,Companies!$B$3:$B$101,0)),"")</f>
        <v/>
      </c>
      <c r="D97" t="inlineStr">
        <is>
          <t>C76B0E802375</t>
        </is>
      </c>
      <c r="E97" s="24">
        <f>LEFT(D97,2)&amp;":"&amp;MID(D97,3,2)&amp;":"&amp;MID(D97,5,2)&amp;":"&amp;MID(D97,7,2)&amp;":"&amp;MID(D97,9,2)&amp;":"&amp;RIGHT(D97,2)</f>
        <v/>
      </c>
      <c r="H97" t="inlineStr">
        <is>
          <t>2F2289907C78907E</t>
        </is>
      </c>
      <c r="J97" t="inlineStr">
        <is>
          <t>2F2289907C78907E</t>
        </is>
      </c>
      <c r="N97" s="99" t="inlineStr">
        <is>
          <t>Nexxiot</t>
        </is>
      </c>
    </row>
    <row r="98">
      <c r="A98" s="32">
        <f>IFERROR(_xlfn.IFNA(INDEX(Sensors_MANU!$E$2:$E$4692,MATCH($D98,Sensors_MANU!$B$2:$B$4692,0)),INDEX(Sensors_MANU!$E$2:$E$4692,MATCH($P98,Sensors_MANU!$A$2:$A$4692,0))),"")</f>
        <v/>
      </c>
      <c r="B98">
        <f>IFERROR(INDEX(Companies!$A$3:$A$101,MATCH(A98,Companies!$B$3:$B$101,0)),"")</f>
        <v/>
      </c>
      <c r="D98" t="inlineStr">
        <is>
          <t>D157493C396E</t>
        </is>
      </c>
      <c r="E98" s="24">
        <f>LEFT(D98,2)&amp;":"&amp;MID(D98,3,2)&amp;":"&amp;MID(D98,5,2)&amp;":"&amp;MID(D98,7,2)&amp;":"&amp;MID(D98,9,2)&amp;":"&amp;RIGHT(D98,2)</f>
        <v/>
      </c>
      <c r="H98" t="inlineStr">
        <is>
          <t>2D2BA36A6F907ADE</t>
        </is>
      </c>
      <c r="J98">
        <f>IFERROR(_xlfn.IFNA(INDEX(Sensors_MANU!$D$2:$D$4692,MATCH($D98,Sensors_MANU!$B$2:$B$4692,0)),INDEX(Sensors_MANU!$D$2:$D$4692,MATCH($P98,Sensors_MANU!$A$2:$A$4692,0))),"")</f>
        <v/>
      </c>
      <c r="N98" s="99" t="inlineStr">
        <is>
          <t>Nexxiot</t>
        </is>
      </c>
    </row>
    <row r="99">
      <c r="A99" s="32">
        <f>IFERROR(_xlfn.IFNA(INDEX(Sensors_MANU!$E$2:$E$4692,MATCH($D99,Sensors_MANU!$B$2:$B$4692,0)),INDEX(Sensors_MANU!$E$2:$E$4692,MATCH($P99,Sensors_MANU!$A$2:$A$4692,0))),"")</f>
        <v/>
      </c>
      <c r="B99">
        <f>IFERROR(INDEX(Companies!$A$3:$A$101,MATCH(A99,Companies!$B$3:$B$101,0)),"")</f>
        <v/>
      </c>
      <c r="D99" t="inlineStr">
        <is>
          <t>C40DDA52A76B</t>
        </is>
      </c>
      <c r="E99" s="24">
        <f>LEFT(D99,2)&amp;":"&amp;MID(D99,3,2)&amp;":"&amp;MID(D99,5,2)&amp;":"&amp;MID(D99,7,2)&amp;":"&amp;MID(D99,9,2)&amp;":"&amp;RIGHT(D99,2)</f>
        <v/>
      </c>
      <c r="H99" t="inlineStr">
        <is>
          <t>2C2B8B15E3BD705F</t>
        </is>
      </c>
      <c r="J99" t="inlineStr">
        <is>
          <t>2C2B8B15E3BD705F</t>
        </is>
      </c>
      <c r="N99" s="99" t="inlineStr">
        <is>
          <t>Nexxiot</t>
        </is>
      </c>
    </row>
    <row r="100">
      <c r="A100" s="32">
        <f>IFERROR(_xlfn.IFNA(INDEX(Sensors_MANU!$E$2:$E$4692,MATCH($D100,Sensors_MANU!$B$2:$B$4692,0)),INDEX(Sensors_MANU!$E$2:$E$4692,MATCH($P100,Sensors_MANU!$A$2:$A$4692,0))),"")</f>
        <v/>
      </c>
      <c r="B100">
        <f>IFERROR(INDEX(Companies!$A$3:$A$101,MATCH(A100,Companies!$B$3:$B$101,0)),"")</f>
        <v/>
      </c>
      <c r="D100" t="inlineStr">
        <is>
          <t>E523D56D0543</t>
        </is>
      </c>
      <c r="E100" s="24">
        <f>LEFT(D100,2)&amp;":"&amp;MID(D100,3,2)&amp;":"&amp;MID(D100,5,2)&amp;":"&amp;MID(D100,7,2)&amp;":"&amp;MID(D100,9,2)&amp;":"&amp;RIGHT(D100,2)</f>
        <v/>
      </c>
      <c r="H100" t="inlineStr">
        <is>
          <t>DE2C2760AEEBE897</t>
        </is>
      </c>
      <c r="J100" t="inlineStr">
        <is>
          <t>DE2C2760AEEBE897</t>
        </is>
      </c>
      <c r="N100" s="99" t="inlineStr">
        <is>
          <t>Nexxiot</t>
        </is>
      </c>
    </row>
    <row r="101">
      <c r="A101" s="32">
        <f>IFERROR(_xlfn.IFNA(INDEX(Sensors_MANU!$E$2:$E$4692,MATCH($D101,Sensors_MANU!$B$2:$B$4692,0)),INDEX(Sensors_MANU!$E$2:$E$4692,MATCH($P101,Sensors_MANU!$A$2:$A$4692,0))),"")</f>
        <v/>
      </c>
      <c r="B101">
        <f>IFERROR(INDEX(Companies!$A$3:$A$101,MATCH(A101,Companies!$B$3:$B$101,0)),"")</f>
        <v/>
      </c>
      <c r="D101" t="inlineStr">
        <is>
          <t>D57A800A996E</t>
        </is>
      </c>
      <c r="E101" s="24">
        <f>LEFT(D101,2)&amp;":"&amp;MID(D101,3,2)&amp;":"&amp;MID(D101,5,2)&amp;":"&amp;MID(D101,7,2)&amp;":"&amp;MID(D101,9,2)&amp;":"&amp;RIGHT(D101,2)</f>
        <v/>
      </c>
      <c r="H101" t="inlineStr">
        <is>
          <t>72133BA164502C5B</t>
        </is>
      </c>
      <c r="J101" t="inlineStr">
        <is>
          <t>72133BA164502C5B</t>
        </is>
      </c>
      <c r="N101" s="99" t="inlineStr">
        <is>
          <t>Nexxiot</t>
        </is>
      </c>
    </row>
    <row r="102">
      <c r="A102" s="32">
        <f>IFERROR(_xlfn.IFNA(INDEX(Sensors_MANU!$E$2:$E$4692,MATCH($D102,Sensors_MANU!$B$2:$B$4692,0)),INDEX(Sensors_MANU!$E$2:$E$4692,MATCH($P102,Sensors_MANU!$A$2:$A$4692,0))),"")</f>
        <v/>
      </c>
      <c r="B102">
        <f>IFERROR(INDEX(Companies!$A$3:$A$101,MATCH(A102,Companies!$B$3:$B$101,0)),"")</f>
        <v/>
      </c>
      <c r="D102" t="inlineStr">
        <is>
          <t>D785105FF0A8</t>
        </is>
      </c>
      <c r="E102" s="24">
        <f>LEFT(D102,2)&amp;":"&amp;MID(D102,3,2)&amp;":"&amp;MID(D102,5,2)&amp;":"&amp;MID(D102,7,2)&amp;":"&amp;MID(D102,9,2)&amp;":"&amp;RIGHT(D102,2)</f>
        <v/>
      </c>
      <c r="H102" t="inlineStr">
        <is>
          <t>640DA12C92328B4A</t>
        </is>
      </c>
      <c r="J102" t="inlineStr">
        <is>
          <t>640DA12C92328B4A</t>
        </is>
      </c>
      <c r="N102" s="99" t="inlineStr">
        <is>
          <t>Nexxiot</t>
        </is>
      </c>
    </row>
    <row r="103">
      <c r="A103" s="32">
        <f>IFERROR(_xlfn.IFNA(INDEX(Sensors_MANU!$E$2:$E$4692,MATCH($D103,Sensors_MANU!$B$2:$B$4692,0)),INDEX(Sensors_MANU!$E$2:$E$4692,MATCH($P103,Sensors_MANU!$A$2:$A$4692,0))),"")</f>
        <v/>
      </c>
      <c r="B103">
        <f>IFERROR(INDEX(Companies!$A$3:$A$101,MATCH(A103,Companies!$B$3:$B$101,0)),"")</f>
        <v/>
      </c>
      <c r="D103" t="inlineStr">
        <is>
          <t>EF50E81346CC</t>
        </is>
      </c>
      <c r="E103" s="24">
        <f>LEFT(D103,2)&amp;":"&amp;MID(D103,3,2)&amp;":"&amp;MID(D103,5,2)&amp;":"&amp;MID(D103,7,2)&amp;":"&amp;MID(D103,9,2)&amp;":"&amp;RIGHT(D103,2)</f>
        <v/>
      </c>
      <c r="H103" t="inlineStr">
        <is>
          <t>208017505BD68006</t>
        </is>
      </c>
      <c r="J103" t="inlineStr">
        <is>
          <t>208017505BD68006</t>
        </is>
      </c>
      <c r="N103" s="99" t="inlineStr">
        <is>
          <t>Nexxiot</t>
        </is>
      </c>
    </row>
    <row r="104">
      <c r="A104" s="32">
        <f>IFERROR(_xlfn.IFNA(INDEX(Sensors_MANU!$E$2:$E$4692,MATCH($D104,Sensors_MANU!$B$2:$B$4692,0)),INDEX(Sensors_MANU!$E$2:$E$4692,MATCH($P104,Sensors_MANU!$A$2:$A$4692,0))),"")</f>
        <v/>
      </c>
      <c r="B104">
        <f>IFERROR(INDEX(Companies!$A$3:$A$101,MATCH(A104,Companies!$B$3:$B$101,0)),"")</f>
        <v/>
      </c>
      <c r="D104" t="inlineStr">
        <is>
          <t>E6602F85FAA2</t>
        </is>
      </c>
      <c r="E104" s="24">
        <f>LEFT(D104,2)&amp;":"&amp;MID(D104,3,2)&amp;":"&amp;MID(D104,5,2)&amp;":"&amp;MID(D104,7,2)&amp;":"&amp;MID(D104,9,2)&amp;":"&amp;RIGHT(D104,2)</f>
        <v/>
      </c>
      <c r="H104" t="inlineStr">
        <is>
          <t>3EC455AF192C1E29</t>
        </is>
      </c>
      <c r="J104" t="inlineStr">
        <is>
          <t>3EC455AF192C1E29</t>
        </is>
      </c>
      <c r="N104" s="99" t="inlineStr">
        <is>
          <t>Nexxiot</t>
        </is>
      </c>
    </row>
    <row r="105">
      <c r="A105" s="32">
        <f>IFERROR(_xlfn.IFNA(INDEX(Sensors_MANU!$E$2:$E$4692,MATCH($D105,Sensors_MANU!$B$2:$B$4692,0)),INDEX(Sensors_MANU!$E$2:$E$4692,MATCH($P105,Sensors_MANU!$A$2:$A$4692,0))),"")</f>
        <v/>
      </c>
      <c r="B105">
        <f>IFERROR(INDEX(Companies!$A$3:$A$101,MATCH(A105,Companies!$B$3:$B$101,0)),"")</f>
        <v/>
      </c>
      <c r="D105" t="inlineStr">
        <is>
          <t>C9EE72117C60</t>
        </is>
      </c>
      <c r="E105" s="24">
        <f>LEFT(D105,2)&amp;":"&amp;MID(D105,3,2)&amp;":"&amp;MID(D105,5,2)&amp;":"&amp;MID(D105,7,2)&amp;":"&amp;MID(D105,9,2)&amp;":"&amp;RIGHT(D105,2)</f>
        <v/>
      </c>
      <c r="H105" t="inlineStr">
        <is>
          <t>80FB3724EEF83411</t>
        </is>
      </c>
      <c r="J105">
        <f>IFERROR(_xlfn.IFNA(INDEX(Sensors_MANU!$D$2:$D$4692,MATCH($D105,Sensors_MANU!$B$2:$B$4692,0)),INDEX(Sensors_MANU!$D$2:$D$4692,MATCH($P105,Sensors_MANU!$A$2:$A$4692,0))),"")</f>
        <v/>
      </c>
      <c r="N105" s="99" t="inlineStr">
        <is>
          <t>Nexxiot</t>
        </is>
      </c>
    </row>
    <row r="106">
      <c r="A106" s="32">
        <f>IFERROR(_xlfn.IFNA(INDEX(Sensors_MANU!$E$2:$E$4692,MATCH($D106,Sensors_MANU!$B$2:$B$4692,0)),INDEX(Sensors_MANU!$E$2:$E$4692,MATCH($P106,Sensors_MANU!$A$2:$A$4692,0))),"")</f>
        <v/>
      </c>
      <c r="B106">
        <f>IFERROR(INDEX(Companies!$A$3:$A$101,MATCH(A106,Companies!$B$3:$B$101,0)),"")</f>
        <v/>
      </c>
      <c r="D106" t="inlineStr">
        <is>
          <t>CA305A57656D</t>
        </is>
      </c>
      <c r="E106" s="24">
        <f>LEFT(D106,2)&amp;":"&amp;MID(D106,3,2)&amp;":"&amp;MID(D106,5,2)&amp;":"&amp;MID(D106,7,2)&amp;":"&amp;MID(D106,9,2)&amp;":"&amp;RIGHT(D106,2)</f>
        <v/>
      </c>
      <c r="H106" t="inlineStr">
        <is>
          <t>49EBEF725264A262</t>
        </is>
      </c>
      <c r="J106" t="inlineStr">
        <is>
          <t>49EBEF725264A262</t>
        </is>
      </c>
      <c r="N106" s="99" t="inlineStr">
        <is>
          <t>Nexxiot</t>
        </is>
      </c>
    </row>
    <row r="107">
      <c r="A107" s="32">
        <f>IFERROR(_xlfn.IFNA(INDEX(Sensors_MANU!$E$2:$E$4692,MATCH($D107,Sensors_MANU!$B$2:$B$4692,0)),INDEX(Sensors_MANU!$E$2:$E$4692,MATCH($P107,Sensors_MANU!$A$2:$A$4692,0))),"")</f>
        <v/>
      </c>
      <c r="B107">
        <f>IFERROR(INDEX(Companies!$A$3:$A$101,MATCH(A107,Companies!$B$3:$B$101,0)),"")</f>
        <v/>
      </c>
      <c r="D107" t="inlineStr">
        <is>
          <t>D725B881B6D7</t>
        </is>
      </c>
      <c r="E107" s="24">
        <f>LEFT(D107,2)&amp;":"&amp;MID(D107,3,2)&amp;":"&amp;MID(D107,5,2)&amp;":"&amp;MID(D107,7,2)&amp;":"&amp;MID(D107,9,2)&amp;":"&amp;RIGHT(D107,2)</f>
        <v/>
      </c>
      <c r="H107" t="inlineStr">
        <is>
          <t>6318C76C2CE93257</t>
        </is>
      </c>
      <c r="J107" t="inlineStr">
        <is>
          <t>6318C76C2CE93257</t>
        </is>
      </c>
      <c r="N107" s="99" t="inlineStr">
        <is>
          <t>Nexxiot</t>
        </is>
      </c>
    </row>
    <row r="108">
      <c r="A108" s="32">
        <f>IFERROR(_xlfn.IFNA(INDEX(Sensors_MANU!$E$2:$E$4692,MATCH($D108,Sensors_MANU!$B$2:$B$4692,0)),INDEX(Sensors_MANU!$E$2:$E$4692,MATCH($P108,Sensors_MANU!$A$2:$A$4692,0))),"")</f>
        <v/>
      </c>
      <c r="B108">
        <f>IFERROR(INDEX(Companies!$A$3:$A$101,MATCH(A108,Companies!$B$3:$B$101,0)),"")</f>
        <v/>
      </c>
      <c r="D108" t="inlineStr">
        <is>
          <t>EB340C4662D0</t>
        </is>
      </c>
      <c r="E108" s="24">
        <f>LEFT(D108,2)&amp;":"&amp;MID(D108,3,2)&amp;":"&amp;MID(D108,5,2)&amp;":"&amp;MID(D108,7,2)&amp;":"&amp;MID(D108,9,2)&amp;":"&amp;RIGHT(D108,2)</f>
        <v/>
      </c>
      <c r="H108" t="inlineStr">
        <is>
          <t>3D3FAD46F80C8169</t>
        </is>
      </c>
      <c r="J108" t="inlineStr">
        <is>
          <t>3D3FAD46F80C8169</t>
        </is>
      </c>
      <c r="N108" s="99" t="inlineStr">
        <is>
          <t>Nexxiot</t>
        </is>
      </c>
    </row>
    <row r="109">
      <c r="A109" s="32">
        <f>IFERROR(_xlfn.IFNA(INDEX(Sensors_MANU!$E$2:$E$4692,MATCH($D109,Sensors_MANU!$B$2:$B$4692,0)),INDEX(Sensors_MANU!$E$2:$E$4692,MATCH($P109,Sensors_MANU!$A$2:$A$4692,0))),"")</f>
        <v/>
      </c>
      <c r="B109">
        <f>IFERROR(INDEX(Companies!$A$3:$A$101,MATCH(A109,Companies!$B$3:$B$101,0)),"")</f>
        <v/>
      </c>
      <c r="D109" t="inlineStr">
        <is>
          <t>D87E70C97A2B</t>
        </is>
      </c>
      <c r="E109" s="24">
        <f>LEFT(D109,2)&amp;":"&amp;MID(D109,3,2)&amp;":"&amp;MID(D109,5,2)&amp;":"&amp;MID(D109,7,2)&amp;":"&amp;MID(D109,9,2)&amp;":"&amp;RIGHT(D109,2)</f>
        <v/>
      </c>
      <c r="H109" t="inlineStr">
        <is>
          <t>519006086D09F33A</t>
        </is>
      </c>
      <c r="J109" t="inlineStr">
        <is>
          <t>519006086D09F33A</t>
        </is>
      </c>
      <c r="N109" s="99" t="inlineStr">
        <is>
          <t>Nexxiot</t>
        </is>
      </c>
    </row>
    <row r="110">
      <c r="A110" s="32">
        <f>IFERROR(_xlfn.IFNA(INDEX(Sensors_MANU!$E$2:$E$4692,MATCH($D110,Sensors_MANU!$B$2:$B$4692,0)),INDEX(Sensors_MANU!$E$2:$E$4692,MATCH($P110,Sensors_MANU!$A$2:$A$4692,0))),"")</f>
        <v/>
      </c>
      <c r="B110">
        <f>IFERROR(INDEX(Companies!$A$3:$A$101,MATCH(A110,Companies!$B$3:$B$101,0)),"")</f>
        <v/>
      </c>
      <c r="D110" t="inlineStr">
        <is>
          <t>C08CA73404CD</t>
        </is>
      </c>
      <c r="E110" s="24">
        <f>LEFT(D110,2)&amp;":"&amp;MID(D110,3,2)&amp;":"&amp;MID(D110,5,2)&amp;":"&amp;MID(D110,7,2)&amp;":"&amp;MID(D110,9,2)&amp;":"&amp;RIGHT(D110,2)</f>
        <v/>
      </c>
      <c r="H110" t="inlineStr">
        <is>
          <t>8A2369B0AD566EFB</t>
        </is>
      </c>
      <c r="J110" t="inlineStr">
        <is>
          <t>8A2369B0AD566EFB</t>
        </is>
      </c>
      <c r="N110" s="99" t="inlineStr">
        <is>
          <t>Nexxiot</t>
        </is>
      </c>
    </row>
    <row r="111">
      <c r="A111" s="32">
        <f>IFERROR(_xlfn.IFNA(INDEX(Sensors_MANU!$E$2:$E$4692,MATCH($D111,Sensors_MANU!$B$2:$B$4692,0)),INDEX(Sensors_MANU!$E$2:$E$4692,MATCH($P111,Sensors_MANU!$A$2:$A$4692,0))),"")</f>
        <v/>
      </c>
      <c r="B111">
        <f>IFERROR(INDEX(Companies!$A$3:$A$101,MATCH(A111,Companies!$B$3:$B$101,0)),"")</f>
        <v/>
      </c>
      <c r="D111" t="inlineStr">
        <is>
          <t>C95EDACDF808</t>
        </is>
      </c>
      <c r="E111" s="24">
        <f>LEFT(D111,2)&amp;":"&amp;MID(D111,3,2)&amp;":"&amp;MID(D111,5,2)&amp;":"&amp;MID(D111,7,2)&amp;":"&amp;MID(D111,9,2)&amp;":"&amp;RIGHT(D111,2)</f>
        <v/>
      </c>
      <c r="H111" t="inlineStr">
        <is>
          <t>3C63B128B32C8F33</t>
        </is>
      </c>
      <c r="J111" t="inlineStr">
        <is>
          <t>3C63B128B32C8F33</t>
        </is>
      </c>
      <c r="N111" s="99" t="inlineStr">
        <is>
          <t>Nexxiot</t>
        </is>
      </c>
    </row>
    <row r="112">
      <c r="A112" s="32">
        <f>IFERROR(_xlfn.IFNA(INDEX(Sensors_MANU!$E$2:$E$4692,MATCH($D112,Sensors_MANU!$B$2:$B$4692,0)),INDEX(Sensors_MANU!$E$2:$E$4692,MATCH($P112,Sensors_MANU!$A$2:$A$4692,0))),"")</f>
        <v/>
      </c>
      <c r="B112">
        <f>IFERROR(INDEX(Companies!$A$3:$A$101,MATCH(A112,Companies!$B$3:$B$101,0)),"")</f>
        <v/>
      </c>
      <c r="D112" t="inlineStr">
        <is>
          <t>E525390D7E2C</t>
        </is>
      </c>
      <c r="E112" s="24">
        <f>LEFT(D112,2)&amp;":"&amp;MID(D112,3,2)&amp;":"&amp;MID(D112,5,2)&amp;":"&amp;MID(D112,7,2)&amp;":"&amp;MID(D112,9,2)&amp;":"&amp;RIGHT(D112,2)</f>
        <v/>
      </c>
      <c r="H112" t="inlineStr">
        <is>
          <t>B0F251AFA10EEE69</t>
        </is>
      </c>
      <c r="J112" t="inlineStr">
        <is>
          <t>B0F251AFA10EEE69</t>
        </is>
      </c>
      <c r="N112" s="99" t="inlineStr">
        <is>
          <t>Nexxiot</t>
        </is>
      </c>
    </row>
    <row r="113">
      <c r="A113" s="32">
        <f>IFERROR(_xlfn.IFNA(INDEX(Sensors_MANU!$E$2:$E$4692,MATCH($D113,Sensors_MANU!$B$2:$B$4692,0)),INDEX(Sensors_MANU!$E$2:$E$4692,MATCH($P113,Sensors_MANU!$A$2:$A$4692,0))),"")</f>
        <v/>
      </c>
      <c r="B113">
        <f>IFERROR(INDEX(Companies!$A$3:$A$101,MATCH(A113,Companies!$B$3:$B$101,0)),"")</f>
        <v/>
      </c>
      <c r="D113" t="inlineStr">
        <is>
          <t>F4D9DE1E02E1</t>
        </is>
      </c>
      <c r="E113" s="24">
        <f>LEFT(D113,2)&amp;":"&amp;MID(D113,3,2)&amp;":"&amp;MID(D113,5,2)&amp;":"&amp;MID(D113,7,2)&amp;":"&amp;MID(D113,9,2)&amp;":"&amp;RIGHT(D113,2)</f>
        <v/>
      </c>
      <c r="H113" t="inlineStr">
        <is>
          <t>AE4E22602C9CB6DF</t>
        </is>
      </c>
      <c r="J113" t="inlineStr">
        <is>
          <t>AE4E22602C9CB6DF</t>
        </is>
      </c>
      <c r="N113" s="99" t="inlineStr">
        <is>
          <t>Nexxiot</t>
        </is>
      </c>
    </row>
    <row r="114">
      <c r="A114" s="32">
        <f>IFERROR(_xlfn.IFNA(INDEX(Sensors_MANU!$E$2:$E$4692,MATCH($D114,Sensors_MANU!$B$2:$B$4692,0)),INDEX(Sensors_MANU!$E$2:$E$4692,MATCH($P114,Sensors_MANU!$A$2:$A$4692,0))),"")</f>
        <v/>
      </c>
      <c r="B114">
        <f>IFERROR(INDEX(Companies!$A$3:$A$101,MATCH(A114,Companies!$B$3:$B$101,0)),"")</f>
        <v/>
      </c>
      <c r="D114" t="inlineStr">
        <is>
          <t>E3F4B1E0F246</t>
        </is>
      </c>
      <c r="E114" s="24">
        <f>LEFT(D114,2)&amp;":"&amp;MID(D114,3,2)&amp;":"&amp;MID(D114,5,2)&amp;":"&amp;MID(D114,7,2)&amp;":"&amp;MID(D114,9,2)&amp;":"&amp;RIGHT(D114,2)</f>
        <v/>
      </c>
      <c r="H114" t="inlineStr">
        <is>
          <t>D58D2279DDD6CF4F</t>
        </is>
      </c>
      <c r="J114" t="inlineStr">
        <is>
          <t>D58D2279DDD6CF4F</t>
        </is>
      </c>
      <c r="N114" s="99" t="inlineStr">
        <is>
          <t>Nexxiot</t>
        </is>
      </c>
    </row>
    <row r="115">
      <c r="A115" s="32">
        <f>IFERROR(_xlfn.IFNA(INDEX(Sensors_MANU!$E$2:$E$4692,MATCH($D115,Sensors_MANU!$B$2:$B$4692,0)),INDEX(Sensors_MANU!$E$2:$E$4692,MATCH($P115,Sensors_MANU!$A$2:$A$4692,0))),"")</f>
        <v/>
      </c>
      <c r="B115">
        <f>IFERROR(INDEX(Companies!$A$3:$A$101,MATCH(A115,Companies!$B$3:$B$101,0)),"")</f>
        <v/>
      </c>
      <c r="D115" t="inlineStr">
        <is>
          <t>CB6863396BC5</t>
        </is>
      </c>
      <c r="E115" s="24">
        <f>LEFT(D115,2)&amp;":"&amp;MID(D115,3,2)&amp;":"&amp;MID(D115,5,2)&amp;":"&amp;MID(D115,7,2)&amp;":"&amp;MID(D115,9,2)&amp;":"&amp;RIGHT(D115,2)</f>
        <v/>
      </c>
      <c r="H115" t="inlineStr">
        <is>
          <t>10FB369C3D4AAF49</t>
        </is>
      </c>
      <c r="J115" t="inlineStr">
        <is>
          <t>10FB369C3D4AAF49</t>
        </is>
      </c>
      <c r="N115" s="99" t="inlineStr">
        <is>
          <t>Nexxiot</t>
        </is>
      </c>
    </row>
    <row r="116">
      <c r="A116" s="32">
        <f>IFERROR(_xlfn.IFNA(INDEX(Sensors_MANU!$E$2:$E$4692,MATCH($D116,Sensors_MANU!$B$2:$B$4692,0)),INDEX(Sensors_MANU!$E$2:$E$4692,MATCH($P116,Sensors_MANU!$A$2:$A$4692,0))),"")</f>
        <v/>
      </c>
      <c r="B116">
        <f>IFERROR(INDEX(Companies!$A$3:$A$101,MATCH(A116,Companies!$B$3:$B$101,0)),"")</f>
        <v/>
      </c>
      <c r="D116" t="inlineStr">
        <is>
          <t>D3E5F2B80C8B</t>
        </is>
      </c>
      <c r="E116" s="24">
        <f>LEFT(D116,2)&amp;":"&amp;MID(D116,3,2)&amp;":"&amp;MID(D116,5,2)&amp;":"&amp;MID(D116,7,2)&amp;":"&amp;MID(D116,9,2)&amp;":"&amp;RIGHT(D116,2)</f>
        <v/>
      </c>
      <c r="H116" t="inlineStr">
        <is>
          <t>194FDF9B67D9AAD7</t>
        </is>
      </c>
      <c r="J116" t="inlineStr">
        <is>
          <t>194FDF9B67D9AAD7</t>
        </is>
      </c>
      <c r="N116" s="99" t="inlineStr">
        <is>
          <t>Nexxiot</t>
        </is>
      </c>
    </row>
    <row r="117">
      <c r="A117" s="32">
        <f>IFERROR(_xlfn.IFNA(INDEX(Sensors_MANU!$E$2:$E$4692,MATCH($D117,Sensors_MANU!$B$2:$B$4692,0)),INDEX(Sensors_MANU!$E$2:$E$4692,MATCH($P117,Sensors_MANU!$A$2:$A$4692,0))),"")</f>
        <v/>
      </c>
      <c r="B117">
        <f>IFERROR(INDEX(Companies!$A$3:$A$101,MATCH(A117,Companies!$B$3:$B$101,0)),"")</f>
        <v/>
      </c>
      <c r="D117" t="inlineStr">
        <is>
          <t>EA0295C9042F</t>
        </is>
      </c>
      <c r="E117" s="24">
        <f>LEFT(D117,2)&amp;":"&amp;MID(D117,3,2)&amp;":"&amp;MID(D117,5,2)&amp;":"&amp;MID(D117,7,2)&amp;":"&amp;MID(D117,9,2)&amp;":"&amp;RIGHT(D117,2)</f>
        <v/>
      </c>
      <c r="H117" t="inlineStr">
        <is>
          <t>9A3E6FB59BAB1FE0</t>
        </is>
      </c>
      <c r="J117" t="inlineStr">
        <is>
          <t>9A3E6FB59BAB1FE0</t>
        </is>
      </c>
      <c r="N117" s="99" t="inlineStr">
        <is>
          <t>Nexxiot</t>
        </is>
      </c>
    </row>
    <row r="118">
      <c r="A118" s="32">
        <f>IFERROR(_xlfn.IFNA(INDEX(Sensors_MANU!$E$2:$E$4692,MATCH($D118,Sensors_MANU!$B$2:$B$4692,0)),INDEX(Sensors_MANU!$E$2:$E$4692,MATCH($P118,Sensors_MANU!$A$2:$A$4692,0))),"")</f>
        <v/>
      </c>
      <c r="B118">
        <f>IFERROR(INDEX(Companies!$A$3:$A$101,MATCH(A118,Companies!$B$3:$B$101,0)),"")</f>
        <v/>
      </c>
      <c r="D118" t="inlineStr">
        <is>
          <t>DB9C12AF3153</t>
        </is>
      </c>
      <c r="E118" s="24">
        <f>LEFT(D118,2)&amp;":"&amp;MID(D118,3,2)&amp;":"&amp;MID(D118,5,2)&amp;":"&amp;MID(D118,7,2)&amp;":"&amp;MID(D118,9,2)&amp;":"&amp;RIGHT(D118,2)</f>
        <v/>
      </c>
      <c r="H118" t="inlineStr">
        <is>
          <t>46D448BCD8C676B0</t>
        </is>
      </c>
      <c r="J118" t="inlineStr">
        <is>
          <t>46D448BCD8C676B0</t>
        </is>
      </c>
      <c r="N118" s="99" t="inlineStr">
        <is>
          <t>Nexxiot</t>
        </is>
      </c>
    </row>
    <row r="119">
      <c r="A119" s="32" t="inlineStr">
        <is>
          <t>TALGO</t>
        </is>
      </c>
      <c r="B119">
        <f>IFERROR(INDEX(Companies!$A$3:$A$101,MATCH(A119,Companies!$B$3:$B$101,0)),"")</f>
        <v/>
      </c>
      <c r="D119" t="inlineStr">
        <is>
          <t>EFFD0A0CB6C4</t>
        </is>
      </c>
      <c r="E119" s="24">
        <f>LEFT(D119,2)&amp;":"&amp;MID(D119,3,2)&amp;":"&amp;MID(D119,5,2)&amp;":"&amp;MID(D119,7,2)&amp;":"&amp;MID(D119,9,2)&amp;":"&amp;RIGHT(D119,2)</f>
        <v/>
      </c>
      <c r="H119" t="inlineStr">
        <is>
          <t>E6473423B53F3505</t>
        </is>
      </c>
      <c r="J119" t="inlineStr">
        <is>
          <t>E6473423B53F3505</t>
        </is>
      </c>
      <c r="N119" s="99" t="inlineStr">
        <is>
          <t>Nexxiot</t>
        </is>
      </c>
    </row>
    <row r="120">
      <c r="A120" s="32">
        <f>IFERROR(_xlfn.IFNA(INDEX(Sensors_MANU!$E$2:$E$4692,MATCH($D120,Sensors_MANU!$B$2:$B$4692,0)),INDEX(Sensors_MANU!$E$2:$E$4692,MATCH($P120,Sensors_MANU!$A$2:$A$4692,0))),"")</f>
        <v/>
      </c>
      <c r="B120">
        <f>IFERROR(INDEX(Companies!$A$3:$A$101,MATCH(A120,Companies!$B$3:$B$101,0)),"")</f>
        <v/>
      </c>
      <c r="D120" t="inlineStr">
        <is>
          <t>F414CD61CB7D</t>
        </is>
      </c>
      <c r="E120" s="24">
        <f>LEFT(D120,2)&amp;":"&amp;MID(D120,3,2)&amp;":"&amp;MID(D120,5,2)&amp;":"&amp;MID(D120,7,2)&amp;":"&amp;MID(D120,9,2)&amp;":"&amp;RIGHT(D120,2)</f>
        <v/>
      </c>
      <c r="H120" t="inlineStr">
        <is>
          <t>03F1B56BE73A6951</t>
        </is>
      </c>
      <c r="J120" t="inlineStr">
        <is>
          <t>03F1B56BE73A6951</t>
        </is>
      </c>
      <c r="N120" s="99" t="inlineStr">
        <is>
          <t>Nexxiot</t>
        </is>
      </c>
    </row>
    <row r="121">
      <c r="A121" s="32" t="inlineStr">
        <is>
          <t>TALGO</t>
        </is>
      </c>
      <c r="B121">
        <f>IFERROR(INDEX(Companies!$A$3:$A$101,MATCH(A121,Companies!$B$3:$B$101,0)),"")</f>
        <v/>
      </c>
      <c r="D121" t="inlineStr">
        <is>
          <t>EC20458F6551</t>
        </is>
      </c>
      <c r="E121" s="24">
        <f>LEFT(D121,2)&amp;":"&amp;MID(D121,3,2)&amp;":"&amp;MID(D121,5,2)&amp;":"&amp;MID(D121,7,2)&amp;":"&amp;MID(D121,9,2)&amp;":"&amp;RIGHT(D121,2)</f>
        <v/>
      </c>
      <c r="H121" t="inlineStr">
        <is>
          <t>1387A4122090C7AC</t>
        </is>
      </c>
      <c r="J121" t="inlineStr">
        <is>
          <t>1387A4122090C7AC</t>
        </is>
      </c>
      <c r="N121" s="99" t="inlineStr">
        <is>
          <t>Nexxiot</t>
        </is>
      </c>
    </row>
    <row r="122">
      <c r="A122" s="32">
        <f>IFERROR(_xlfn.IFNA(INDEX(Sensors_MANU!$E$2:$E$4692,MATCH($D122,Sensors_MANU!$B$2:$B$4692,0)),INDEX(Sensors_MANU!$E$2:$E$4692,MATCH($P122,Sensors_MANU!$A$2:$A$4692,0))),"")</f>
        <v/>
      </c>
      <c r="B122">
        <f>IFERROR(INDEX(Companies!$A$3:$A$101,MATCH(A122,Companies!$B$3:$B$101,0)),"")</f>
        <v/>
      </c>
      <c r="D122" t="inlineStr">
        <is>
          <t>F4E170A78031</t>
        </is>
      </c>
      <c r="E122" s="24">
        <f>LEFT(D122,2)&amp;":"&amp;MID(D122,3,2)&amp;":"&amp;MID(D122,5,2)&amp;":"&amp;MID(D122,7,2)&amp;":"&amp;MID(D122,9,2)&amp;":"&amp;RIGHT(D122,2)</f>
        <v/>
      </c>
      <c r="H122" t="inlineStr">
        <is>
          <t>89F9ACCE5E687905</t>
        </is>
      </c>
      <c r="J122" t="inlineStr">
        <is>
          <t>89F9ACCE5E687905</t>
        </is>
      </c>
      <c r="N122" s="99" t="inlineStr">
        <is>
          <t>Nexxiot</t>
        </is>
      </c>
    </row>
    <row r="123">
      <c r="A123" s="32">
        <f>IFERROR(_xlfn.IFNA(INDEX(Sensors_MANU!$E$2:$E$4692,MATCH($D123,Sensors_MANU!$B$2:$B$4692,0)),INDEX(Sensors_MANU!$E$2:$E$4692,MATCH($P123,Sensors_MANU!$A$2:$A$4692,0))),"")</f>
        <v/>
      </c>
      <c r="B123">
        <f>IFERROR(INDEX(Companies!$A$3:$A$101,MATCH(A123,Companies!$B$3:$B$101,0)),"")</f>
        <v/>
      </c>
      <c r="D123" t="inlineStr">
        <is>
          <t>ED686D818BCA</t>
        </is>
      </c>
      <c r="E123" s="24">
        <f>LEFT(D123,2)&amp;":"&amp;MID(D123,3,2)&amp;":"&amp;MID(D123,5,2)&amp;":"&amp;MID(D123,7,2)&amp;":"&amp;MID(D123,9,2)&amp;":"&amp;RIGHT(D123,2)</f>
        <v/>
      </c>
      <c r="H123" t="inlineStr">
        <is>
          <t>196BFE94683EDE91</t>
        </is>
      </c>
      <c r="J123" t="inlineStr">
        <is>
          <t>196BFE94683EDE91</t>
        </is>
      </c>
      <c r="N123" s="99" t="inlineStr">
        <is>
          <t>Nexxiot</t>
        </is>
      </c>
    </row>
    <row r="124">
      <c r="A124" s="32">
        <f>IFERROR(_xlfn.IFNA(INDEX(Sensors_MANU!$E$2:$E$4692,MATCH($D124,Sensors_MANU!$B$2:$B$4692,0)),INDEX(Sensors_MANU!$E$2:$E$4692,MATCH($P124,Sensors_MANU!$A$2:$A$4692,0))),"")</f>
        <v/>
      </c>
      <c r="B124">
        <f>IFERROR(INDEX(Companies!$A$3:$A$101,MATCH(A124,Companies!$B$3:$B$101,0)),"")</f>
        <v/>
      </c>
      <c r="D124" t="inlineStr">
        <is>
          <t>EA26EFA8E1F6</t>
        </is>
      </c>
      <c r="E124" s="24">
        <f>LEFT(D124,2)&amp;":"&amp;MID(D124,3,2)&amp;":"&amp;MID(D124,5,2)&amp;":"&amp;MID(D124,7,2)&amp;":"&amp;MID(D124,9,2)&amp;":"&amp;RIGHT(D124,2)</f>
        <v/>
      </c>
      <c r="H124" t="inlineStr">
        <is>
          <t>100E28AF7444383F</t>
        </is>
      </c>
      <c r="J124" t="inlineStr">
        <is>
          <t>100E28AF7444383F</t>
        </is>
      </c>
      <c r="N124" s="99" t="inlineStr">
        <is>
          <t>Nexxiot</t>
        </is>
      </c>
    </row>
    <row r="125">
      <c r="A125" s="32">
        <f>IFERROR(_xlfn.IFNA(INDEX(Sensors_MANU!$E$2:$E$4692,MATCH($D125,Sensors_MANU!$B$2:$B$4692,0)),INDEX(Sensors_MANU!$E$2:$E$4692,MATCH($P125,Sensors_MANU!$A$2:$A$4692,0))),"")</f>
        <v/>
      </c>
      <c r="B125">
        <f>IFERROR(INDEX(Companies!$A$3:$A$101,MATCH(A125,Companies!$B$3:$B$101,0)),"")</f>
        <v/>
      </c>
      <c r="D125" t="inlineStr">
        <is>
          <t>C7486C4A0370</t>
        </is>
      </c>
      <c r="E125" s="24">
        <f>LEFT(D125,2)&amp;":"&amp;MID(D125,3,2)&amp;":"&amp;MID(D125,5,2)&amp;":"&amp;MID(D125,7,2)&amp;":"&amp;MID(D125,9,2)&amp;":"&amp;RIGHT(D125,2)</f>
        <v/>
      </c>
      <c r="H125" t="inlineStr">
        <is>
          <t>88CD5F459FDC38F3</t>
        </is>
      </c>
      <c r="J125" t="inlineStr">
        <is>
          <t>88CD5F459FDC38F3</t>
        </is>
      </c>
      <c r="N125" s="99" t="inlineStr">
        <is>
          <t>Nexxiot</t>
        </is>
      </c>
    </row>
    <row r="126">
      <c r="A126" s="32">
        <f>IFERROR(_xlfn.IFNA(INDEX(Sensors_MANU!$E$2:$E$4692,MATCH($D126,Sensors_MANU!$B$2:$B$4692,0)),INDEX(Sensors_MANU!$E$2:$E$4692,MATCH($P126,Sensors_MANU!$A$2:$A$4692,0))),"")</f>
        <v/>
      </c>
      <c r="B126">
        <f>IFERROR(INDEX(Companies!$A$3:$A$101,MATCH(A126,Companies!$B$3:$B$101,0)),"")</f>
        <v/>
      </c>
      <c r="D126" t="inlineStr">
        <is>
          <t>CEAC70E1793F</t>
        </is>
      </c>
      <c r="E126" s="24">
        <f>LEFT(D126,2)&amp;":"&amp;MID(D126,3,2)&amp;":"&amp;MID(D126,5,2)&amp;":"&amp;MID(D126,7,2)&amp;":"&amp;MID(D126,9,2)&amp;":"&amp;RIGHT(D126,2)</f>
        <v/>
      </c>
      <c r="H126" t="inlineStr">
        <is>
          <t>C7A0E71ADDEC1303</t>
        </is>
      </c>
      <c r="J126" t="inlineStr">
        <is>
          <t>C7A0E71ADDEC1303</t>
        </is>
      </c>
      <c r="N126" s="99" t="inlineStr">
        <is>
          <t>Nexxiot</t>
        </is>
      </c>
    </row>
    <row r="127">
      <c r="A127" s="32">
        <f>IFERROR(_xlfn.IFNA(INDEX(Sensors_MANU!$E$2:$E$4692,MATCH($D127,Sensors_MANU!$B$2:$B$4692,0)),INDEX(Sensors_MANU!$E$2:$E$4692,MATCH($P127,Sensors_MANU!$A$2:$A$4692,0))),"")</f>
        <v/>
      </c>
      <c r="B127">
        <f>IFERROR(INDEX(Companies!$A$3:$A$101,MATCH(A127,Companies!$B$3:$B$101,0)),"")</f>
        <v/>
      </c>
      <c r="D127" t="inlineStr">
        <is>
          <t>ECC0E473F787</t>
        </is>
      </c>
      <c r="E127" s="24">
        <f>LEFT(D127,2)&amp;":"&amp;MID(D127,3,2)&amp;":"&amp;MID(D127,5,2)&amp;":"&amp;MID(D127,7,2)&amp;":"&amp;MID(D127,9,2)&amp;":"&amp;RIGHT(D127,2)</f>
        <v/>
      </c>
      <c r="H127" t="inlineStr">
        <is>
          <t>CE73207D64A28D8F</t>
        </is>
      </c>
      <c r="J127" t="inlineStr">
        <is>
          <t>CE73207D64A28D8F</t>
        </is>
      </c>
      <c r="N127" s="99" t="inlineStr">
        <is>
          <t>Nexxiot</t>
        </is>
      </c>
    </row>
    <row r="128">
      <c r="A128" s="32">
        <f>IFERROR(_xlfn.IFNA(INDEX(Sensors_MANU!$E$2:$E$4692,MATCH($D128,Sensors_MANU!$B$2:$B$4692,0)),INDEX(Sensors_MANU!$E$2:$E$4692,MATCH($P128,Sensors_MANU!$A$2:$A$4692,0))),"")</f>
        <v/>
      </c>
      <c r="D128" t="inlineStr">
        <is>
          <t>C4D8CDBA8C04</t>
        </is>
      </c>
      <c r="E128" s="24">
        <f>LEFT(D128,2)&amp;":"&amp;MID(D128,3,2)&amp;":"&amp;MID(D128,5,2)&amp;":"&amp;MID(D128,7,2)&amp;":"&amp;MID(D128,9,2)&amp;":"&amp;RIGHT(D128,2)</f>
        <v/>
      </c>
      <c r="H128" t="inlineStr">
        <is>
          <t>775A0F8ECE74A90D</t>
        </is>
      </c>
      <c r="J128" t="inlineStr">
        <is>
          <t>775A0F8ECE74A90D</t>
        </is>
      </c>
      <c r="N128" s="99" t="inlineStr">
        <is>
          <t>Nexxiot</t>
        </is>
      </c>
    </row>
    <row r="129">
      <c r="A129" s="32">
        <f>IFERROR(_xlfn.IFNA(INDEX(Sensors_MANU!$E$2:$E$4692,MATCH($D129,Sensors_MANU!$B$2:$B$4692,0)),INDEX(Sensors_MANU!$E$2:$E$4692,MATCH($P129,Sensors_MANU!$A$2:$A$4692,0))),"")</f>
        <v/>
      </c>
      <c r="D129" t="inlineStr">
        <is>
          <t>C3CFB4697A5F</t>
        </is>
      </c>
      <c r="E129" s="24">
        <f>LEFT(D129,2)&amp;":"&amp;MID(D129,3,2)&amp;":"&amp;MID(D129,5,2)&amp;":"&amp;MID(D129,7,2)&amp;":"&amp;MID(D129,9,2)&amp;":"&amp;RIGHT(D129,2)</f>
        <v/>
      </c>
      <c r="H129" t="inlineStr">
        <is>
          <t>88138B6C42BA6A57</t>
        </is>
      </c>
      <c r="J129" t="inlineStr">
        <is>
          <t>88138B6C42BA6A57</t>
        </is>
      </c>
      <c r="N129" s="99" t="inlineStr">
        <is>
          <t>Nexxiot</t>
        </is>
      </c>
    </row>
    <row r="130">
      <c r="A130" s="32">
        <f>IFERROR(_xlfn.IFNA(INDEX(Sensors_MANU!$E$2:$E$4692,MATCH($D130,Sensors_MANU!$B$2:$B$4692,0)),INDEX(Sensors_MANU!$E$2:$E$4692,MATCH($P130,Sensors_MANU!$A$2:$A$4692,0))),"")</f>
        <v/>
      </c>
      <c r="D130" t="inlineStr">
        <is>
          <t>C0C6D37DE9CD</t>
        </is>
      </c>
      <c r="E130" s="24">
        <f>LEFT(D130,2)&amp;":"&amp;MID(D130,3,2)&amp;":"&amp;MID(D130,5,2)&amp;":"&amp;MID(D130,7,2)&amp;":"&amp;MID(D130,9,2)&amp;":"&amp;RIGHT(D130,2)</f>
        <v/>
      </c>
      <c r="H130" t="inlineStr">
        <is>
          <t>76F7700958421C0C</t>
        </is>
      </c>
      <c r="J130">
        <f>IFERROR(_xlfn.IFNA(INDEX(Sensors_MANU!$D$2:$D$4692,MATCH($D130,Sensors_MANU!$B$2:$B$4692,0)),INDEX(Sensors_MANU!$D$2:$D$4692,MATCH($P130,Sensors_MANU!$A$2:$A$4692,0))),"")</f>
        <v/>
      </c>
      <c r="N130" s="99" t="inlineStr">
        <is>
          <t>Nexxiot</t>
        </is>
      </c>
    </row>
    <row r="131">
      <c r="A131" s="32">
        <f>IFERROR(_xlfn.IFNA(INDEX(Sensors_MANU!$E$2:$E$4692,MATCH($D131,Sensors_MANU!$B$2:$B$4692,0)),INDEX(Sensors_MANU!$E$2:$E$4692,MATCH($P131,Sensors_MANU!$A$2:$A$4692,0))),"")</f>
        <v/>
      </c>
      <c r="D131" t="inlineStr">
        <is>
          <t>CFCF2B8642CD</t>
        </is>
      </c>
      <c r="E131" s="24">
        <f>LEFT(D131,2)&amp;":"&amp;MID(D131,3,2)&amp;":"&amp;MID(D131,5,2)&amp;":"&amp;MID(D131,7,2)&amp;":"&amp;MID(D131,9,2)&amp;":"&amp;RIGHT(D131,2)</f>
        <v/>
      </c>
      <c r="H131" t="inlineStr">
        <is>
          <t>BBB32579A4924510</t>
        </is>
      </c>
      <c r="J131" t="inlineStr">
        <is>
          <t>BBB32579A4924510</t>
        </is>
      </c>
      <c r="N131" s="99" t="inlineStr">
        <is>
          <t>Nexxiot</t>
        </is>
      </c>
    </row>
    <row r="132">
      <c r="A132" s="32">
        <f>IFERROR(_xlfn.IFNA(INDEX(Sensors_MANU!$E$2:$E$4692,MATCH($D132,Sensors_MANU!$B$2:$B$4692,0)),INDEX(Sensors_MANU!$E$2:$E$4692,MATCH($P132,Sensors_MANU!$A$2:$A$4692,0))),"")</f>
        <v/>
      </c>
      <c r="D132" t="inlineStr">
        <is>
          <t>F7E6A078CFDE</t>
        </is>
      </c>
      <c r="E132" s="24">
        <f>LEFT(D132,2)&amp;":"&amp;MID(D132,3,2)&amp;":"&amp;MID(D132,5,2)&amp;":"&amp;MID(D132,7,2)&amp;":"&amp;MID(D132,9,2)&amp;":"&amp;RIGHT(D132,2)</f>
        <v/>
      </c>
      <c r="H132" t="inlineStr">
        <is>
          <t>554A886DE42471A9</t>
        </is>
      </c>
      <c r="J132" t="inlineStr">
        <is>
          <t>554A886DE42471A9</t>
        </is>
      </c>
      <c r="N132" s="99" t="inlineStr">
        <is>
          <t>Nexxiot</t>
        </is>
      </c>
    </row>
    <row r="133">
      <c r="A133" s="32">
        <f>IFERROR(_xlfn.IFNA(INDEX(Sensors_MANU!$E$2:$E$4692,MATCH($D133,Sensors_MANU!$B$2:$B$4692,0)),INDEX(Sensors_MANU!$E$2:$E$4692,MATCH($P133,Sensors_MANU!$A$2:$A$4692,0))),"")</f>
        <v/>
      </c>
      <c r="D133" t="inlineStr">
        <is>
          <t>E190DBFE4932</t>
        </is>
      </c>
      <c r="E133" s="24">
        <f>LEFT(D133,2)&amp;":"&amp;MID(D133,3,2)&amp;":"&amp;MID(D133,5,2)&amp;":"&amp;MID(D133,7,2)&amp;":"&amp;MID(D133,9,2)&amp;":"&amp;RIGHT(D133,2)</f>
        <v/>
      </c>
      <c r="H133" t="inlineStr">
        <is>
          <t>E8336DFAC3EAD46E</t>
        </is>
      </c>
      <c r="J133">
        <f>IFERROR(_xlfn.IFNA(INDEX(Sensors_MANU!$D$2:$D$4692,MATCH($D133,Sensors_MANU!$B$2:$B$4692,0)),INDEX(Sensors_MANU!$D$2:$D$4692,MATCH($P133,Sensors_MANU!$A$2:$A$4692,0))),"")</f>
        <v/>
      </c>
      <c r="N133" s="99" t="inlineStr">
        <is>
          <t>Nexxiot</t>
        </is>
      </c>
    </row>
    <row r="134">
      <c r="A134" s="32" t="inlineStr">
        <is>
          <t>TALGO</t>
        </is>
      </c>
      <c r="B134">
        <f>IFERROR(INDEX(Companies!$A$3:$A$101,MATCH(A134,Companies!$B$3:$B$101,0)),"")</f>
        <v/>
      </c>
      <c r="D134" t="inlineStr">
        <is>
          <t>F1FA6BC3AD56</t>
        </is>
      </c>
      <c r="E134" s="24">
        <f>LEFT(D134,2)&amp;":"&amp;MID(D134,3,2)&amp;":"&amp;MID(D134,5,2)&amp;":"&amp;MID(D134,7,2)&amp;":"&amp;MID(D134,9,2)&amp;":"&amp;RIGHT(D134,2)</f>
        <v/>
      </c>
      <c r="H134" t="inlineStr">
        <is>
          <t>F363EE167EDAEC6E</t>
        </is>
      </c>
      <c r="J134" t="inlineStr">
        <is>
          <t>F363EE167EDAEC6E</t>
        </is>
      </c>
      <c r="N134" s="99" t="inlineStr">
        <is>
          <t>Nexxiot</t>
        </is>
      </c>
    </row>
    <row r="135">
      <c r="A135" s="32">
        <f>IFERROR(_xlfn.IFNA(INDEX(Sensors_MANU!$E$2:$E$4692,MATCH($D135,Sensors_MANU!$B$2:$B$4692,0)),INDEX(Sensors_MANU!$E$2:$E$4692,MATCH($P135,Sensors_MANU!$A$2:$A$4692,0))),"")</f>
        <v/>
      </c>
      <c r="D135" t="inlineStr">
        <is>
          <t>F8E4D1441150</t>
        </is>
      </c>
      <c r="E135" s="24">
        <f>LEFT(D135,2)&amp;":"&amp;MID(D135,3,2)&amp;":"&amp;MID(D135,5,2)&amp;":"&amp;MID(D135,7,2)&amp;":"&amp;MID(D135,9,2)&amp;":"&amp;RIGHT(D135,2)</f>
        <v/>
      </c>
      <c r="H135" t="inlineStr">
        <is>
          <t>776C18A3E79BDD3F</t>
        </is>
      </c>
      <c r="J135" t="inlineStr">
        <is>
          <t>776C18A3E79BDD3F</t>
        </is>
      </c>
      <c r="N135" s="99" t="inlineStr">
        <is>
          <t>Nexxiot</t>
        </is>
      </c>
    </row>
    <row r="136">
      <c r="A136" s="32">
        <f>IFERROR(_xlfn.IFNA(INDEX(Sensors_MANU!$E$2:$E$4692,MATCH($D136,Sensors_MANU!$B$2:$B$4692,0)),INDEX(Sensors_MANU!$E$2:$E$4692,MATCH($P136,Sensors_MANU!$A$2:$A$4692,0))),"")</f>
        <v/>
      </c>
      <c r="D136" t="inlineStr">
        <is>
          <t>C8514FFD3F64</t>
        </is>
      </c>
      <c r="E136" s="24">
        <f>LEFT(D136,2)&amp;":"&amp;MID(D136,3,2)&amp;":"&amp;MID(D136,5,2)&amp;":"&amp;MID(D136,7,2)&amp;":"&amp;MID(D136,9,2)&amp;":"&amp;RIGHT(D136,2)</f>
        <v/>
      </c>
      <c r="H136" t="inlineStr">
        <is>
          <t>599E18AE2E89D88A</t>
        </is>
      </c>
      <c r="J136" t="inlineStr">
        <is>
          <t>599E18AE2E89D88A</t>
        </is>
      </c>
      <c r="N136" s="99" t="inlineStr">
        <is>
          <t>Nexxiot</t>
        </is>
      </c>
    </row>
    <row r="137">
      <c r="A137" s="32">
        <f>IFERROR(_xlfn.IFNA(INDEX(Sensors_MANU!$E$2:$E$4692,MATCH($D137,Sensors_MANU!$B$2:$B$4692,0)),INDEX(Sensors_MANU!$E$2:$E$4692,MATCH($P137,Sensors_MANU!$A$2:$A$4692,0))),"")</f>
        <v/>
      </c>
      <c r="D137" t="inlineStr">
        <is>
          <t>F0842AA2C9A4</t>
        </is>
      </c>
      <c r="E137" s="24">
        <f>LEFT(D137,2)&amp;":"&amp;MID(D137,3,2)&amp;":"&amp;MID(D137,5,2)&amp;":"&amp;MID(D137,7,2)&amp;":"&amp;MID(D137,9,2)&amp;":"&amp;RIGHT(D137,2)</f>
        <v/>
      </c>
      <c r="H137" t="inlineStr">
        <is>
          <t>6771875AE0A36811</t>
        </is>
      </c>
      <c r="J137">
        <f>IFERROR(_xlfn.IFNA(INDEX(Sensors_MANU!$D$2:$D$4692,MATCH($D137,Sensors_MANU!$B$2:$B$4692,0)),INDEX(Sensors_MANU!$D$2:$D$4692,MATCH($P137,Sensors_MANU!$A$2:$A$4692,0))),"")</f>
        <v/>
      </c>
      <c r="N137" s="99" t="inlineStr">
        <is>
          <t>Nexxiot</t>
        </is>
      </c>
    </row>
    <row r="138">
      <c r="D138" t="inlineStr">
        <is>
          <t>FFBFF376A8C9</t>
        </is>
      </c>
      <c r="E138" s="24">
        <f>LEFT(D138,2)&amp;":"&amp;MID(D138,3,2)&amp;":"&amp;MID(D138,5,2)&amp;":"&amp;MID(D138,7,2)&amp;":"&amp;MID(D138,9,2)&amp;":"&amp;RIGHT(D138,2)</f>
        <v/>
      </c>
      <c r="H138" t="inlineStr">
        <is>
          <t>CF9FA7344CF9FB47</t>
        </is>
      </c>
      <c r="J138" t="inlineStr">
        <is>
          <t>CF9FA7344CF9FB47</t>
        </is>
      </c>
      <c r="N138" s="99" t="inlineStr">
        <is>
          <t>Nexxiot</t>
        </is>
      </c>
    </row>
    <row r="139">
      <c r="A139" s="32">
        <f>IFERROR(_xlfn.IFNA(INDEX(Sensors_MANU!$E$2:$E$4692,MATCH($D139,Sensors_MANU!$B$2:$B$4692,0)),INDEX(Sensors_MANU!$E$2:$E$4692,MATCH($P139,Sensors_MANU!$A$2:$A$4692,0))),"")</f>
        <v/>
      </c>
      <c r="D139" t="inlineStr">
        <is>
          <t>E5A6DAB376D9</t>
        </is>
      </c>
      <c r="E139" s="24">
        <f>LEFT(D139,2)&amp;":"&amp;MID(D139,3,2)&amp;":"&amp;MID(D139,5,2)&amp;":"&amp;MID(D139,7,2)&amp;":"&amp;MID(D139,9,2)&amp;":"&amp;RIGHT(D139,2)</f>
        <v/>
      </c>
      <c r="H139" t="inlineStr">
        <is>
          <t>1BDB6783E8AD10CE</t>
        </is>
      </c>
      <c r="J139" t="inlineStr">
        <is>
          <t>1BDB6783E8AD10CE</t>
        </is>
      </c>
      <c r="N139" s="99" t="inlineStr">
        <is>
          <t>Nexxiot</t>
        </is>
      </c>
    </row>
    <row r="140">
      <c r="A140" s="32">
        <f>IFERROR(_xlfn.IFNA(INDEX(Sensors_MANU!$E$2:$E$4692,MATCH($D140,Sensors_MANU!$B$2:$B$4692,0)),INDEX(Sensors_MANU!$E$2:$E$4692,MATCH($P140,Sensors_MANU!$A$2:$A$4692,0))),"")</f>
        <v/>
      </c>
      <c r="D140" t="inlineStr">
        <is>
          <t>F8C77146BC27</t>
        </is>
      </c>
      <c r="E140" s="24">
        <f>LEFT(D140,2)&amp;":"&amp;MID(D140,3,2)&amp;":"&amp;MID(D140,5,2)&amp;":"&amp;MID(D140,7,2)&amp;":"&amp;MID(D140,9,2)&amp;":"&amp;RIGHT(D140,2)</f>
        <v/>
      </c>
      <c r="H140" t="inlineStr">
        <is>
          <t>B18CF623CC5BA846</t>
        </is>
      </c>
      <c r="J140" t="inlineStr">
        <is>
          <t>B18CF623CC5BA846</t>
        </is>
      </c>
      <c r="N140" s="99" t="inlineStr">
        <is>
          <t>Nexxiot</t>
        </is>
      </c>
    </row>
    <row r="141">
      <c r="A141" s="32">
        <f>IFERROR(_xlfn.IFNA(INDEX(Sensors_MANU!$E$2:$E$4692,MATCH($D141,Sensors_MANU!$B$2:$B$4692,0)),INDEX(Sensors_MANU!$E$2:$E$4692,MATCH($P141,Sensors_MANU!$A$2:$A$4692,0))),"")</f>
        <v/>
      </c>
      <c r="D141" t="inlineStr">
        <is>
          <t>C25CA85BDFCD</t>
        </is>
      </c>
      <c r="E141" s="24">
        <f>LEFT(D141,2)&amp;":"&amp;MID(D141,3,2)&amp;":"&amp;MID(D141,5,2)&amp;":"&amp;MID(D141,7,2)&amp;":"&amp;MID(D141,9,2)&amp;":"&amp;RIGHT(D141,2)</f>
        <v/>
      </c>
      <c r="H141" t="inlineStr">
        <is>
          <t>EE6702D639D08DE1</t>
        </is>
      </c>
      <c r="J141" t="inlineStr">
        <is>
          <t>EE6702D639D08DE1</t>
        </is>
      </c>
      <c r="N141" s="99" t="inlineStr">
        <is>
          <t>Nexxiot</t>
        </is>
      </c>
    </row>
    <row r="142">
      <c r="A142" s="32">
        <f>IFERROR(_xlfn.IFNA(INDEX(Sensors_MANU!$E$2:$E$4692,MATCH($D142,Sensors_MANU!$B$2:$B$4692,0)),INDEX(Sensors_MANU!$E$2:$E$4692,MATCH($P142,Sensors_MANU!$A$2:$A$4692,0))),"")</f>
        <v/>
      </c>
      <c r="D142" t="inlineStr">
        <is>
          <t>CA2399E7ECAD</t>
        </is>
      </c>
      <c r="E142" s="24">
        <f>LEFT(D142,2)&amp;":"&amp;MID(D142,3,2)&amp;":"&amp;MID(D142,5,2)&amp;":"&amp;MID(D142,7,2)&amp;":"&amp;MID(D142,9,2)&amp;":"&amp;RIGHT(D142,2)</f>
        <v/>
      </c>
      <c r="H142" t="inlineStr">
        <is>
          <t>AFF14109E4C9013F</t>
        </is>
      </c>
      <c r="J142" t="inlineStr">
        <is>
          <t>AFF14109E4C9013F</t>
        </is>
      </c>
      <c r="N142" s="99" t="inlineStr">
        <is>
          <t>Nexxiot</t>
        </is>
      </c>
    </row>
    <row r="143">
      <c r="A143" s="32">
        <f>IFERROR(_xlfn.IFNA(INDEX(Sensors_MANU!$E$2:$E$4692,MATCH($D143,Sensors_MANU!$B$2:$B$4692,0)),INDEX(Sensors_MANU!$E$2:$E$4692,MATCH($P143,Sensors_MANU!$A$2:$A$4692,0))),"")</f>
        <v/>
      </c>
      <c r="D143" t="inlineStr">
        <is>
          <t>F78F81FEFB85</t>
        </is>
      </c>
      <c r="E143" s="24">
        <f>LEFT(D143,2)&amp;":"&amp;MID(D143,3,2)&amp;":"&amp;MID(D143,5,2)&amp;":"&amp;MID(D143,7,2)&amp;":"&amp;MID(D143,9,2)&amp;":"&amp;RIGHT(D143,2)</f>
        <v/>
      </c>
      <c r="H143" t="inlineStr">
        <is>
          <t>B9CFA836B081FCC4</t>
        </is>
      </c>
      <c r="J143" t="inlineStr">
        <is>
          <t>B9CFA836B081FCC4</t>
        </is>
      </c>
      <c r="N143" s="99" t="inlineStr">
        <is>
          <t>Nexxiot</t>
        </is>
      </c>
    </row>
    <row r="144">
      <c r="A144" s="32">
        <f>IFERROR(_xlfn.IFNA(INDEX(Sensors_MANU!$E$2:$E$4692,MATCH($D144,Sensors_MANU!$B$2:$B$4692,0)),INDEX(Sensors_MANU!$E$2:$E$4692,MATCH($P144,Sensors_MANU!$A$2:$A$4692,0))),"")</f>
        <v/>
      </c>
      <c r="D144" t="inlineStr">
        <is>
          <t>D7C8C16E1119</t>
        </is>
      </c>
      <c r="E144" s="24">
        <f>LEFT(D144,2)&amp;":"&amp;MID(D144,3,2)&amp;":"&amp;MID(D144,5,2)&amp;":"&amp;MID(D144,7,2)&amp;":"&amp;MID(D144,9,2)&amp;":"&amp;RIGHT(D144,2)</f>
        <v/>
      </c>
      <c r="H144" t="inlineStr">
        <is>
          <t>AEF452692637B815</t>
        </is>
      </c>
      <c r="J144" t="inlineStr">
        <is>
          <t>AEF452692637B815</t>
        </is>
      </c>
      <c r="N144" s="99" t="inlineStr">
        <is>
          <t>Nexxiot</t>
        </is>
      </c>
    </row>
    <row r="145">
      <c r="A145" s="32">
        <f>IFERROR(_xlfn.IFNA(INDEX(Sensors_MANU!$E$2:$E$4692,MATCH($D145,Sensors_MANU!$B$2:$B$4692,0)),INDEX(Sensors_MANU!$E$2:$E$4692,MATCH($P145,Sensors_MANU!$A$2:$A$4692,0))),"")</f>
        <v/>
      </c>
      <c r="D145" t="inlineStr">
        <is>
          <t>DB351A79165F</t>
        </is>
      </c>
      <c r="E145" s="24">
        <f>LEFT(D145,2)&amp;":"&amp;MID(D145,3,2)&amp;":"&amp;MID(D145,5,2)&amp;":"&amp;MID(D145,7,2)&amp;":"&amp;MID(D145,9,2)&amp;":"&amp;RIGHT(D145,2)</f>
        <v/>
      </c>
      <c r="H145" t="inlineStr">
        <is>
          <t>936336793BB5ADE3</t>
        </is>
      </c>
      <c r="J145">
        <f>IFERROR(_xlfn.IFNA(INDEX(Sensors_MANU!$D$2:$D$4692,MATCH($D145,Sensors_MANU!$B$2:$B$4692,0)),INDEX(Sensors_MANU!$D$2:$D$4692,MATCH($P145,Sensors_MANU!$A$2:$A$4692,0))),"")</f>
        <v/>
      </c>
      <c r="N145" s="99" t="inlineStr">
        <is>
          <t>Nexxiot</t>
        </is>
      </c>
    </row>
    <row r="146">
      <c r="A146" s="32">
        <f>IFERROR(_xlfn.IFNA(INDEX(Sensors_MANU!$E$2:$E$4692,MATCH($D146,Sensors_MANU!$B$2:$B$4692,0)),INDEX(Sensors_MANU!$E$2:$E$4692,MATCH($P146,Sensors_MANU!$A$2:$A$4692,0))),"")</f>
        <v/>
      </c>
      <c r="D146" t="inlineStr">
        <is>
          <t>C4805E8784A2</t>
        </is>
      </c>
      <c r="E146" s="24">
        <f>LEFT(D146,2)&amp;":"&amp;MID(D146,3,2)&amp;":"&amp;MID(D146,5,2)&amp;":"&amp;MID(D146,7,2)&amp;":"&amp;MID(D146,9,2)&amp;":"&amp;RIGHT(D146,2)</f>
        <v/>
      </c>
      <c r="H146" t="inlineStr">
        <is>
          <t>C8B52E69DB7AEBAD</t>
        </is>
      </c>
      <c r="J146" t="inlineStr">
        <is>
          <t>C8B52E69DB7AEBAD</t>
        </is>
      </c>
      <c r="N146" s="99" t="inlineStr">
        <is>
          <t>Nexxiot</t>
        </is>
      </c>
    </row>
    <row r="147">
      <c r="A147" s="32">
        <f>IFERROR(_xlfn.IFNA(INDEX(Sensors_MANU!$E$2:$E$4692,MATCH($D147,Sensors_MANU!$B$2:$B$4692,0)),INDEX(Sensors_MANU!$E$2:$E$4692,MATCH($P147,Sensors_MANU!$A$2:$A$4692,0))),"")</f>
        <v/>
      </c>
      <c r="D147" t="inlineStr">
        <is>
          <t>EB6FCEB8A3E2</t>
        </is>
      </c>
      <c r="E147" s="24">
        <f>LEFT(D147,2)&amp;":"&amp;MID(D147,3,2)&amp;":"&amp;MID(D147,5,2)&amp;":"&amp;MID(D147,7,2)&amp;":"&amp;MID(D147,9,2)&amp;":"&amp;RIGHT(D147,2)</f>
        <v/>
      </c>
      <c r="H147" t="inlineStr">
        <is>
          <t>E3C8BD7AC2C4E891</t>
        </is>
      </c>
      <c r="J147" t="inlineStr">
        <is>
          <t>E3C8BD7AC2C4E891</t>
        </is>
      </c>
      <c r="N147" s="99" t="inlineStr">
        <is>
          <t>Nexxiot</t>
        </is>
      </c>
    </row>
    <row r="148">
      <c r="A148" s="32">
        <f>IFERROR(_xlfn.IFNA(INDEX(Sensors_MANU!$E$2:$E$4692,MATCH($D148,Sensors_MANU!$B$2:$B$4692,0)),INDEX(Sensors_MANU!$E$2:$E$4692,MATCH($P148,Sensors_MANU!$A$2:$A$4692,0))),"")</f>
        <v/>
      </c>
      <c r="D148" t="inlineStr">
        <is>
          <t>F5CDB9254512</t>
        </is>
      </c>
      <c r="E148" s="24">
        <f>LEFT(D148,2)&amp;":"&amp;MID(D148,3,2)&amp;":"&amp;MID(D148,5,2)&amp;":"&amp;MID(D148,7,2)&amp;":"&amp;MID(D148,9,2)&amp;":"&amp;RIGHT(D148,2)</f>
        <v/>
      </c>
      <c r="H148" t="inlineStr">
        <is>
          <t>AF65CE6678D7A3D1</t>
        </is>
      </c>
      <c r="J148">
        <f>IFERROR(_xlfn.IFNA(INDEX(Sensors_MANU!$D$2:$D$4692,MATCH($D148,Sensors_MANU!$B$2:$B$4692,0)),INDEX(Sensors_MANU!$D$2:$D$4692,MATCH($P148,Sensors_MANU!$A$2:$A$4692,0))),"")</f>
        <v/>
      </c>
      <c r="N148" s="99" t="inlineStr">
        <is>
          <t>Nexxiot</t>
        </is>
      </c>
    </row>
    <row r="149">
      <c r="A149" s="26" t="n"/>
      <c r="D149" t="inlineStr">
        <is>
          <t>C894D99DF11E</t>
        </is>
      </c>
      <c r="E149" s="24">
        <f>LEFT(D149,2)&amp;":"&amp;MID(D149,3,2)&amp;":"&amp;MID(D149,5,2)&amp;":"&amp;MID(D149,7,2)&amp;":"&amp;MID(D149,9,2)&amp;":"&amp;RIGHT(D149,2)</f>
        <v/>
      </c>
      <c r="H149" t="inlineStr">
        <is>
          <t>8615C476943123B8</t>
        </is>
      </c>
      <c r="J149" t="inlineStr">
        <is>
          <t>8615C476943123B8</t>
        </is>
      </c>
    </row>
    <row r="150">
      <c r="A150" s="32">
        <f>IFERROR(_xlfn.IFNA(INDEX(Sensors_MANU!$E$2:$E$4692,MATCH($D150,Sensors_MANU!$B$2:$B$4692,0)),INDEX(Sensors_MANU!$E$2:$E$4692,MATCH($P150,Sensors_MANU!$A$2:$A$4692,0))),"")</f>
        <v/>
      </c>
      <c r="D150" t="inlineStr">
        <is>
          <t>E2D10B5924F8</t>
        </is>
      </c>
      <c r="E150" s="24">
        <f>LEFT(D150,2)&amp;":"&amp;MID(D150,3,2)&amp;":"&amp;MID(D150,5,2)&amp;":"&amp;MID(D150,7,2)&amp;":"&amp;MID(D150,9,2)&amp;":"&amp;RIGHT(D150,2)</f>
        <v/>
      </c>
      <c r="H150" t="inlineStr">
        <is>
          <t>D618BACDC5249A9E</t>
        </is>
      </c>
      <c r="J150" t="inlineStr">
        <is>
          <t>D618BACDC5249A9E</t>
        </is>
      </c>
    </row>
    <row r="151">
      <c r="A151" s="32">
        <f>IFERROR(_xlfn.IFNA(INDEX(Sensors_MANU!$E$2:$E$4692,MATCH($D151,Sensors_MANU!$B$2:$B$4692,0)),INDEX(Sensors_MANU!$E$2:$E$4692,MATCH($P151,Sensors_MANU!$A$2:$A$4692,0))),"")</f>
        <v/>
      </c>
      <c r="D151" t="inlineStr">
        <is>
          <t>F2C47B8D0F02</t>
        </is>
      </c>
      <c r="E151" s="24">
        <f>LEFT(D151,2)&amp;":"&amp;MID(D151,3,2)&amp;":"&amp;MID(D151,5,2)&amp;":"&amp;MID(D151,7,2)&amp;":"&amp;MID(D151,9,2)&amp;":"&amp;RIGHT(D151,2)</f>
        <v/>
      </c>
      <c r="H151" t="inlineStr">
        <is>
          <t>56538404AC17923E</t>
        </is>
      </c>
      <c r="J151" t="inlineStr">
        <is>
          <t>56538404AC17923E</t>
        </is>
      </c>
    </row>
    <row r="152">
      <c r="A152" s="32">
        <f>IFERROR(_xlfn.IFNA(INDEX(Sensors_MANU!$E$2:$E$4692,MATCH($D152,Sensors_MANU!$B$2:$B$4692,0)),INDEX(Sensors_MANU!$E$2:$E$4692,MATCH($P152,Sensors_MANU!$A$2:$A$4692,0))),"")</f>
        <v/>
      </c>
      <c r="D152" t="inlineStr">
        <is>
          <t>FDA12072D1C7</t>
        </is>
      </c>
      <c r="E152" s="24">
        <f>LEFT(D152,2)&amp;":"&amp;MID(D152,3,2)&amp;":"&amp;MID(D152,5,2)&amp;":"&amp;MID(D152,7,2)&amp;":"&amp;MID(D152,9,2)&amp;":"&amp;RIGHT(D152,2)</f>
        <v/>
      </c>
      <c r="H152" t="inlineStr">
        <is>
          <t>71EC122EDB9F0A38</t>
        </is>
      </c>
      <c r="J152" t="inlineStr">
        <is>
          <t>71EC122EDB9F0A38</t>
        </is>
      </c>
    </row>
    <row r="153">
      <c r="A153" s="32">
        <f>IFERROR(_xlfn.IFNA(INDEX(Sensors_MANU!$E$2:$E$4692,MATCH($D153,Sensors_MANU!$B$2:$B$4692,0)),INDEX(Sensors_MANU!$E$2:$E$4692,MATCH($P153,Sensors_MANU!$A$2:$A$4692,0))),"")</f>
        <v/>
      </c>
      <c r="D153" t="inlineStr">
        <is>
          <t>CFC66F479B0A</t>
        </is>
      </c>
      <c r="E153" s="24">
        <f>LEFT(D153,2)&amp;":"&amp;MID(D153,3,2)&amp;":"&amp;MID(D153,5,2)&amp;":"&amp;MID(D153,7,2)&amp;":"&amp;MID(D153,9,2)&amp;":"&amp;RIGHT(D153,2)</f>
        <v/>
      </c>
      <c r="H153" t="inlineStr">
        <is>
          <t>2AF91F5888081CE8</t>
        </is>
      </c>
      <c r="J153" t="inlineStr">
        <is>
          <t>2AF91F5888081CE8</t>
        </is>
      </c>
    </row>
    <row r="154">
      <c r="A154" s="32">
        <f>IFERROR(_xlfn.IFNA(INDEX(Sensors_MANU!$E$2:$E$4692,MATCH($D154,Sensors_MANU!$B$2:$B$4692,0)),INDEX(Sensors_MANU!$E$2:$E$4692,MATCH($P154,Sensors_MANU!$A$2:$A$4692,0))),"")</f>
        <v/>
      </c>
      <c r="D154" t="inlineStr">
        <is>
          <t>F0D9EE20AF42</t>
        </is>
      </c>
      <c r="E154" s="24">
        <f>LEFT(D154,2)&amp;":"&amp;MID(D154,3,2)&amp;":"&amp;MID(D154,5,2)&amp;":"&amp;MID(D154,7,2)&amp;":"&amp;MID(D154,9,2)&amp;":"&amp;RIGHT(D154,2)</f>
        <v/>
      </c>
      <c r="H154" t="inlineStr">
        <is>
          <t>7CDBE7CD930D7D30</t>
        </is>
      </c>
      <c r="J154" t="inlineStr">
        <is>
          <t>7CDBE7CD930D7D30</t>
        </is>
      </c>
    </row>
    <row r="155">
      <c r="A155" s="32">
        <f>IFERROR(_xlfn.IFNA(INDEX(Sensors_MANU!$E$2:$E$4692,MATCH($D155,Sensors_MANU!$B$2:$B$4692,0)),INDEX(Sensors_MANU!$E$2:$E$4692,MATCH($P155,Sensors_MANU!$A$2:$A$4692,0))),"")</f>
        <v/>
      </c>
      <c r="D155" t="inlineStr">
        <is>
          <t>F81E2490F9EC</t>
        </is>
      </c>
      <c r="E155" s="24">
        <f>LEFT(D155,2)&amp;":"&amp;MID(D155,3,2)&amp;":"&amp;MID(D155,5,2)&amp;":"&amp;MID(D155,7,2)&amp;":"&amp;MID(D155,9,2)&amp;":"&amp;RIGHT(D155,2)</f>
        <v/>
      </c>
      <c r="H155" t="inlineStr">
        <is>
          <t>08BE71E6F7DB7373</t>
        </is>
      </c>
      <c r="J155">
        <f>IFERROR(_xlfn.IFNA(INDEX(Sensors_MANU!$D$2:$D$4692,MATCH($D155,Sensors_MANU!$B$2:$B$4692,0)),INDEX(Sensors_MANU!$D$2:$D$4692,MATCH($P155,Sensors_MANU!$A$2:$A$4692,0))),"")</f>
        <v/>
      </c>
    </row>
    <row r="156">
      <c r="A156" s="32">
        <f>IFERROR(_xlfn.IFNA(INDEX(Sensors_MANU!$E$2:$E$4692,MATCH($D156,Sensors_MANU!$B$2:$B$4692,0)),INDEX(Sensors_MANU!$E$2:$E$4692,MATCH($P156,Sensors_MANU!$A$2:$A$4692,0))),"")</f>
        <v/>
      </c>
      <c r="D156" t="inlineStr">
        <is>
          <t>E2A9B15575A1</t>
        </is>
      </c>
      <c r="E156" s="24">
        <f>LEFT(D156,2)&amp;":"&amp;MID(D156,3,2)&amp;":"&amp;MID(D156,5,2)&amp;":"&amp;MID(D156,7,2)&amp;":"&amp;MID(D156,9,2)&amp;":"&amp;RIGHT(D156,2)</f>
        <v/>
      </c>
      <c r="H156" t="inlineStr">
        <is>
          <t>582D0F1C47416F2D</t>
        </is>
      </c>
      <c r="J156">
        <f>IFERROR(_xlfn.IFNA(INDEX(Sensors_MANU!$D$2:$D$4692,MATCH($D156,Sensors_MANU!$B$2:$B$4692,0)),INDEX(Sensors_MANU!$D$2:$D$4692,MATCH($P156,Sensors_MANU!$A$2:$A$4692,0))),"")</f>
        <v/>
      </c>
    </row>
    <row r="157">
      <c r="A157" s="32">
        <f>IFERROR(_xlfn.IFNA(INDEX(Sensors_MANU!$E$2:$E$4692,MATCH($D157,Sensors_MANU!$B$2:$B$4692,0)),INDEX(Sensors_MANU!$E$2:$E$4692,MATCH($P157,Sensors_MANU!$A$2:$A$4692,0))),"")</f>
        <v/>
      </c>
      <c r="D157" t="inlineStr">
        <is>
          <t>FEA48FC39E5D</t>
        </is>
      </c>
      <c r="E157" s="24">
        <f>LEFT(D157,2)&amp;":"&amp;MID(D157,3,2)&amp;":"&amp;MID(D157,5,2)&amp;":"&amp;MID(D157,7,2)&amp;":"&amp;MID(D157,9,2)&amp;":"&amp;RIGHT(D157,2)</f>
        <v/>
      </c>
      <c r="H157" t="inlineStr">
        <is>
          <t>B5E6AA2E1E46EDA1</t>
        </is>
      </c>
      <c r="J157">
        <f>IFERROR(_xlfn.IFNA(INDEX(Sensors_MANU!$D$2:$D$4692,MATCH($D157,Sensors_MANU!$B$2:$B$4692,0)),INDEX(Sensors_MANU!$D$2:$D$4692,MATCH($P157,Sensors_MANU!$A$2:$A$4692,0))),"")</f>
        <v/>
      </c>
    </row>
    <row r="158">
      <c r="A158" s="32">
        <f>IFERROR(_xlfn.IFNA(INDEX(Sensors_MANU!$E$2:$E$4692,MATCH($D158,Sensors_MANU!$B$2:$B$4692,0)),INDEX(Sensors_MANU!$E$2:$E$4692,MATCH($P158,Sensors_MANU!$A$2:$A$4692,0))),"")</f>
        <v/>
      </c>
      <c r="D158" t="inlineStr">
        <is>
          <t>EAB694172605</t>
        </is>
      </c>
      <c r="E158" s="24">
        <f>LEFT(D158,2)&amp;":"&amp;MID(D158,3,2)&amp;":"&amp;MID(D158,5,2)&amp;":"&amp;MID(D158,7,2)&amp;":"&amp;MID(D158,9,2)&amp;":"&amp;RIGHT(D158,2)</f>
        <v/>
      </c>
      <c r="H158" t="inlineStr">
        <is>
          <t>6B350ADCAC01A2C8</t>
        </is>
      </c>
      <c r="J158">
        <f>IFERROR(_xlfn.IFNA(INDEX(Sensors_MANU!$D$2:$D$4692,MATCH($D158,Sensors_MANU!$B$2:$B$4692,0)),INDEX(Sensors_MANU!$D$2:$D$4692,MATCH($P158,Sensors_MANU!$A$2:$A$4692,0))),"")</f>
        <v/>
      </c>
    </row>
    <row r="159">
      <c r="A159" s="26" t="n"/>
      <c r="D159" t="inlineStr">
        <is>
          <t>D1055954D0B1</t>
        </is>
      </c>
      <c r="E159" s="24">
        <f>LEFT(D159,2)&amp;":"&amp;MID(D159,3,2)&amp;":"&amp;MID(D159,5,2)&amp;":"&amp;MID(D159,7,2)&amp;":"&amp;MID(D159,9,2)&amp;":"&amp;RIGHT(D159,2)</f>
        <v/>
      </c>
      <c r="H159" t="inlineStr">
        <is>
          <t>C4F403116D2CDF6F</t>
        </is>
      </c>
      <c r="J159" t="inlineStr">
        <is>
          <t>C4F403116D2CDF6F</t>
        </is>
      </c>
    </row>
    <row r="160">
      <c r="A160" s="26" t="n"/>
      <c r="D160" t="inlineStr">
        <is>
          <t>CE3B4DD1929F</t>
        </is>
      </c>
      <c r="E160" s="24">
        <f>LEFT(D160,2)&amp;":"&amp;MID(D160,3,2)&amp;":"&amp;MID(D160,5,2)&amp;":"&amp;MID(D160,7,2)&amp;":"&amp;MID(D160,9,2)&amp;":"&amp;RIGHT(D160,2)</f>
        <v/>
      </c>
      <c r="H160" t="inlineStr">
        <is>
          <t>F5767A427B4DA5EF</t>
        </is>
      </c>
      <c r="J160" t="inlineStr">
        <is>
          <t>F5767A427B4DA5EF</t>
        </is>
      </c>
    </row>
    <row r="161">
      <c r="A161" s="32">
        <f>IFERROR(_xlfn.IFNA(INDEX(Sensors_MANU!$E$2:$E$4692,MATCH($D161,Sensors_MANU!$B$2:$B$4692,0)),INDEX(Sensors_MANU!$E$2:$E$4692,MATCH($P161,Sensors_MANU!$A$2:$A$4692,0))),"")</f>
        <v/>
      </c>
      <c r="D161" t="inlineStr">
        <is>
          <t>D906282C3426</t>
        </is>
      </c>
      <c r="E161" s="24">
        <f>LEFT(D161,2)&amp;":"&amp;MID(D161,3,2)&amp;":"&amp;MID(D161,5,2)&amp;":"&amp;MID(D161,7,2)&amp;":"&amp;MID(D161,9,2)&amp;":"&amp;RIGHT(D161,2)</f>
        <v/>
      </c>
      <c r="H161" t="inlineStr">
        <is>
          <t>96F03EA79F55175E</t>
        </is>
      </c>
      <c r="J161" t="inlineStr">
        <is>
          <t>96F03EA79F55175E</t>
        </is>
      </c>
    </row>
    <row r="162">
      <c r="A162" s="32" t="inlineStr">
        <is>
          <t>LTG</t>
        </is>
      </c>
      <c r="B162" s="24">
        <f>IFERROR(INDEX(Companies!$A$3:$A$101,MATCH(A162,Companies!$B$3:$B$101,0)),"")</f>
        <v/>
      </c>
      <c r="C162" s="4" t="inlineStr">
        <is>
          <t>link</t>
        </is>
      </c>
      <c r="D162" s="4" t="inlineStr">
        <is>
          <t>CA8023C1C20E</t>
        </is>
      </c>
      <c r="E162">
        <f>LEFT(D162,2)&amp;":"&amp;MID(D162,3,2)&amp;":"&amp;MID(D162,5,2)&amp;":"&amp;MID(D162,7,2)&amp;":"&amp;MID(D162,9,2)&amp;":"&amp;RIGHT(D162,2)</f>
        <v/>
      </c>
      <c r="F162" s="33" t="n">
        <v>44652.9375</v>
      </c>
      <c r="G162" s="33" t="n"/>
      <c r="H162" s="4" t="inlineStr">
        <is>
          <t>70784CF7EA32E3D5</t>
        </is>
      </c>
      <c r="I162" s="5" t="inlineStr">
        <is>
          <t>tadiran</t>
        </is>
      </c>
      <c r="J162" s="62" t="inlineStr">
        <is>
          <t>-</t>
        </is>
      </c>
      <c r="K162" s="32" t="inlineStr">
        <is>
          <t>730-005</t>
        </is>
      </c>
      <c r="L162" s="32" t="inlineStr">
        <is>
          <t>BL2</t>
        </is>
      </c>
      <c r="M162" s="32" t="n"/>
      <c r="N162" s="100" t="inlineStr">
        <is>
          <t>dismantled</t>
        </is>
      </c>
      <c r="O162" s="6" t="inlineStr">
        <is>
          <t>v14</t>
        </is>
      </c>
    </row>
    <row r="163">
      <c r="A163" s="32" t="inlineStr">
        <is>
          <t>LTG</t>
        </is>
      </c>
      <c r="B163" s="24">
        <f>IFERROR(INDEX(Companies!$A$3:$A$101,MATCH(A163,Companies!$B$3:$B$101,0)),"")</f>
        <v/>
      </c>
      <c r="C163" s="4" t="inlineStr">
        <is>
          <t>link</t>
        </is>
      </c>
      <c r="D163" s="4" t="inlineStr">
        <is>
          <t>E41CF74593DA</t>
        </is>
      </c>
      <c r="E163">
        <f>LEFT(D163,2)&amp;":"&amp;MID(D163,3,2)&amp;":"&amp;MID(D163,5,2)&amp;":"&amp;MID(D163,7,2)&amp;":"&amp;MID(D163,9,2)&amp;":"&amp;RIGHT(D163,2)</f>
        <v/>
      </c>
      <c r="F163" s="33" t="n">
        <v>44652.9375</v>
      </c>
      <c r="G163" s="33" t="n"/>
      <c r="H163" s="4" t="inlineStr">
        <is>
          <t>58FDC10C03E0C329</t>
        </is>
      </c>
      <c r="I163" s="5" t="inlineStr">
        <is>
          <t>tadiran</t>
        </is>
      </c>
      <c r="J163" s="62" t="inlineStr">
        <is>
          <t>-</t>
        </is>
      </c>
      <c r="K163" s="32" t="inlineStr">
        <is>
          <t>730-005</t>
        </is>
      </c>
      <c r="L163" s="32" t="inlineStr">
        <is>
          <t>FR2</t>
        </is>
      </c>
      <c r="M163" s="32" t="n"/>
      <c r="N163" s="100" t="inlineStr">
        <is>
          <t>dismantled</t>
        </is>
      </c>
      <c r="O163" s="6" t="inlineStr">
        <is>
          <t>v14</t>
        </is>
      </c>
    </row>
    <row r="164">
      <c r="A164" s="32" t="inlineStr">
        <is>
          <t>LTG</t>
        </is>
      </c>
      <c r="B164" s="24">
        <f>IFERROR(INDEX(Companies!$A$3:$A$101,MATCH(A164,Companies!$B$3:$B$101,0)),"")</f>
        <v/>
      </c>
      <c r="C164" s="4" t="inlineStr">
        <is>
          <t>link</t>
        </is>
      </c>
      <c r="D164" s="4" t="inlineStr">
        <is>
          <t>C6E918F65E6D</t>
        </is>
      </c>
      <c r="E164">
        <f>LEFT(D164,2)&amp;":"&amp;MID(D164,3,2)&amp;":"&amp;MID(D164,5,2)&amp;":"&amp;MID(D164,7,2)&amp;":"&amp;MID(D164,9,2)&amp;":"&amp;RIGHT(D164,2)</f>
        <v/>
      </c>
      <c r="F164" s="33" t="n">
        <v>44652.9375</v>
      </c>
      <c r="G164" s="33" t="n"/>
      <c r="H164" s="4" t="inlineStr">
        <is>
          <t>9273B484B8D3AE5F</t>
        </is>
      </c>
      <c r="I164" s="5" t="inlineStr">
        <is>
          <t>tadiran</t>
        </is>
      </c>
      <c r="J164" s="62" t="inlineStr">
        <is>
          <t>-</t>
        </is>
      </c>
      <c r="K164" s="32" t="inlineStr">
        <is>
          <t>730-005</t>
        </is>
      </c>
      <c r="L164" s="32" t="inlineStr">
        <is>
          <t>BR1</t>
        </is>
      </c>
      <c r="M164" s="32" t="n"/>
      <c r="N164" s="100" t="inlineStr">
        <is>
          <t>dismantled</t>
        </is>
      </c>
      <c r="O164" s="6" t="inlineStr">
        <is>
          <t>v14</t>
        </is>
      </c>
    </row>
    <row r="165">
      <c r="A165" s="32" t="inlineStr">
        <is>
          <t>LTG</t>
        </is>
      </c>
      <c r="B165" s="24">
        <f>IFERROR(INDEX(Companies!$A$3:$A$101,MATCH(A165,Companies!$B$3:$B$101,0)),"")</f>
        <v/>
      </c>
      <c r="C165" s="4" t="inlineStr">
        <is>
          <t>link</t>
        </is>
      </c>
      <c r="D165" s="4" t="inlineStr">
        <is>
          <t>CDFE1ACA56D2</t>
        </is>
      </c>
      <c r="E165">
        <f>LEFT(D165,2)&amp;":"&amp;MID(D165,3,2)&amp;":"&amp;MID(D165,5,2)&amp;":"&amp;MID(D165,7,2)&amp;":"&amp;MID(D165,9,2)&amp;":"&amp;RIGHT(D165,2)</f>
        <v/>
      </c>
      <c r="F165" s="33" t="n">
        <v>44652.9375</v>
      </c>
      <c r="G165" s="33" t="n"/>
      <c r="H165" s="4" t="inlineStr">
        <is>
          <t>D1D81015E0BD9307</t>
        </is>
      </c>
      <c r="I165" s="5" t="inlineStr">
        <is>
          <t>tadiran</t>
        </is>
      </c>
      <c r="J165" s="62" t="inlineStr">
        <is>
          <t>-</t>
        </is>
      </c>
      <c r="K165" s="32" t="inlineStr">
        <is>
          <t>730-005</t>
        </is>
      </c>
      <c r="L165" s="32" t="inlineStr">
        <is>
          <t>FR1</t>
        </is>
      </c>
      <c r="M165" s="32" t="n"/>
      <c r="N165" s="100" t="inlineStr">
        <is>
          <t>dismantled</t>
        </is>
      </c>
      <c r="O165" s="6" t="inlineStr">
        <is>
          <t>v14</t>
        </is>
      </c>
    </row>
    <row r="166">
      <c r="A166" s="32" t="inlineStr">
        <is>
          <t>LTG</t>
        </is>
      </c>
      <c r="B166" s="24">
        <f>IFERROR(INDEX(Companies!$A$3:$A$101,MATCH(A166,Companies!$B$3:$B$101,0)),"")</f>
        <v/>
      </c>
      <c r="C166" s="4" t="inlineStr">
        <is>
          <t>link</t>
        </is>
      </c>
      <c r="D166" s="4" t="inlineStr">
        <is>
          <t>F67D839FEC13</t>
        </is>
      </c>
      <c r="E166">
        <f>LEFT(D166,2)&amp;":"&amp;MID(D166,3,2)&amp;":"&amp;MID(D166,5,2)&amp;":"&amp;MID(D166,7,2)&amp;":"&amp;MID(D166,9,2)&amp;":"&amp;RIGHT(D166,2)</f>
        <v/>
      </c>
      <c r="F166" s="33" t="n">
        <v>44652.9375</v>
      </c>
      <c r="G166" s="33" t="n"/>
      <c r="H166" s="4" t="inlineStr">
        <is>
          <t>011A53584DBC4F7B</t>
        </is>
      </c>
      <c r="I166" s="5" t="inlineStr">
        <is>
          <t>tadiran</t>
        </is>
      </c>
      <c r="J166" s="62" t="inlineStr">
        <is>
          <t>-</t>
        </is>
      </c>
      <c r="K166" s="32" t="inlineStr">
        <is>
          <t>730-005</t>
        </is>
      </c>
      <c r="L166" s="32" t="inlineStr">
        <is>
          <t>FL1</t>
        </is>
      </c>
      <c r="M166" s="32" t="n"/>
      <c r="N166" s="100" t="inlineStr">
        <is>
          <t>dismantled</t>
        </is>
      </c>
      <c r="O166" s="6" t="inlineStr">
        <is>
          <t>v14</t>
        </is>
      </c>
    </row>
    <row r="167">
      <c r="A167" s="32" t="inlineStr">
        <is>
          <t>LTG</t>
        </is>
      </c>
      <c r="B167" s="24">
        <f>IFERROR(INDEX(Companies!$A$3:$A$101,MATCH(A167,Companies!$B$3:$B$101,0)),"")</f>
        <v/>
      </c>
      <c r="C167" s="4" t="inlineStr">
        <is>
          <t>link</t>
        </is>
      </c>
      <c r="D167" s="4" t="inlineStr">
        <is>
          <t>C7D329BC44FB</t>
        </is>
      </c>
      <c r="E167">
        <f>LEFT(D167,2)&amp;":"&amp;MID(D167,3,2)&amp;":"&amp;MID(D167,5,2)&amp;":"&amp;MID(D167,7,2)&amp;":"&amp;MID(D167,9,2)&amp;":"&amp;RIGHT(D167,2)</f>
        <v/>
      </c>
      <c r="F167" s="33" t="n">
        <v>44652.9375</v>
      </c>
      <c r="G167" s="33" t="n"/>
      <c r="H167" s="4" t="inlineStr">
        <is>
          <t>F04E25788950CAAD</t>
        </is>
      </c>
      <c r="I167" s="5" t="inlineStr">
        <is>
          <t>tadiran</t>
        </is>
      </c>
      <c r="J167" s="62" t="inlineStr">
        <is>
          <t>-</t>
        </is>
      </c>
      <c r="K167" s="32" t="inlineStr">
        <is>
          <t>730-005</t>
        </is>
      </c>
      <c r="L167" s="32" t="inlineStr">
        <is>
          <t>BR2</t>
        </is>
      </c>
      <c r="M167" s="32" t="n"/>
      <c r="N167" s="100" t="inlineStr">
        <is>
          <t>dismantled</t>
        </is>
      </c>
      <c r="O167" s="6" t="inlineStr">
        <is>
          <t>v14</t>
        </is>
      </c>
    </row>
    <row r="168">
      <c r="A168" s="32" t="inlineStr">
        <is>
          <t>LTG</t>
        </is>
      </c>
      <c r="B168" s="24">
        <f>IFERROR(INDEX(Companies!$A$3:$A$101,MATCH(A168,Companies!$B$3:$B$101,0)),"")</f>
        <v/>
      </c>
      <c r="C168" s="4" t="inlineStr">
        <is>
          <t>link</t>
        </is>
      </c>
      <c r="D168" s="4" t="inlineStr">
        <is>
          <t>D46E47798B0A</t>
        </is>
      </c>
      <c r="E168">
        <f>LEFT(D168,2)&amp;":"&amp;MID(D168,3,2)&amp;":"&amp;MID(D168,5,2)&amp;":"&amp;MID(D168,7,2)&amp;":"&amp;MID(D168,9,2)&amp;":"&amp;RIGHT(D168,2)</f>
        <v/>
      </c>
      <c r="F168" s="33" t="n">
        <v>44592.5625</v>
      </c>
      <c r="G168" s="33" t="n"/>
      <c r="H168" s="4" t="inlineStr">
        <is>
          <t>491B72D348AA3ED9</t>
        </is>
      </c>
      <c r="I168" s="5" t="inlineStr">
        <is>
          <t>tadiran</t>
        </is>
      </c>
      <c r="J168" s="62" t="inlineStr">
        <is>
          <t>-</t>
        </is>
      </c>
      <c r="K168" s="36" t="inlineStr">
        <is>
          <t>95240733002-8</t>
        </is>
      </c>
      <c r="L168" s="36" t="inlineStr">
        <is>
          <t>BL1</t>
        </is>
      </c>
      <c r="M168" s="36" t="n"/>
      <c r="N168" s="100" t="inlineStr">
        <is>
          <t>dismantled</t>
        </is>
      </c>
      <c r="O168" s="6" t="inlineStr">
        <is>
          <t>v14</t>
        </is>
      </c>
    </row>
    <row r="169">
      <c r="A169" s="32" t="inlineStr">
        <is>
          <t>LTG</t>
        </is>
      </c>
      <c r="B169" s="24">
        <f>IFERROR(INDEX(Companies!$A$3:$A$101,MATCH(A169,Companies!$B$3:$B$101,0)),"")</f>
        <v/>
      </c>
      <c r="C169" t="inlineStr">
        <is>
          <t>cargo</t>
        </is>
      </c>
      <c r="D169" t="inlineStr">
        <is>
          <t>D4EA0A7CB4D7</t>
        </is>
      </c>
      <c r="E169">
        <f>LEFT(D169,2)&amp;":"&amp;MID(D169,3,2)&amp;":"&amp;MID(D169,5,2)&amp;":"&amp;MID(D169,7,2)&amp;":"&amp;MID(D169,9,2)&amp;":"&amp;RIGHT(D169,2)</f>
        <v/>
      </c>
      <c r="F169" s="29" t="n">
        <v>44602</v>
      </c>
      <c r="H169" t="inlineStr">
        <is>
          <t>90867CE83BE6D4BA</t>
        </is>
      </c>
      <c r="I169" s="6" t="inlineStr">
        <is>
          <t>tadiran</t>
        </is>
      </c>
      <c r="J169" s="9" t="inlineStr">
        <is>
          <t>CARGO-PR2201-011</t>
        </is>
      </c>
      <c r="K169" s="35" t="inlineStr">
        <is>
          <t>61557070-24</t>
        </is>
      </c>
      <c r="L169" s="35" t="n"/>
      <c r="M169" s="35" t="n"/>
      <c r="N169" s="99">
        <f>IFERROR(INDEX(Sensors_MANU!$G$2:$G$4692,MATCH($P169,Sensors_MANU!$A$2:$A$4692,0)),)</f>
        <v/>
      </c>
      <c r="O169" s="6" t="inlineStr">
        <is>
          <t>v14</t>
        </is>
      </c>
    </row>
    <row r="170">
      <c r="A170" s="32" t="inlineStr">
        <is>
          <t>LTG</t>
        </is>
      </c>
      <c r="B170" s="24">
        <f>IFERROR(INDEX(Companies!$A$3:$A$101,MATCH(A170,Companies!$B$3:$B$101,0)),"")</f>
        <v/>
      </c>
      <c r="C170" t="inlineStr">
        <is>
          <t>cargo</t>
        </is>
      </c>
      <c r="D170" t="inlineStr">
        <is>
          <t>D110137DFB26</t>
        </is>
      </c>
      <c r="E170">
        <f>LEFT(D170,2)&amp;":"&amp;MID(D170,3,2)&amp;":"&amp;MID(D170,5,2)&amp;":"&amp;MID(D170,7,2)&amp;":"&amp;MID(D170,9,2)&amp;":"&amp;RIGHT(D170,2)</f>
        <v/>
      </c>
      <c r="F170" s="29" t="n">
        <v>44602</v>
      </c>
      <c r="H170" t="inlineStr">
        <is>
          <t>430D3C9EBC9CB77F</t>
        </is>
      </c>
      <c r="I170" s="6" t="inlineStr">
        <is>
          <t>tadiran</t>
        </is>
      </c>
      <c r="J170" s="9" t="inlineStr">
        <is>
          <t>CARGO-PR2201-012</t>
        </is>
      </c>
      <c r="K170" s="35" t="inlineStr">
        <is>
          <t>61557070-24</t>
        </is>
      </c>
      <c r="L170" s="35" t="n"/>
      <c r="M170" s="35" t="n"/>
      <c r="N170" s="99">
        <f>IFERROR(INDEX(Sensors_MANU!$G$2:$G$4692,MATCH($P170,Sensors_MANU!$A$2:$A$4692,0)),)</f>
        <v/>
      </c>
      <c r="O170" s="6" t="inlineStr">
        <is>
          <t>v14</t>
        </is>
      </c>
    </row>
    <row r="171">
      <c r="A171" s="32" t="inlineStr">
        <is>
          <t>LTG</t>
        </is>
      </c>
      <c r="B171" s="24">
        <f>IFERROR(INDEX(Companies!$A$3:$A$101,MATCH(A171,Companies!$B$3:$B$101,0)),"")</f>
        <v/>
      </c>
      <c r="C171" t="inlineStr">
        <is>
          <t>cargo</t>
        </is>
      </c>
      <c r="D171" t="inlineStr">
        <is>
          <t>E8B6F0A4B431</t>
        </is>
      </c>
      <c r="E171">
        <f>LEFT(D171,2)&amp;":"&amp;MID(D171,3,2)&amp;":"&amp;MID(D171,5,2)&amp;":"&amp;MID(D171,7,2)&amp;":"&amp;MID(D171,9,2)&amp;":"&amp;RIGHT(D171,2)</f>
        <v/>
      </c>
      <c r="F171" s="29" t="n">
        <v>44602</v>
      </c>
      <c r="H171" t="inlineStr">
        <is>
          <t>3583663FBE22D42C</t>
        </is>
      </c>
      <c r="I171" s="6" t="inlineStr">
        <is>
          <t>tadiran</t>
        </is>
      </c>
      <c r="J171" s="9" t="inlineStr">
        <is>
          <t>CARGO-PR2201-013</t>
        </is>
      </c>
      <c r="K171" s="35" t="inlineStr">
        <is>
          <t>61557070-24</t>
        </is>
      </c>
      <c r="L171" s="35" t="n"/>
      <c r="M171" s="35" t="n"/>
      <c r="N171" s="99">
        <f>IFERROR(INDEX(Sensors_MANU!$G$2:$G$4692,MATCH($P171,Sensors_MANU!$A$2:$A$4692,0)),)</f>
        <v/>
      </c>
      <c r="O171" s="6" t="inlineStr">
        <is>
          <t>v14</t>
        </is>
      </c>
    </row>
    <row r="172">
      <c r="A172" s="32" t="inlineStr">
        <is>
          <t>LTG</t>
        </is>
      </c>
      <c r="B172" s="24">
        <f>IFERROR(INDEX(Companies!$A$3:$A$101,MATCH(A172,Companies!$B$3:$B$101,0)),"")</f>
        <v/>
      </c>
      <c r="C172" t="inlineStr">
        <is>
          <t>cargo</t>
        </is>
      </c>
      <c r="D172" t="inlineStr">
        <is>
          <t>FF05B6A85395</t>
        </is>
      </c>
      <c r="E172">
        <f>LEFT(D172,2)&amp;":"&amp;MID(D172,3,2)&amp;":"&amp;MID(D172,5,2)&amp;":"&amp;MID(D172,7,2)&amp;":"&amp;MID(D172,9,2)&amp;":"&amp;RIGHT(D172,2)</f>
        <v/>
      </c>
      <c r="F172" s="29" t="n">
        <v>44602</v>
      </c>
      <c r="H172" t="inlineStr">
        <is>
          <t>19AD2D436770EC5D</t>
        </is>
      </c>
      <c r="I172" s="6" t="inlineStr">
        <is>
          <t>tadiran</t>
        </is>
      </c>
      <c r="J172" s="9" t="inlineStr">
        <is>
          <t>CARGO-PR2201-014</t>
        </is>
      </c>
      <c r="K172" s="35" t="inlineStr">
        <is>
          <t>61557070-24</t>
        </is>
      </c>
      <c r="L172" s="35" t="n"/>
      <c r="M172" s="35" t="n"/>
      <c r="N172" s="101" t="inlineStr">
        <is>
          <t>flat spot</t>
        </is>
      </c>
      <c r="O172" s="6" t="inlineStr">
        <is>
          <t>v14</t>
        </is>
      </c>
    </row>
    <row r="173">
      <c r="A173" s="32" t="inlineStr">
        <is>
          <t>LTG</t>
        </is>
      </c>
      <c r="B173" s="24">
        <f>IFERROR(INDEX(Companies!$A$3:$A$101,MATCH(A173,Companies!$B$3:$B$101,0)),"")</f>
        <v/>
      </c>
      <c r="C173" t="inlineStr">
        <is>
          <t>cargo</t>
        </is>
      </c>
      <c r="D173" t="inlineStr">
        <is>
          <t>F94CBE3DFA43</t>
        </is>
      </c>
      <c r="E173">
        <f>LEFT(D173,2)&amp;":"&amp;MID(D173,3,2)&amp;":"&amp;MID(D173,5,2)&amp;":"&amp;MID(D173,7,2)&amp;":"&amp;MID(D173,9,2)&amp;":"&amp;RIGHT(D173,2)</f>
        <v/>
      </c>
      <c r="F173" s="29" t="n">
        <v>44602</v>
      </c>
      <c r="H173" t="inlineStr">
        <is>
          <t>3B40AD907BD7DFEB</t>
        </is>
      </c>
      <c r="I173" s="6" t="inlineStr">
        <is>
          <t>tadiran</t>
        </is>
      </c>
      <c r="J173" s="9" t="inlineStr">
        <is>
          <t>CARGO-PR2201-015</t>
        </is>
      </c>
      <c r="K173" s="35" t="inlineStr">
        <is>
          <t>61557070-24</t>
        </is>
      </c>
      <c r="L173" s="35" t="n"/>
      <c r="M173" s="35" t="n"/>
      <c r="N173" s="99">
        <f>IFERROR(INDEX(Sensors_MANU!$G$2:$G$4692,MATCH($P173,Sensors_MANU!$A$2:$A$4692,0)),)</f>
        <v/>
      </c>
      <c r="O173" s="6" t="inlineStr">
        <is>
          <t>v14</t>
        </is>
      </c>
    </row>
    <row r="174">
      <c r="A174" s="32" t="inlineStr">
        <is>
          <t>LTG</t>
        </is>
      </c>
      <c r="B174" s="24">
        <f>IFERROR(INDEX(Companies!$A$3:$A$101,MATCH(A174,Companies!$B$3:$B$101,0)),"")</f>
        <v/>
      </c>
      <c r="C174" t="inlineStr">
        <is>
          <t>cargo</t>
        </is>
      </c>
      <c r="D174" t="inlineStr">
        <is>
          <t>C60C8309EDE6</t>
        </is>
      </c>
      <c r="E174">
        <f>LEFT(D174,2)&amp;":"&amp;MID(D174,3,2)&amp;":"&amp;MID(D174,5,2)&amp;":"&amp;MID(D174,7,2)&amp;":"&amp;MID(D174,9,2)&amp;":"&amp;RIGHT(D174,2)</f>
        <v/>
      </c>
      <c r="F174" s="29" t="n">
        <v>44602</v>
      </c>
      <c r="H174" t="inlineStr">
        <is>
          <t>CDB7B08541AAF1C7</t>
        </is>
      </c>
      <c r="I174" s="6" t="inlineStr">
        <is>
          <t>tadiran</t>
        </is>
      </c>
      <c r="J174" s="9" t="inlineStr">
        <is>
          <t>CARGO-PR2201-016</t>
        </is>
      </c>
      <c r="K174" s="35" t="inlineStr">
        <is>
          <t>61557070-24</t>
        </is>
      </c>
      <c r="L174" s="35" t="n"/>
      <c r="M174" s="35" t="n"/>
      <c r="N174" s="99">
        <f>IFERROR(INDEX(Sensors_MANU!$G$2:$G$4692,MATCH($P174,Sensors_MANU!$A$2:$A$4692,0)),)</f>
        <v/>
      </c>
      <c r="O174" s="6" t="inlineStr">
        <is>
          <t>v14</t>
        </is>
      </c>
    </row>
    <row r="175">
      <c r="A175" s="32" t="inlineStr">
        <is>
          <t>LTG</t>
        </is>
      </c>
      <c r="B175" s="24">
        <f>IFERROR(INDEX(Companies!$A$3:$A$101,MATCH(A175,Companies!$B$3:$B$101,0)),"")</f>
        <v/>
      </c>
      <c r="C175" t="inlineStr">
        <is>
          <t>cargo</t>
        </is>
      </c>
      <c r="D175" t="inlineStr">
        <is>
          <t>CDCB733AF360</t>
        </is>
      </c>
      <c r="E175">
        <f>LEFT(D175,2)&amp;":"&amp;MID(D175,3,2)&amp;":"&amp;MID(D175,5,2)&amp;":"&amp;MID(D175,7,2)&amp;":"&amp;MID(D175,9,2)&amp;":"&amp;RIGHT(D175,2)</f>
        <v/>
      </c>
      <c r="F175" s="29" t="n">
        <v>44602</v>
      </c>
      <c r="H175" t="inlineStr">
        <is>
          <t>29E24CBF61D54450</t>
        </is>
      </c>
      <c r="I175" s="6" t="inlineStr">
        <is>
          <t>tadiran</t>
        </is>
      </c>
      <c r="J175" s="9" t="inlineStr">
        <is>
          <t>CARGO-PR2201-017</t>
        </is>
      </c>
      <c r="K175" s="35" t="inlineStr">
        <is>
          <t>61557070-24</t>
        </is>
      </c>
      <c r="L175" s="35" t="n"/>
      <c r="M175" s="35" t="n"/>
      <c r="N175" s="101" t="inlineStr">
        <is>
          <t>flat spot</t>
        </is>
      </c>
      <c r="O175" s="6" t="inlineStr">
        <is>
          <t>v14</t>
        </is>
      </c>
    </row>
    <row r="176">
      <c r="A176" s="32" t="inlineStr">
        <is>
          <t>LTG</t>
        </is>
      </c>
      <c r="B176" s="24">
        <f>IFERROR(INDEX(Companies!$A$3:$A$101,MATCH(A176,Companies!$B$3:$B$101,0)),"")</f>
        <v/>
      </c>
      <c r="C176" t="inlineStr">
        <is>
          <t>cargo</t>
        </is>
      </c>
      <c r="D176" t="inlineStr">
        <is>
          <t>E17A958BF2E7</t>
        </is>
      </c>
      <c r="E176">
        <f>LEFT(D176,2)&amp;":"&amp;MID(D176,3,2)&amp;":"&amp;MID(D176,5,2)&amp;":"&amp;MID(D176,7,2)&amp;":"&amp;MID(D176,9,2)&amp;":"&amp;RIGHT(D176,2)</f>
        <v/>
      </c>
      <c r="F176" s="29" t="n">
        <v>44602</v>
      </c>
      <c r="H176" t="inlineStr">
        <is>
          <t>3A87800D7EF31C53</t>
        </is>
      </c>
      <c r="I176" s="6" t="inlineStr">
        <is>
          <t>tadiran</t>
        </is>
      </c>
      <c r="J176" s="9" t="inlineStr">
        <is>
          <t>CARGO-PR2201-018</t>
        </is>
      </c>
      <c r="K176" s="35" t="inlineStr">
        <is>
          <t>61557070-24</t>
        </is>
      </c>
      <c r="L176" s="35" t="n"/>
      <c r="M176" s="35" t="n"/>
      <c r="N176" s="101" t="inlineStr">
        <is>
          <t>flat spot</t>
        </is>
      </c>
      <c r="O176" s="6" t="inlineStr">
        <is>
          <t>v14</t>
        </is>
      </c>
    </row>
    <row r="177">
      <c r="A177" s="32" t="inlineStr">
        <is>
          <t>LTG</t>
        </is>
      </c>
      <c r="B177" s="24">
        <f>IFERROR(INDEX(Companies!$A$3:$A$101,MATCH(A177,Companies!$B$3:$B$101,0)),"")</f>
        <v/>
      </c>
      <c r="C177" t="inlineStr">
        <is>
          <t>cargo</t>
        </is>
      </c>
      <c r="D177" t="inlineStr">
        <is>
          <t>EF483513AB64</t>
        </is>
      </c>
      <c r="E177">
        <f>LEFT(D177,2)&amp;":"&amp;MID(D177,3,2)&amp;":"&amp;MID(D177,5,2)&amp;":"&amp;MID(D177,7,2)&amp;":"&amp;MID(D177,9,2)&amp;":"&amp;RIGHT(D177,2)</f>
        <v/>
      </c>
      <c r="F177" s="29" t="n">
        <v>44602</v>
      </c>
      <c r="H177" t="inlineStr">
        <is>
          <t>D16ABA8BB8214C27</t>
        </is>
      </c>
      <c r="I177" s="6" t="inlineStr">
        <is>
          <t>tadiran</t>
        </is>
      </c>
      <c r="J177" s="9" t="inlineStr">
        <is>
          <t>CARGO-PR2201-019</t>
        </is>
      </c>
      <c r="K177" s="35" t="n">
        <v>94230554</v>
      </c>
      <c r="L177" s="35" t="n"/>
      <c r="M177" s="35" t="n"/>
      <c r="N177" s="99">
        <f>IFERROR(INDEX(Sensors_MANU!$G$2:$G$4692,MATCH($P177,Sensors_MANU!$A$2:$A$4692,0)),)</f>
        <v/>
      </c>
      <c r="O177" s="6" t="inlineStr">
        <is>
          <t>v14</t>
        </is>
      </c>
    </row>
    <row r="178">
      <c r="A178" s="32" t="inlineStr">
        <is>
          <t>LTG</t>
        </is>
      </c>
      <c r="B178" s="24">
        <f>IFERROR(INDEX(Companies!$A$3:$A$101,MATCH(A178,Companies!$B$3:$B$101,0)),"")</f>
        <v/>
      </c>
      <c r="C178" t="inlineStr">
        <is>
          <t>cargo</t>
        </is>
      </c>
      <c r="D178" t="inlineStr">
        <is>
          <t>E3A9474457EE</t>
        </is>
      </c>
      <c r="E178">
        <f>LEFT(D178,2)&amp;":"&amp;MID(D178,3,2)&amp;":"&amp;MID(D178,5,2)&amp;":"&amp;MID(D178,7,2)&amp;":"&amp;MID(D178,9,2)&amp;":"&amp;RIGHT(D178,2)</f>
        <v/>
      </c>
      <c r="F178" s="29" t="n">
        <v>44602</v>
      </c>
      <c r="H178" t="inlineStr">
        <is>
          <t>BE5F8F2376214E5D</t>
        </is>
      </c>
      <c r="I178" s="6" t="inlineStr">
        <is>
          <t>tadiran</t>
        </is>
      </c>
      <c r="J178" s="9" t="inlineStr">
        <is>
          <t>CARGO-PR2201-020</t>
        </is>
      </c>
      <c r="K178" s="35" t="n">
        <v>94230554</v>
      </c>
      <c r="L178" s="35" t="n"/>
      <c r="M178" s="35" t="n"/>
      <c r="N178" s="99">
        <f>IFERROR(INDEX(Sensors_MANU!$G$2:$G$4692,MATCH($P178,Sensors_MANU!$A$2:$A$4692,0)),)</f>
        <v/>
      </c>
      <c r="O178" s="6" t="inlineStr">
        <is>
          <t>v14</t>
        </is>
      </c>
    </row>
    <row r="179">
      <c r="A179" s="32" t="inlineStr">
        <is>
          <t>LTG</t>
        </is>
      </c>
      <c r="B179" s="24">
        <f>IFERROR(INDEX(Companies!$A$3:$A$101,MATCH(A179,Companies!$B$3:$B$101,0)),"")</f>
        <v/>
      </c>
      <c r="C179" t="inlineStr">
        <is>
          <t>cargo</t>
        </is>
      </c>
      <c r="D179" t="inlineStr">
        <is>
          <t>E12319A485D3</t>
        </is>
      </c>
      <c r="E179">
        <f>LEFT(D179,2)&amp;":"&amp;MID(D179,3,2)&amp;":"&amp;MID(D179,5,2)&amp;":"&amp;MID(D179,7,2)&amp;":"&amp;MID(D179,9,2)&amp;":"&amp;RIGHT(D179,2)</f>
        <v/>
      </c>
      <c r="F179" s="29" t="n">
        <v>44602</v>
      </c>
      <c r="H179" t="inlineStr">
        <is>
          <t>03C5E14F4237A7CE</t>
        </is>
      </c>
      <c r="I179" s="6" t="inlineStr">
        <is>
          <t>tadiran</t>
        </is>
      </c>
      <c r="J179" s="9" t="inlineStr">
        <is>
          <t>CARGO-PR2201-021</t>
        </is>
      </c>
      <c r="K179" s="35" t="n">
        <v>94230554</v>
      </c>
      <c r="L179" s="35" t="n"/>
      <c r="M179" s="35" t="n"/>
      <c r="N179" s="99">
        <f>IFERROR(INDEX(Sensors_MANU!$G$2:$G$4692,MATCH($P179,Sensors_MANU!$A$2:$A$4692,0)),)</f>
        <v/>
      </c>
      <c r="O179" s="6" t="inlineStr">
        <is>
          <t>v14</t>
        </is>
      </c>
    </row>
    <row r="180">
      <c r="A180" s="32" t="inlineStr">
        <is>
          <t>LTG</t>
        </is>
      </c>
      <c r="B180" s="24">
        <f>IFERROR(INDEX(Companies!$A$3:$A$101,MATCH(A180,Companies!$B$3:$B$101,0)),"")</f>
        <v/>
      </c>
      <c r="C180" t="inlineStr">
        <is>
          <t>cargo</t>
        </is>
      </c>
      <c r="D180" t="inlineStr">
        <is>
          <t>CFD2087D1CF3</t>
        </is>
      </c>
      <c r="E180">
        <f>LEFT(D180,2)&amp;":"&amp;MID(D180,3,2)&amp;":"&amp;MID(D180,5,2)&amp;":"&amp;MID(D180,7,2)&amp;":"&amp;MID(D180,9,2)&amp;":"&amp;RIGHT(D180,2)</f>
        <v/>
      </c>
      <c r="F180" s="29" t="n">
        <v>44602</v>
      </c>
      <c r="H180" t="inlineStr">
        <is>
          <t>24E8199F8C78732B</t>
        </is>
      </c>
      <c r="I180" s="6" t="inlineStr">
        <is>
          <t>tadiran</t>
        </is>
      </c>
      <c r="J180" s="9" t="inlineStr">
        <is>
          <t>CARGO-PR2201-022</t>
        </is>
      </c>
      <c r="K180" s="35" t="n">
        <v>94230554</v>
      </c>
      <c r="L180" s="35" t="n"/>
      <c r="M180" s="35" t="n"/>
      <c r="N180" s="99">
        <f>IFERROR(INDEX(Sensors_MANU!$G$2:$G$4692,MATCH($P180,Sensors_MANU!$A$2:$A$4692,0)),)</f>
        <v/>
      </c>
      <c r="O180" s="6" t="inlineStr">
        <is>
          <t>v14</t>
        </is>
      </c>
    </row>
    <row r="181">
      <c r="A181" s="32" t="inlineStr">
        <is>
          <t>LTG</t>
        </is>
      </c>
      <c r="B181" s="24">
        <f>IFERROR(INDEX(Companies!$A$3:$A$101,MATCH(A181,Companies!$B$3:$B$101,0)),"")</f>
        <v/>
      </c>
      <c r="C181" t="inlineStr">
        <is>
          <t>cargo</t>
        </is>
      </c>
      <c r="D181" t="inlineStr">
        <is>
          <t>CA616FFD24BA</t>
        </is>
      </c>
      <c r="E181">
        <f>LEFT(D181,2)&amp;":"&amp;MID(D181,3,2)&amp;":"&amp;MID(D181,5,2)&amp;":"&amp;MID(D181,7,2)&amp;":"&amp;MID(D181,9,2)&amp;":"&amp;RIGHT(D181,2)</f>
        <v/>
      </c>
      <c r="F181" s="29" t="n">
        <v>44602</v>
      </c>
      <c r="H181" t="inlineStr">
        <is>
          <t>C8A47835E92FBA87</t>
        </is>
      </c>
      <c r="I181" s="6" t="inlineStr">
        <is>
          <t>tadiran</t>
        </is>
      </c>
      <c r="J181" s="9" t="inlineStr">
        <is>
          <t>CARGO-PR2201-023</t>
        </is>
      </c>
      <c r="K181" s="35" t="n">
        <v>94230554</v>
      </c>
      <c r="L181" s="35" t="n"/>
      <c r="M181" s="35" t="n"/>
      <c r="N181" s="99">
        <f>IFERROR(INDEX(Sensors_MANU!$G$2:$G$4692,MATCH($P181,Sensors_MANU!$A$2:$A$4692,0)),)</f>
        <v/>
      </c>
      <c r="O181" s="6" t="inlineStr">
        <is>
          <t>v14</t>
        </is>
      </c>
    </row>
    <row r="182">
      <c r="A182" s="32" t="inlineStr">
        <is>
          <t>LTG</t>
        </is>
      </c>
      <c r="B182" s="24">
        <f>IFERROR(INDEX(Companies!$A$3:$A$101,MATCH(A182,Companies!$B$3:$B$101,0)),"")</f>
        <v/>
      </c>
      <c r="C182" t="inlineStr">
        <is>
          <t>cargo</t>
        </is>
      </c>
      <c r="D182" t="inlineStr">
        <is>
          <t>3F3C130DE49</t>
        </is>
      </c>
      <c r="E182">
        <f>LEFT(D182,2)&amp;":"&amp;MID(D182,3,2)&amp;":"&amp;MID(D182,5,2)&amp;":"&amp;MID(D182,7,2)&amp;":"&amp;MID(D182,9,2)&amp;":"&amp;RIGHT(D182,2)</f>
        <v/>
      </c>
      <c r="F182" s="29" t="n">
        <v>44602</v>
      </c>
      <c r="H182" t="inlineStr">
        <is>
          <t>3AC87456B920D932</t>
        </is>
      </c>
      <c r="I182" s="6" t="inlineStr">
        <is>
          <t>tadiran</t>
        </is>
      </c>
      <c r="J182" s="9" t="inlineStr">
        <is>
          <t>CARGO-PR2201-024</t>
        </is>
      </c>
      <c r="K182" s="35" t="n">
        <v>94230554</v>
      </c>
      <c r="L182" s="35" t="n"/>
      <c r="M182" s="35" t="n"/>
      <c r="N182" s="99">
        <f>IFERROR(INDEX(Sensors_MANU!$G$2:$G$4692,MATCH($P182,Sensors_MANU!$A$2:$A$4692,0)),)</f>
        <v/>
      </c>
      <c r="O182" s="6" t="inlineStr">
        <is>
          <t>v14</t>
        </is>
      </c>
    </row>
    <row r="183">
      <c r="A183" s="32" t="inlineStr">
        <is>
          <t>LTG</t>
        </is>
      </c>
      <c r="B183" s="24">
        <f>IFERROR(INDEX(Companies!$A$3:$A$101,MATCH(A183,Companies!$B$3:$B$101,0)),"")</f>
        <v/>
      </c>
      <c r="C183" t="inlineStr">
        <is>
          <t>cargo</t>
        </is>
      </c>
      <c r="D183" t="inlineStr">
        <is>
          <t>EDB8CE46FBDA</t>
        </is>
      </c>
      <c r="E183">
        <f>LEFT(D183,2)&amp;":"&amp;MID(D183,3,2)&amp;":"&amp;MID(D183,5,2)&amp;":"&amp;MID(D183,7,2)&amp;":"&amp;MID(D183,9,2)&amp;":"&amp;RIGHT(D183,2)</f>
        <v/>
      </c>
      <c r="F183" s="29" t="n">
        <v>44602</v>
      </c>
      <c r="H183" t="inlineStr">
        <is>
          <t>234C4A4261CD9694</t>
        </is>
      </c>
      <c r="I183" s="6" t="inlineStr">
        <is>
          <t>tadiran</t>
        </is>
      </c>
      <c r="J183" s="9" t="inlineStr">
        <is>
          <t>CARGO-PR2201-025</t>
        </is>
      </c>
      <c r="K183" s="35" t="n">
        <v>94230554</v>
      </c>
      <c r="L183" s="35" t="n"/>
      <c r="M183" s="35" t="n"/>
      <c r="N183" s="99">
        <f>IFERROR(INDEX(Sensors_MANU!$G$2:$G$4692,MATCH($P183,Sensors_MANU!$A$2:$A$4692,0)),)</f>
        <v/>
      </c>
      <c r="O183" s="6" t="inlineStr">
        <is>
          <t>v14</t>
        </is>
      </c>
    </row>
    <row r="184">
      <c r="A184" s="32" t="inlineStr">
        <is>
          <t>LTG</t>
        </is>
      </c>
      <c r="B184" s="24">
        <f>IFERROR(INDEX(Companies!$A$3:$A$101,MATCH(A184,Companies!$B$3:$B$101,0)),"")</f>
        <v/>
      </c>
      <c r="C184" t="inlineStr">
        <is>
          <t>cargo</t>
        </is>
      </c>
      <c r="D184" t="inlineStr">
        <is>
          <t>EC54D3345CE1</t>
        </is>
      </c>
      <c r="E184">
        <f>LEFT(D184,2)&amp;":"&amp;MID(D184,3,2)&amp;":"&amp;MID(D184,5,2)&amp;":"&amp;MID(D184,7,2)&amp;":"&amp;MID(D184,9,2)&amp;":"&amp;RIGHT(D184,2)</f>
        <v/>
      </c>
      <c r="F184" s="29" t="n">
        <v>44602</v>
      </c>
      <c r="H184" t="inlineStr">
        <is>
          <t>F496103BF1D65BF8</t>
        </is>
      </c>
      <c r="I184" s="6" t="inlineStr">
        <is>
          <t>tadiran</t>
        </is>
      </c>
      <c r="J184" s="9" t="inlineStr">
        <is>
          <t>CARGO-PR2201-026</t>
        </is>
      </c>
      <c r="K184" s="35" t="n">
        <v>94230554</v>
      </c>
      <c r="L184" s="35" t="n"/>
      <c r="M184" s="35" t="n"/>
      <c r="N184" s="99">
        <f>IFERROR(INDEX(Sensors_MANU!$G$2:$G$4692,MATCH($P184,Sensors_MANU!$A$2:$A$4692,0)),)</f>
        <v/>
      </c>
      <c r="O184" s="6" t="inlineStr">
        <is>
          <t>v14</t>
        </is>
      </c>
    </row>
    <row r="185">
      <c r="A185" s="32" t="inlineStr">
        <is>
          <t>LTG</t>
        </is>
      </c>
      <c r="B185" s="24">
        <f>IFERROR(INDEX(Companies!$A$3:$A$101,MATCH(A185,Companies!$B$3:$B$101,0)),"")</f>
        <v/>
      </c>
      <c r="C185" t="inlineStr">
        <is>
          <t>cargo</t>
        </is>
      </c>
      <c r="D185" t="inlineStr">
        <is>
          <t>E9E6DF2528D5</t>
        </is>
      </c>
      <c r="E185">
        <f>LEFT(D185,2)&amp;":"&amp;MID(D185,3,2)&amp;":"&amp;MID(D185,5,2)&amp;":"&amp;MID(D185,7,2)&amp;":"&amp;MID(D185,9,2)&amp;":"&amp;RIGHT(D185,2)</f>
        <v/>
      </c>
      <c r="F185" s="29" t="n">
        <v>44602</v>
      </c>
      <c r="H185" t="inlineStr">
        <is>
          <t>0C2CB6EBA9E9F821</t>
        </is>
      </c>
      <c r="I185" s="6" t="inlineStr">
        <is>
          <t>tadiran</t>
        </is>
      </c>
      <c r="J185" s="9" t="inlineStr">
        <is>
          <t>CARGO-PR2201-027</t>
        </is>
      </c>
      <c r="K185" s="35" t="n">
        <v>94376050</v>
      </c>
      <c r="L185" s="35" t="n"/>
      <c r="M185" s="35" t="n"/>
      <c r="N185" s="99">
        <f>IFERROR(INDEX(Sensors_MANU!$G$2:$G$4692,MATCH($P185,Sensors_MANU!$A$2:$A$4692,0)),)</f>
        <v/>
      </c>
      <c r="O185" s="6" t="inlineStr">
        <is>
          <t>v14</t>
        </is>
      </c>
    </row>
    <row r="186">
      <c r="A186" s="32" t="inlineStr">
        <is>
          <t>LTG</t>
        </is>
      </c>
      <c r="B186" s="24">
        <f>IFERROR(INDEX(Companies!$A$3:$A$101,MATCH(A186,Companies!$B$3:$B$101,0)),"")</f>
        <v/>
      </c>
      <c r="C186" t="inlineStr">
        <is>
          <t>cargo</t>
        </is>
      </c>
      <c r="D186" t="inlineStr">
        <is>
          <t>E304077FDBE6</t>
        </is>
      </c>
      <c r="E186">
        <f>LEFT(D186,2)&amp;":"&amp;MID(D186,3,2)&amp;":"&amp;MID(D186,5,2)&amp;":"&amp;MID(D186,7,2)&amp;":"&amp;MID(D186,9,2)&amp;":"&amp;RIGHT(D186,2)</f>
        <v/>
      </c>
      <c r="F186" s="29" t="n">
        <v>44602</v>
      </c>
      <c r="H186" t="inlineStr">
        <is>
          <t>75E2FCBC897A4320</t>
        </is>
      </c>
      <c r="I186" s="6" t="inlineStr">
        <is>
          <t>tadiran</t>
        </is>
      </c>
      <c r="J186" s="9" t="inlineStr">
        <is>
          <t>CARGO-PR2201-028</t>
        </is>
      </c>
      <c r="K186" s="35" t="n">
        <v>94376050</v>
      </c>
      <c r="L186" s="35" t="n"/>
      <c r="M186" s="35" t="n"/>
      <c r="N186" s="99">
        <f>IFERROR(INDEX(Sensors_MANU!$G$2:$G$4692,MATCH($P186,Sensors_MANU!$A$2:$A$4692,0)),)</f>
        <v/>
      </c>
      <c r="O186" s="6" t="inlineStr">
        <is>
          <t>v14</t>
        </is>
      </c>
    </row>
    <row r="187">
      <c r="A187" s="32" t="inlineStr">
        <is>
          <t>LTG</t>
        </is>
      </c>
      <c r="B187" s="24">
        <f>IFERROR(INDEX(Companies!$A$3:$A$101,MATCH(A187,Companies!$B$3:$B$101,0)),"")</f>
        <v/>
      </c>
      <c r="C187" t="inlineStr">
        <is>
          <t>cargo</t>
        </is>
      </c>
      <c r="D187" t="inlineStr">
        <is>
          <t>FCB6E12769E1</t>
        </is>
      </c>
      <c r="E187">
        <f>LEFT(D187,2)&amp;":"&amp;MID(D187,3,2)&amp;":"&amp;MID(D187,5,2)&amp;":"&amp;MID(D187,7,2)&amp;":"&amp;MID(D187,9,2)&amp;":"&amp;RIGHT(D187,2)</f>
        <v/>
      </c>
      <c r="F187" s="29" t="n">
        <v>44602</v>
      </c>
      <c r="H187" t="inlineStr">
        <is>
          <t>832648931809D3BF</t>
        </is>
      </c>
      <c r="I187" s="6" t="inlineStr">
        <is>
          <t>tadiran</t>
        </is>
      </c>
      <c r="J187" s="9" t="inlineStr">
        <is>
          <t>CARGO-PR2201-029</t>
        </is>
      </c>
      <c r="K187" s="35" t="n">
        <v>94376050</v>
      </c>
      <c r="L187" s="35" t="n"/>
      <c r="M187" s="35" t="n"/>
      <c r="N187" s="99">
        <f>IFERROR(INDEX(Sensors_MANU!$G$2:$G$4692,MATCH($P187,Sensors_MANU!$A$2:$A$4692,0)),)</f>
        <v/>
      </c>
      <c r="O187" s="6" t="inlineStr">
        <is>
          <t>v14</t>
        </is>
      </c>
    </row>
    <row r="188">
      <c r="A188" s="32" t="inlineStr">
        <is>
          <t>LTG</t>
        </is>
      </c>
      <c r="B188" s="24">
        <f>IFERROR(INDEX(Companies!$A$3:$A$101,MATCH(A188,Companies!$B$3:$B$101,0)),"")</f>
        <v/>
      </c>
      <c r="C188" t="inlineStr">
        <is>
          <t>cargo</t>
        </is>
      </c>
      <c r="D188" t="inlineStr">
        <is>
          <t>E81BD4B2189A</t>
        </is>
      </c>
      <c r="E188">
        <f>LEFT(D188,2)&amp;":"&amp;MID(D188,3,2)&amp;":"&amp;MID(D188,5,2)&amp;":"&amp;MID(D188,7,2)&amp;":"&amp;MID(D188,9,2)&amp;":"&amp;RIGHT(D188,2)</f>
        <v/>
      </c>
      <c r="F188" s="29" t="n">
        <v>44602</v>
      </c>
      <c r="H188" t="inlineStr">
        <is>
          <t>EB4DEB0E7E2C01E9</t>
        </is>
      </c>
      <c r="I188" s="6" t="inlineStr">
        <is>
          <t>tadiran</t>
        </is>
      </c>
      <c r="J188" s="9" t="inlineStr">
        <is>
          <t>CARGO-PR2201-030</t>
        </is>
      </c>
      <c r="K188" s="35" t="n">
        <v>94376050</v>
      </c>
      <c r="L188" s="35" t="n"/>
      <c r="M188" s="35" t="n"/>
      <c r="N188" s="99">
        <f>IFERROR(INDEX(Sensors_MANU!$G$2:$G$4692,MATCH($P188,Sensors_MANU!$A$2:$A$4692,0)),)</f>
        <v/>
      </c>
      <c r="O188" s="6" t="inlineStr">
        <is>
          <t>v14</t>
        </is>
      </c>
    </row>
    <row r="189">
      <c r="A189" s="32" t="inlineStr">
        <is>
          <t>LTG</t>
        </is>
      </c>
      <c r="B189" s="24">
        <f>IFERROR(INDEX(Companies!$A$3:$A$101,MATCH(A189,Companies!$B$3:$B$101,0)),"")</f>
        <v/>
      </c>
      <c r="C189" t="inlineStr">
        <is>
          <t>cargo</t>
        </is>
      </c>
      <c r="D189" t="inlineStr">
        <is>
          <t>E8D40E9A8DC0</t>
        </is>
      </c>
      <c r="E189">
        <f>LEFT(D189,2)&amp;":"&amp;MID(D189,3,2)&amp;":"&amp;MID(D189,5,2)&amp;":"&amp;MID(D189,7,2)&amp;":"&amp;MID(D189,9,2)&amp;":"&amp;RIGHT(D189,2)</f>
        <v/>
      </c>
      <c r="F189" s="29" t="n">
        <v>44602</v>
      </c>
      <c r="H189" t="inlineStr">
        <is>
          <t>571E7EA1218F66CA</t>
        </is>
      </c>
      <c r="I189" s="6" t="inlineStr">
        <is>
          <t>tadiran</t>
        </is>
      </c>
      <c r="J189" s="9" t="inlineStr">
        <is>
          <t>CARGO-PR2201-031</t>
        </is>
      </c>
      <c r="K189" s="35" t="n">
        <v>94376050</v>
      </c>
      <c r="L189" s="35" t="n"/>
      <c r="M189" s="35" t="n"/>
      <c r="N189" s="99">
        <f>IFERROR(INDEX(Sensors_MANU!$G$2:$G$4692,MATCH($P189,Sensors_MANU!$A$2:$A$4692,0)),)</f>
        <v/>
      </c>
      <c r="O189" s="6" t="inlineStr">
        <is>
          <t>v14</t>
        </is>
      </c>
    </row>
    <row r="190">
      <c r="A190" s="32" t="inlineStr">
        <is>
          <t>LTG</t>
        </is>
      </c>
      <c r="B190" s="24">
        <f>IFERROR(INDEX(Companies!$A$3:$A$101,MATCH(A190,Companies!$B$3:$B$101,0)),"")</f>
        <v/>
      </c>
      <c r="C190" t="inlineStr">
        <is>
          <t>cargo</t>
        </is>
      </c>
      <c r="D190" t="inlineStr">
        <is>
          <t>ED9AD5A93AB0</t>
        </is>
      </c>
      <c r="E190">
        <f>LEFT(D190,2)&amp;":"&amp;MID(D190,3,2)&amp;":"&amp;MID(D190,5,2)&amp;":"&amp;MID(D190,7,2)&amp;":"&amp;MID(D190,9,2)&amp;":"&amp;RIGHT(D190,2)</f>
        <v/>
      </c>
      <c r="F190" s="29" t="n">
        <v>44602</v>
      </c>
      <c r="H190" t="inlineStr">
        <is>
          <t>AE77F46C707E0E42</t>
        </is>
      </c>
      <c r="I190" s="6" t="inlineStr">
        <is>
          <t>tadiran</t>
        </is>
      </c>
      <c r="J190" s="9" t="inlineStr">
        <is>
          <t>CARGO-PR2201-032</t>
        </is>
      </c>
      <c r="K190" s="35" t="n">
        <v>94376050</v>
      </c>
      <c r="L190" s="35" t="n"/>
      <c r="M190" s="35" t="n"/>
      <c r="N190" s="99">
        <f>IFERROR(INDEX(Sensors_MANU!$G$2:$G$4692,MATCH($P190,Sensors_MANU!$A$2:$A$4692,0)),)</f>
        <v/>
      </c>
      <c r="O190" s="6" t="inlineStr">
        <is>
          <t>v14</t>
        </is>
      </c>
    </row>
    <row r="191">
      <c r="A191" s="32" t="inlineStr">
        <is>
          <t>LTG</t>
        </is>
      </c>
      <c r="B191" s="24">
        <f>IFERROR(INDEX(Companies!$A$3:$A$101,MATCH(A191,Companies!$B$3:$B$101,0)),"")</f>
        <v/>
      </c>
      <c r="C191" t="inlineStr">
        <is>
          <t>cargo</t>
        </is>
      </c>
      <c r="D191" t="inlineStr">
        <is>
          <t>F1A2F5A56D76</t>
        </is>
      </c>
      <c r="E191">
        <f>LEFT(D191,2)&amp;":"&amp;MID(D191,3,2)&amp;":"&amp;MID(D191,5,2)&amp;":"&amp;MID(D191,7,2)&amp;":"&amp;MID(D191,9,2)&amp;":"&amp;RIGHT(D191,2)</f>
        <v/>
      </c>
      <c r="F191" s="29" t="n">
        <v>44602</v>
      </c>
      <c r="H191" t="inlineStr">
        <is>
          <t>CDE98D235F4B2384</t>
        </is>
      </c>
      <c r="I191" s="6" t="inlineStr">
        <is>
          <t>tadiran</t>
        </is>
      </c>
      <c r="J191" s="9" t="inlineStr">
        <is>
          <t>CARGO-PR2201-033</t>
        </is>
      </c>
      <c r="K191" s="35" t="n">
        <v>94376050</v>
      </c>
      <c r="L191" s="35" t="n"/>
      <c r="M191" s="35" t="n"/>
      <c r="N191" s="99">
        <f>IFERROR(INDEX(Sensors_MANU!$G$2:$G$4692,MATCH($P191,Sensors_MANU!$A$2:$A$4692,0)),)</f>
        <v/>
      </c>
      <c r="O191" s="6" t="inlineStr">
        <is>
          <t>v14</t>
        </is>
      </c>
    </row>
    <row r="192">
      <c r="A192" s="32" t="inlineStr">
        <is>
          <t>LTG</t>
        </is>
      </c>
      <c r="B192" s="24">
        <f>IFERROR(INDEX(Companies!$A$3:$A$101,MATCH(A192,Companies!$B$3:$B$101,0)),"")</f>
        <v/>
      </c>
      <c r="C192" t="inlineStr">
        <is>
          <t>cargo</t>
        </is>
      </c>
      <c r="D192" t="inlineStr">
        <is>
          <t>F58943C0A689</t>
        </is>
      </c>
      <c r="E192">
        <f>LEFT(D192,2)&amp;":"&amp;MID(D192,3,2)&amp;":"&amp;MID(D192,5,2)&amp;":"&amp;MID(D192,7,2)&amp;":"&amp;MID(D192,9,2)&amp;":"&amp;RIGHT(D192,2)</f>
        <v/>
      </c>
      <c r="F192" s="29" t="n">
        <v>44602</v>
      </c>
      <c r="H192" t="inlineStr">
        <is>
          <t>54090E1A077C5BCD</t>
        </is>
      </c>
      <c r="I192" s="6" t="inlineStr">
        <is>
          <t>tadiran</t>
        </is>
      </c>
      <c r="J192" s="9" t="inlineStr">
        <is>
          <t>CARGO-PR2201-034</t>
        </is>
      </c>
      <c r="K192" s="35" t="n">
        <v>94376050</v>
      </c>
      <c r="L192" s="35" t="n"/>
      <c r="M192" s="35" t="n"/>
      <c r="N192" s="99">
        <f>IFERROR(INDEX(Sensors_MANU!$G$2:$G$4692,MATCH($P192,Sensors_MANU!$A$2:$A$4692,0)),)</f>
        <v/>
      </c>
      <c r="O192" s="6" t="inlineStr">
        <is>
          <t>v14</t>
        </is>
      </c>
    </row>
    <row r="193">
      <c r="A193" s="32" t="inlineStr">
        <is>
          <t>LTG</t>
        </is>
      </c>
      <c r="B193" s="24">
        <f>IFERROR(INDEX(Companies!$A$3:$A$101,MATCH(A193,Companies!$B$3:$B$101,0)),"")</f>
        <v/>
      </c>
      <c r="C193" t="inlineStr">
        <is>
          <t>cargo</t>
        </is>
      </c>
      <c r="D193" s="10" t="inlineStr">
        <is>
          <t>D56A395A7149</t>
        </is>
      </c>
      <c r="E193">
        <f>LEFT(D193,2)&amp;":"&amp;MID(D193,3,2)&amp;":"&amp;MID(D193,5,2)&amp;":"&amp;MID(D193,7,2)&amp;":"&amp;MID(D193,9,2)&amp;":"&amp;RIGHT(D193,2)</f>
        <v/>
      </c>
      <c r="H193" s="10" t="inlineStr">
        <is>
          <t>A3E5F1CAD0C7240E</t>
        </is>
      </c>
      <c r="I193" s="12" t="inlineStr">
        <is>
          <t>SG-US-03</t>
        </is>
      </c>
      <c r="J193" s="9" t="inlineStr">
        <is>
          <t>CARGO-PR2201-035</t>
        </is>
      </c>
      <c r="K193" s="35" t="inlineStr">
        <is>
          <t>61558441-24</t>
        </is>
      </c>
      <c r="L193" s="35" t="n"/>
      <c r="M193" s="35" t="n"/>
      <c r="N193" s="99">
        <f>IFERROR(INDEX(Sensors_MANU!$G$2:$G$4692,MATCH($P193,Sensors_MANU!$A$2:$A$4692,0)),)</f>
        <v/>
      </c>
      <c r="O193" s="6" t="inlineStr">
        <is>
          <t>v14</t>
        </is>
      </c>
    </row>
    <row r="194">
      <c r="A194" s="32" t="inlineStr">
        <is>
          <t>LTG</t>
        </is>
      </c>
      <c r="B194" s="24">
        <f>IFERROR(INDEX(Companies!$A$3:$A$101,MATCH(A194,Companies!$B$3:$B$101,0)),"")</f>
        <v/>
      </c>
      <c r="C194" t="inlineStr">
        <is>
          <t>cargo</t>
        </is>
      </c>
      <c r="D194" s="10" t="inlineStr">
        <is>
          <t>FCFAB5ED0AA5</t>
        </is>
      </c>
      <c r="E194">
        <f>LEFT(D194,2)&amp;":"&amp;MID(D194,3,2)&amp;":"&amp;MID(D194,5,2)&amp;":"&amp;MID(D194,7,2)&amp;":"&amp;MID(D194,9,2)&amp;":"&amp;RIGHT(D194,2)</f>
        <v/>
      </c>
      <c r="H194" s="10" t="inlineStr">
        <is>
          <t>12216DEA11890B1E</t>
        </is>
      </c>
      <c r="I194" s="11" t="inlineStr">
        <is>
          <t>SG-CN-03</t>
        </is>
      </c>
      <c r="J194" s="9" t="inlineStr">
        <is>
          <t>CARGO-PR2201-036</t>
        </is>
      </c>
      <c r="K194" s="35" t="inlineStr">
        <is>
          <t>61558441-24</t>
        </is>
      </c>
      <c r="L194" s="35" t="n"/>
      <c r="M194" s="35" t="n"/>
      <c r="N194" s="99">
        <f>IFERROR(INDEX(Sensors_MANU!$G$2:$G$4692,MATCH($P194,Sensors_MANU!$A$2:$A$4692,0)),)</f>
        <v/>
      </c>
      <c r="O194" s="6" t="inlineStr">
        <is>
          <t>v14</t>
        </is>
      </c>
    </row>
    <row r="195">
      <c r="A195" s="32" t="inlineStr">
        <is>
          <t>LTG</t>
        </is>
      </c>
      <c r="B195" s="24">
        <f>IFERROR(INDEX(Companies!$A$3:$A$101,MATCH(A195,Companies!$B$3:$B$101,0)),"")</f>
        <v/>
      </c>
      <c r="C195" t="inlineStr">
        <is>
          <t>cargo</t>
        </is>
      </c>
      <c r="D195" s="10" t="inlineStr">
        <is>
          <t>C663CF548792</t>
        </is>
      </c>
      <c r="E195">
        <f>LEFT(D195,2)&amp;":"&amp;MID(D195,3,2)&amp;":"&amp;MID(D195,5,2)&amp;":"&amp;MID(D195,7,2)&amp;":"&amp;MID(D195,9,2)&amp;":"&amp;RIGHT(D195,2)</f>
        <v/>
      </c>
      <c r="H195" s="10" t="inlineStr">
        <is>
          <t>1BC59C21E6D2828F</t>
        </is>
      </c>
      <c r="I195" s="12" t="inlineStr">
        <is>
          <t>SG-CN-05</t>
        </is>
      </c>
      <c r="J195" s="9" t="inlineStr">
        <is>
          <t>CARGO-PR2201-037</t>
        </is>
      </c>
      <c r="K195" s="35" t="inlineStr">
        <is>
          <t>61558441-24</t>
        </is>
      </c>
      <c r="L195" s="35" t="n"/>
      <c r="M195" s="35" t="n"/>
      <c r="N195" s="99">
        <f>IFERROR(INDEX(Sensors_MANU!$G$2:$G$4692,MATCH($P195,Sensors_MANU!$A$2:$A$4692,0)),)</f>
        <v/>
      </c>
      <c r="O195" s="6" t="inlineStr">
        <is>
          <t>v14</t>
        </is>
      </c>
    </row>
    <row r="196">
      <c r="A196" s="32" t="inlineStr">
        <is>
          <t>LTG</t>
        </is>
      </c>
      <c r="B196" s="24">
        <f>IFERROR(INDEX(Companies!$A$3:$A$101,MATCH(A196,Companies!$B$3:$B$101,0)),"")</f>
        <v/>
      </c>
      <c r="C196" t="inlineStr">
        <is>
          <t>cargo</t>
        </is>
      </c>
      <c r="D196" s="10" t="inlineStr">
        <is>
          <t>E1E13FBE95F0</t>
        </is>
      </c>
      <c r="E196">
        <f>LEFT(D196,2)&amp;":"&amp;MID(D196,3,2)&amp;":"&amp;MID(D196,5,2)&amp;":"&amp;MID(D196,7,2)&amp;":"&amp;MID(D196,9,2)&amp;":"&amp;RIGHT(D196,2)</f>
        <v/>
      </c>
      <c r="H196" s="10" t="inlineStr">
        <is>
          <t>01BEED7D6978D4BB</t>
        </is>
      </c>
      <c r="I196" s="12" t="inlineStr">
        <is>
          <t>SG-US-05</t>
        </is>
      </c>
      <c r="J196" s="9" t="inlineStr">
        <is>
          <t>CARGO-PR2201-038</t>
        </is>
      </c>
      <c r="K196" s="35" t="inlineStr">
        <is>
          <t>61558441-24</t>
        </is>
      </c>
      <c r="L196" s="35" t="n"/>
      <c r="M196" s="35" t="n"/>
      <c r="N196" s="101" t="inlineStr">
        <is>
          <t>flat spot</t>
        </is>
      </c>
      <c r="O196" s="6" t="inlineStr">
        <is>
          <t>v14</t>
        </is>
      </c>
    </row>
    <row r="197">
      <c r="A197" s="32" t="inlineStr">
        <is>
          <t>LTG</t>
        </is>
      </c>
      <c r="B197" s="24">
        <f>IFERROR(INDEX(Companies!$A$3:$A$101,MATCH(A197,Companies!$B$3:$B$101,0)),"")</f>
        <v/>
      </c>
      <c r="C197" t="inlineStr">
        <is>
          <t>cargo</t>
        </is>
      </c>
      <c r="D197" s="10" t="inlineStr">
        <is>
          <t>E6DCC09CE8A8</t>
        </is>
      </c>
      <c r="E197">
        <f>LEFT(D197,2)&amp;":"&amp;MID(D197,3,2)&amp;":"&amp;MID(D197,5,2)&amp;":"&amp;MID(D197,7,2)&amp;":"&amp;MID(D197,9,2)&amp;":"&amp;RIGHT(D197,2)</f>
        <v/>
      </c>
      <c r="H197" s="10" t="inlineStr">
        <is>
          <t>9F0252A9DC4CBE2F</t>
        </is>
      </c>
      <c r="I197" s="12" t="inlineStr">
        <is>
          <t>SG-CN-02</t>
        </is>
      </c>
      <c r="J197" s="9" t="inlineStr">
        <is>
          <t>CARGO-PR2201-039</t>
        </is>
      </c>
      <c r="K197" s="35" t="inlineStr">
        <is>
          <t>61558441-24</t>
        </is>
      </c>
      <c r="L197" s="35" t="n"/>
      <c r="M197" s="35" t="n"/>
      <c r="N197" s="99">
        <f>IFERROR(INDEX(Sensors_MANU!$G$2:$G$4692,MATCH($P197,Sensors_MANU!$A$2:$A$4692,0)),)</f>
        <v/>
      </c>
      <c r="O197" s="6" t="inlineStr">
        <is>
          <t>v14</t>
        </is>
      </c>
    </row>
    <row r="198">
      <c r="A198" s="32" t="inlineStr">
        <is>
          <t>LTG</t>
        </is>
      </c>
      <c r="B198" s="24">
        <f>IFERROR(INDEX(Companies!$A$3:$A$101,MATCH(A198,Companies!$B$3:$B$101,0)),"")</f>
        <v/>
      </c>
      <c r="C198" t="inlineStr">
        <is>
          <t>cargo</t>
        </is>
      </c>
      <c r="D198" s="10" t="inlineStr">
        <is>
          <t>F25FD85BCF3B</t>
        </is>
      </c>
      <c r="E198">
        <f>LEFT(D198,2)&amp;":"&amp;MID(D198,3,2)&amp;":"&amp;MID(D198,5,2)&amp;":"&amp;MID(D198,7,2)&amp;":"&amp;MID(D198,9,2)&amp;":"&amp;RIGHT(D198,2)</f>
        <v/>
      </c>
      <c r="H198" s="10" t="inlineStr">
        <is>
          <t>AD640AA2CA68E1C6</t>
        </is>
      </c>
      <c r="I198" s="12" t="inlineStr">
        <is>
          <t>SG-US-01</t>
        </is>
      </c>
      <c r="J198" s="9" t="inlineStr">
        <is>
          <t>CARGO-PR2201-040</t>
        </is>
      </c>
      <c r="K198" s="35" t="inlineStr">
        <is>
          <t>61558441-24</t>
        </is>
      </c>
      <c r="L198" s="35" t="n"/>
      <c r="M198" s="35" t="n"/>
      <c r="N198" s="99">
        <f>IFERROR(INDEX(Sensors_MANU!$G$2:$G$4692,MATCH($P198,Sensors_MANU!$A$2:$A$4692,0)),)</f>
        <v/>
      </c>
      <c r="O198" s="6" t="inlineStr">
        <is>
          <t>v14</t>
        </is>
      </c>
    </row>
    <row r="199">
      <c r="A199" s="32" t="inlineStr">
        <is>
          <t>LTG</t>
        </is>
      </c>
      <c r="B199" s="24">
        <f>IFERROR(INDEX(Companies!$A$3:$A$101,MATCH(A199,Companies!$B$3:$B$101,0)),"")</f>
        <v/>
      </c>
      <c r="C199" t="inlineStr">
        <is>
          <t>cargo</t>
        </is>
      </c>
      <c r="D199" s="10" t="inlineStr">
        <is>
          <t>DFBB1D710AA6</t>
        </is>
      </c>
      <c r="E199">
        <f>LEFT(D199,2)&amp;":"&amp;MID(D199,3,2)&amp;":"&amp;MID(D199,5,2)&amp;":"&amp;MID(D199,7,2)&amp;":"&amp;MID(D199,9,2)&amp;":"&amp;RIGHT(D199,2)</f>
        <v/>
      </c>
      <c r="H199" s="10" t="inlineStr">
        <is>
          <t>EE9EBF7B77755E2D</t>
        </is>
      </c>
      <c r="I199" s="12" t="inlineStr">
        <is>
          <t>CN AL 02</t>
        </is>
      </c>
      <c r="J199" s="9" t="inlineStr">
        <is>
          <t>CARGO-PR2201-041</t>
        </is>
      </c>
      <c r="K199" s="35" t="inlineStr">
        <is>
          <t>61558441-24</t>
        </is>
      </c>
      <c r="L199" s="35" t="n"/>
      <c r="M199" s="35" t="n"/>
      <c r="N199" s="101" t="inlineStr">
        <is>
          <t>flat spot</t>
        </is>
      </c>
      <c r="O199" s="6" t="inlineStr">
        <is>
          <t>v14</t>
        </is>
      </c>
    </row>
    <row r="200">
      <c r="A200" s="32" t="inlineStr">
        <is>
          <t>LTG</t>
        </is>
      </c>
      <c r="B200" s="24">
        <f>IFERROR(INDEX(Companies!$A$3:$A$101,MATCH(A200,Companies!$B$3:$B$101,0)),"")</f>
        <v/>
      </c>
      <c r="C200" t="inlineStr">
        <is>
          <t>cargo</t>
        </is>
      </c>
      <c r="D200" s="13" t="inlineStr">
        <is>
          <t>FD504C71213A</t>
        </is>
      </c>
      <c r="E200">
        <f>LEFT(D200,2)&amp;":"&amp;MID(D200,3,2)&amp;":"&amp;MID(D200,5,2)&amp;":"&amp;MID(D200,7,2)&amp;":"&amp;MID(D200,9,2)&amp;":"&amp;RIGHT(D200,2)</f>
        <v/>
      </c>
      <c r="H200" s="13" t="inlineStr">
        <is>
          <t>23A854E029DCA370</t>
        </is>
      </c>
      <c r="I200" s="12" t="inlineStr">
        <is>
          <t>SG-CN-14</t>
        </is>
      </c>
      <c r="J200" s="9" t="inlineStr">
        <is>
          <t>CARGO-PR2201-043</t>
        </is>
      </c>
      <c r="K200" s="35" t="inlineStr">
        <is>
          <t>61558441-24</t>
        </is>
      </c>
      <c r="L200" s="35" t="n"/>
      <c r="M200" s="35" t="n"/>
      <c r="N200" s="99">
        <f>IFERROR(INDEX(Sensors_MANU!$G$2:$G$4692,MATCH($P200,Sensors_MANU!$A$2:$A$4692,0)),)</f>
        <v/>
      </c>
      <c r="O200" s="6" t="inlineStr">
        <is>
          <t>v14</t>
        </is>
      </c>
    </row>
    <row r="201">
      <c r="A201" s="32">
        <f>IFERROR(_xlfn.IFNA(INDEX(Sensors_MANU!$E$2:$E$4692,MATCH($D201,Sensors_MANU!$B$2:$B$4692,0)),INDEX(Sensors_MANU!$E$2:$E$4692,MATCH($P201,Sensors_MANU!$A$2:$A$4692,0))),"")</f>
        <v/>
      </c>
      <c r="B201" s="24">
        <f>IFERROR(INDEX(Companies!$A$3:$A$101,MATCH(A201,Companies!$B$3:$B$101,0)),"")</f>
        <v/>
      </c>
      <c r="C201">
        <f>IFERROR(_xlfn.IFNA(INDEX(Sensors_MANU!$F$2:$F$4692,MATCH($D201,Sensors_MANU!$B$2:$B$4692,0)),INDEX(Sensors_MANU!$F$2:$F$4692,MATCH($P201,Sensors_MANU!$A$2:$A$4692,0))),"")</f>
        <v/>
      </c>
      <c r="D201" s="25" t="inlineStr">
        <is>
          <t>FA0CA3BF99D0</t>
        </is>
      </c>
      <c r="E201" s="24">
        <f>LEFT(D201,2)&amp;":"&amp;MID(D201,3,2)&amp;":"&amp;MID(D201,5,2)&amp;":"&amp;MID(D201,7,2)&amp;":"&amp;MID(D201,9,2)&amp;":"&amp;RIGHT(D201,2)</f>
        <v/>
      </c>
      <c r="H201" t="inlineStr">
        <is>
          <t>C4322527D566B21C</t>
        </is>
      </c>
      <c r="I201">
        <f>IFERROR(_xlfn.IFNA(INDEX(Sensors_MANU!$C$2:$C$4692,MATCH($D201,Sensors_MANU!$B$2:$B$4692,0)),INDEX(Sensors_MANU!$C$2:$C$4692,MATCH($P201,Sensors_MANU!$A$2:$A$4692,0))),"")</f>
        <v/>
      </c>
      <c r="J201" t="inlineStr">
        <is>
          <t>DD-TEST-1</t>
        </is>
      </c>
      <c r="O201" s="6" t="inlineStr">
        <is>
          <t>V23</t>
        </is>
      </c>
    </row>
    <row r="202">
      <c r="A202" s="32">
        <f>IFERROR(_xlfn.IFNA(INDEX(Sensors_MANU!$E$2:$E$4692,MATCH($D202,Sensors_MANU!$B$2:$B$4692,0)),INDEX(Sensors_MANU!$E$2:$E$4692,MATCH($P202,Sensors_MANU!$A$2:$A$4692,0))),"")</f>
        <v/>
      </c>
      <c r="B202" s="24">
        <f>IFERROR(INDEX(Companies!$A$3:$A$101,MATCH(A202,Companies!$B$3:$B$101,0)),"")</f>
        <v/>
      </c>
      <c r="C202">
        <f>IFERROR(_xlfn.IFNA(INDEX(Sensors_MANU!$F$2:$F$4692,MATCH($D202,Sensors_MANU!$B$2:$B$4692,0)),INDEX(Sensors_MANU!$F$2:$F$4692,MATCH($P202,Sensors_MANU!$A$2:$A$4692,0))),"")</f>
        <v/>
      </c>
      <c r="D202" t="inlineStr">
        <is>
          <t>C050AF4C08A9</t>
        </is>
      </c>
      <c r="E202" s="24">
        <f>LEFT(D202,2)&amp;":"&amp;MID(D202,3,2)&amp;":"&amp;MID(D202,5,2)&amp;":"&amp;MID(D202,7,2)&amp;":"&amp;MID(D202,9,2)&amp;":"&amp;RIGHT(D202,2)</f>
        <v/>
      </c>
      <c r="H202" t="inlineStr">
        <is>
          <t>199D2A94CEA356EF</t>
        </is>
      </c>
      <c r="I202">
        <f>IFERROR(_xlfn.IFNA(INDEX(Sensors_MANU!$C$2:$C$4692,MATCH($D202,Sensors_MANU!$B$2:$B$4692,0)),INDEX(Sensors_MANU!$C$2:$C$4692,MATCH($P202,Sensors_MANU!$A$2:$A$4692,0))),"")</f>
        <v/>
      </c>
      <c r="J202" t="inlineStr">
        <is>
          <t>DD-TEST-2</t>
        </is>
      </c>
      <c r="O202" s="6" t="inlineStr">
        <is>
          <t>V25</t>
        </is>
      </c>
    </row>
    <row r="203">
      <c r="A203" s="32">
        <f>IFERROR(_xlfn.IFNA(INDEX(Sensors_MANU!$E$2:$E$4692,MATCH($D203,Sensors_MANU!$B$2:$B$4692,0)),INDEX(Sensors_MANU!$E$2:$E$4692,MATCH($P203,Sensors_MANU!$A$2:$A$4692,0))),"")</f>
        <v/>
      </c>
      <c r="B203" s="24">
        <f>IFERROR(INDEX(Companies!$A$3:$A$101,MATCH(A203,Companies!$B$3:$B$101,0)),"")</f>
        <v/>
      </c>
      <c r="C203">
        <f>IFERROR(_xlfn.IFNA(INDEX(Sensors_MANU!$F$2:$F$4692,MATCH($D203,Sensors_MANU!$B$2:$B$4692,0)),INDEX(Sensors_MANU!$F$2:$F$4692,MATCH($P203,Sensors_MANU!$A$2:$A$4692,0))),"")</f>
        <v/>
      </c>
      <c r="D203" t="inlineStr">
        <is>
          <t>DE050BAE1E6F</t>
        </is>
      </c>
      <c r="E203">
        <f>LEFT(D203,2)&amp;":"&amp;MID(D203,3,2)&amp;":"&amp;MID(D203,5,2)&amp;":"&amp;MID(D203,7,2)&amp;":"&amp;MID(D203,9,2)&amp;":"&amp;RIGHT(D203,2)</f>
        <v/>
      </c>
      <c r="H203" t="inlineStr">
        <is>
          <t>89CCA1976E8BEC8E</t>
        </is>
      </c>
      <c r="I203">
        <f>IFERROR(_xlfn.IFNA(INDEX(Sensors_MANU!$C$2:$C$4692,MATCH($D203,Sensors_MANU!$B$2:$B$4692,0)),INDEX(Sensors_MANU!$C$2:$C$4692,MATCH($P203,Sensors_MANU!$A$2:$A$4692,0))),"")</f>
        <v/>
      </c>
      <c r="J203" t="inlineStr">
        <is>
          <t>DD-TEST-3</t>
        </is>
      </c>
      <c r="M203" s="27" t="n"/>
      <c r="N203" s="99">
        <f>IFERROR(INDEX(Sensors_MANU!$G$2:$G$4692,MATCH($P203,Sensors_MANU!$A$2:$A$4692,0)),)</f>
        <v/>
      </c>
      <c r="O203" s="6" t="inlineStr">
        <is>
          <t>v16</t>
        </is>
      </c>
      <c r="P203" t="n">
        <v>4978783</v>
      </c>
    </row>
    <row r="204">
      <c r="A204" s="32">
        <f>IFERROR(_xlfn.IFNA(INDEX(Sensors_MANU!$E$2:$E$4692,MATCH($D204,Sensors_MANU!$B$2:$B$4692,0)),INDEX(Sensors_MANU!$E$2:$E$4692,MATCH($P204,Sensors_MANU!$A$2:$A$4692,0))),"")</f>
        <v/>
      </c>
      <c r="B204" s="24">
        <f>IFERROR(INDEX(Companies!$A$3:$A$101,MATCH(A204,Companies!$B$3:$B$101,0)),"")</f>
        <v/>
      </c>
      <c r="C204">
        <f>IFERROR(_xlfn.IFNA(INDEX(Sensors_MANU!$F$2:$F$4692,MATCH($D204,Sensors_MANU!$B$2:$B$4692,0)),INDEX(Sensors_MANU!$F$2:$F$4692,MATCH($P204,Sensors_MANU!$A$2:$A$4692,0))),"")</f>
        <v/>
      </c>
      <c r="D204" t="inlineStr">
        <is>
          <t>F648306B0A09</t>
        </is>
      </c>
      <c r="E204" s="24">
        <f>LEFT(D204,2)&amp;":"&amp;MID(D204,3,2)&amp;":"&amp;MID(D204,5,2)&amp;":"&amp;MID(D204,7,2)&amp;":"&amp;MID(D204,9,2)&amp;":"&amp;RIGHT(D204,2)</f>
        <v/>
      </c>
      <c r="H204" t="inlineStr">
        <is>
          <t>56E68C58575C61C0</t>
        </is>
      </c>
      <c r="I204">
        <f>IFERROR(_xlfn.IFNA(INDEX(Sensors_MANU!$C$2:$C$4692,MATCH($D204,Sensors_MANU!$B$2:$B$4692,0)),INDEX(Sensors_MANU!$C$2:$C$4692,MATCH($P204,Sensors_MANU!$A$2:$A$4692,0))),"")</f>
        <v/>
      </c>
      <c r="J204" t="inlineStr">
        <is>
          <t>DD-TEST-4</t>
        </is>
      </c>
      <c r="O204" s="6" t="inlineStr">
        <is>
          <t>V25</t>
        </is>
      </c>
    </row>
    <row r="205">
      <c r="A205" s="32">
        <f>IFERROR(_xlfn.IFNA(INDEX(Sensors_MANU!$E$2:$E$4692,MATCH($D205,Sensors_MANU!$B$2:$B$4692,0)),INDEX(Sensors_MANU!$E$2:$E$4692,MATCH($P205,Sensors_MANU!$A$2:$A$4692,0))),"")</f>
        <v/>
      </c>
      <c r="B205" s="24">
        <f>IFERROR(INDEX(Companies!$A$3:$A$101,MATCH(A205,Companies!$B$3:$B$101,0)),"")</f>
        <v/>
      </c>
      <c r="C205">
        <f>IFERROR(_xlfn.IFNA(INDEX(Sensors_MANU!$F$2:$F$4692,MATCH($D205,Sensors_MANU!$B$2:$B$4692,0)),INDEX(Sensors_MANU!$F$2:$F$4692,MATCH($P205,Sensors_MANU!$A$2:$A$4692,0))),"")</f>
        <v/>
      </c>
      <c r="D205" s="25" t="inlineStr">
        <is>
          <t>F2BF5D224880</t>
        </is>
      </c>
      <c r="E205" s="24">
        <f>LEFT(D205,2)&amp;":"&amp;MID(D205,3,2)&amp;":"&amp;MID(D205,5,2)&amp;":"&amp;MID(D205,7,2)&amp;":"&amp;MID(D205,9,2)&amp;":"&amp;RIGHT(D205,2)</f>
        <v/>
      </c>
      <c r="H205" t="inlineStr">
        <is>
          <t>8B775D8D32EF5644</t>
        </is>
      </c>
      <c r="I205">
        <f>IFERROR(_xlfn.IFNA(INDEX(Sensors_MANU!$C$2:$C$4692,MATCH($D205,Sensors_MANU!$B$2:$B$4692,0)),INDEX(Sensors_MANU!$C$2:$C$4692,MATCH($P205,Sensors_MANU!$A$2:$A$4692,0))),"")</f>
        <v/>
      </c>
      <c r="J205" t="inlineStr">
        <is>
          <t>DD-TEST-5</t>
        </is>
      </c>
      <c r="O205" s="6" t="inlineStr">
        <is>
          <t>V23</t>
        </is>
      </c>
    </row>
    <row r="206">
      <c r="A206" s="32">
        <f>IFERROR(_xlfn.IFNA(INDEX(Sensors_MANU!$E$2:$E$4692,MATCH($D206,Sensors_MANU!$B$2:$B$4692,0)),INDEX(Sensors_MANU!$E$2:$E$4692,MATCH($P206,Sensors_MANU!$A$2:$A$4692,0))),"")</f>
        <v/>
      </c>
      <c r="B206" s="24">
        <f>IFERROR(INDEX(Companies!$A$3:$A$101,MATCH(A206,Companies!$B$3:$B$101,0)),"")</f>
        <v/>
      </c>
      <c r="C206">
        <f>IFERROR(_xlfn.IFNA(INDEX(Sensors_MANU!$F$2:$F$4692,MATCH($D206,Sensors_MANU!$B$2:$B$4692,0)),INDEX(Sensors_MANU!$F$2:$F$4692,MATCH($P206,Sensors_MANU!$A$2:$A$4692,0))),"")</f>
        <v/>
      </c>
      <c r="D206" t="inlineStr">
        <is>
          <t>D54744444A82</t>
        </is>
      </c>
      <c r="E206" s="24">
        <f>LEFT(D206,2)&amp;":"&amp;MID(D206,3,2)&amp;":"&amp;MID(D206,5,2)&amp;":"&amp;MID(D206,7,2)&amp;":"&amp;MID(D206,9,2)&amp;":"&amp;RIGHT(D206,2)</f>
        <v/>
      </c>
      <c r="H206" t="inlineStr">
        <is>
          <t>DEE588C98E6BE75A</t>
        </is>
      </c>
      <c r="I206">
        <f>IFERROR(_xlfn.IFNA(INDEX(Sensors_MANU!$C$2:$C$4692,MATCH($D206,Sensors_MANU!$B$2:$B$4692,0)),INDEX(Sensors_MANU!$C$2:$C$4692,MATCH($P206,Sensors_MANU!$A$2:$A$4692,0))),"")</f>
        <v/>
      </c>
      <c r="J206" t="inlineStr">
        <is>
          <t>DD-TEST-6</t>
        </is>
      </c>
      <c r="O206" s="6" t="inlineStr">
        <is>
          <t>V25</t>
        </is>
      </c>
    </row>
    <row r="207">
      <c r="A207" s="32">
        <f>IFERROR(_xlfn.IFNA(INDEX(Sensors_MANU!$E$2:$E$4692,MATCH($D207,Sensors_MANU!$B$2:$B$4692,0)),INDEX(Sensors_MANU!$E$2:$E$4692,MATCH($P207,Sensors_MANU!$A$2:$A$4692,0))),"")</f>
        <v/>
      </c>
      <c r="B207" s="24">
        <f>IFERROR(INDEX(Companies!$A$3:$A$101,MATCH(A207,Companies!$B$3:$B$101,0)),"")</f>
        <v/>
      </c>
      <c r="C207">
        <f>IFERROR(_xlfn.IFNA(INDEX(Sensors_MANU!$F$2:$F$4692,MATCH($D207,Sensors_MANU!$B$2:$B$4692,0)),INDEX(Sensors_MANU!$F$2:$F$4692,MATCH($P207,Sensors_MANU!$A$2:$A$4692,0))),"")</f>
        <v/>
      </c>
      <c r="D207" s="25" t="inlineStr">
        <is>
          <t>D9232BA9A593</t>
        </is>
      </c>
      <c r="E207" s="24">
        <f>LEFT(D207,2)&amp;":"&amp;MID(D207,3,2)&amp;":"&amp;MID(D207,5,2)&amp;":"&amp;MID(D207,7,2)&amp;":"&amp;MID(D207,9,2)&amp;":"&amp;RIGHT(D207,2)</f>
        <v/>
      </c>
      <c r="H207" t="inlineStr">
        <is>
          <t>B0D9D681436AE5D6</t>
        </is>
      </c>
      <c r="I207">
        <f>IFERROR(_xlfn.IFNA(INDEX(Sensors_MANU!$C$2:$C$4692,MATCH($D207,Sensors_MANU!$B$2:$B$4692,0)),INDEX(Sensors_MANU!$C$2:$C$4692,MATCH($P207,Sensors_MANU!$A$2:$A$4692,0))),"")</f>
        <v/>
      </c>
      <c r="J207" t="inlineStr">
        <is>
          <t>DD-TEST-7</t>
        </is>
      </c>
      <c r="O207" s="6" t="inlineStr">
        <is>
          <t>V23</t>
        </is>
      </c>
    </row>
    <row r="208">
      <c r="A208" s="32">
        <f>IFERROR(_xlfn.IFNA(INDEX(Sensors_MANU!$E$2:$E$4692,MATCH($D208,Sensors_MANU!$B$2:$B$4692,0)),INDEX(Sensors_MANU!$E$2:$E$4692,MATCH($P208,Sensors_MANU!$A$2:$A$4692,0))),"")</f>
        <v/>
      </c>
      <c r="B208" s="24">
        <f>IFERROR(INDEX(Companies!$A$3:$A$101,MATCH(A208,Companies!$B$3:$B$101,0)),"")</f>
        <v/>
      </c>
      <c r="C208">
        <f>IFERROR(_xlfn.IFNA(INDEX(Sensors_MANU!$F$2:$F$4692,MATCH($D208,Sensors_MANU!$B$2:$B$4692,0)),INDEX(Sensors_MANU!$F$2:$F$4692,MATCH($P208,Sensors_MANU!$A$2:$A$4692,0))),"")</f>
        <v/>
      </c>
      <c r="D208" t="inlineStr">
        <is>
          <t>DB6990CA4DE5</t>
        </is>
      </c>
      <c r="E208" s="24">
        <f>LEFT(D208,2)&amp;":"&amp;MID(D208,3,2)&amp;":"&amp;MID(D208,5,2)&amp;":"&amp;MID(D208,7,2)&amp;":"&amp;MID(D208,9,2)&amp;":"&amp;RIGHT(D208,2)</f>
        <v/>
      </c>
      <c r="H208" t="inlineStr">
        <is>
          <t>17F40381988E6DE1</t>
        </is>
      </c>
      <c r="I208">
        <f>IFERROR(_xlfn.IFNA(INDEX(Sensors_MANU!$C$2:$C$4692,MATCH($D208,Sensors_MANU!$B$2:$B$4692,0)),INDEX(Sensors_MANU!$C$2:$C$4692,MATCH($P208,Sensors_MANU!$A$2:$A$4692,0))),"")</f>
        <v/>
      </c>
      <c r="J208" t="inlineStr">
        <is>
          <t>DD-TEST-8</t>
        </is>
      </c>
      <c r="O208" s="6" t="inlineStr">
        <is>
          <t>V25</t>
        </is>
      </c>
    </row>
    <row r="209">
      <c r="A209" s="32" t="inlineStr">
        <is>
          <t>LTG</t>
        </is>
      </c>
      <c r="B209" s="24">
        <f>IFERROR(INDEX(Companies!$A$3:$A$101,MATCH(A209,Companies!$B$3:$B$101,0)),"")</f>
        <v/>
      </c>
      <c r="C209" s="4" t="inlineStr">
        <is>
          <t>link</t>
        </is>
      </c>
      <c r="D209" s="4" t="inlineStr">
        <is>
          <t>C6A82812B98C</t>
        </is>
      </c>
      <c r="E209">
        <f>LEFT(D209,2)&amp;":"&amp;MID(D209,3,2)&amp;":"&amp;MID(D209,5,2)&amp;":"&amp;MID(D209,7,2)&amp;":"&amp;MID(D209,9,2)&amp;":"&amp;RIGHT(D209,2)</f>
        <v/>
      </c>
      <c r="F209" s="33" t="n">
        <v>44652.9375</v>
      </c>
      <c r="G209" s="33" t="n"/>
      <c r="H209" s="4" t="inlineStr">
        <is>
          <t>D4FEE2DADE1FA053</t>
        </is>
      </c>
      <c r="I209" s="5" t="inlineStr">
        <is>
          <t>tadiran</t>
        </is>
      </c>
      <c r="J209" s="24" t="inlineStr">
        <is>
          <t>dissasembled</t>
        </is>
      </c>
      <c r="K209" s="32" t="inlineStr">
        <is>
          <t>730-002</t>
        </is>
      </c>
      <c r="L209" s="32" t="inlineStr">
        <is>
          <t>FL2</t>
        </is>
      </c>
      <c r="M209" s="32" t="n"/>
      <c r="N209" s="100" t="inlineStr">
        <is>
          <t>Replaced sensor LINK-PR2201-005</t>
        </is>
      </c>
      <c r="O209" s="6" t="inlineStr">
        <is>
          <t>v14</t>
        </is>
      </c>
    </row>
    <row r="210">
      <c r="A210" s="32" t="inlineStr">
        <is>
          <t>APPLUS</t>
        </is>
      </c>
      <c r="D210" t="inlineStr">
        <is>
          <t>DBAF02D5972F</t>
        </is>
      </c>
      <c r="E210">
        <f>LEFT(D210,2)&amp;":"&amp;MID(D210,3,2)&amp;":"&amp;MID(D210,5,2)&amp;":"&amp;MID(D210,7,2)&amp;":"&amp;MID(D210,9,2)&amp;":"&amp;RIGHT(D210,2)</f>
        <v/>
      </c>
      <c r="F210" s="30" t="n">
        <v>45002</v>
      </c>
      <c r="H210" t="inlineStr">
        <is>
          <t>B8053ECA2A98D0E4</t>
        </is>
      </c>
      <c r="I210">
        <f>IFERROR(_xlfn.IFNA(INDEX(Sensors_MANU!$C$2:$C$4692,MATCH($D210,Sensors_MANU!$B$2:$B$4692,0)),INDEX(Sensors_MANU!$C$2:$C$4692,MATCH($P210,Sensors_MANU!$A$2:$A$4692,0))),"")</f>
        <v/>
      </c>
      <c r="J210" t="inlineStr">
        <is>
          <t>DUT_1</t>
        </is>
      </c>
    </row>
    <row r="211">
      <c r="A211" s="32" t="inlineStr">
        <is>
          <t>APPLUS</t>
        </is>
      </c>
      <c r="D211" t="inlineStr">
        <is>
          <t>D1AF7F910D5D</t>
        </is>
      </c>
      <c r="E211">
        <f>LEFT(D211,2)&amp;":"&amp;MID(D211,3,2)&amp;":"&amp;MID(D211,5,2)&amp;":"&amp;MID(D211,7,2)&amp;":"&amp;MID(D211,9,2)&amp;":"&amp;RIGHT(D211,2)</f>
        <v/>
      </c>
      <c r="F211" s="30" t="n">
        <v>45002</v>
      </c>
      <c r="H211" t="inlineStr">
        <is>
          <t>DDFD2C42AD9B7AA4</t>
        </is>
      </c>
      <c r="I211">
        <f>IFERROR(_xlfn.IFNA(INDEX(Sensors_MANU!$C$2:$C$4692,MATCH($D211,Sensors_MANU!$B$2:$B$4692,0)),INDEX(Sensors_MANU!$C$2:$C$4692,MATCH($P211,Sensors_MANU!$A$2:$A$4692,0))),"")</f>
        <v/>
      </c>
      <c r="J211" t="inlineStr">
        <is>
          <t>DUT_10</t>
        </is>
      </c>
    </row>
    <row r="212">
      <c r="A212" s="32" t="inlineStr">
        <is>
          <t>APPLUS</t>
        </is>
      </c>
      <c r="B212" s="24">
        <f>IFERROR(INDEX(Companies!$A$3:$A$101,MATCH(A212,Companies!$B$3:$B$101,0)),"")</f>
        <v/>
      </c>
      <c r="D212" t="inlineStr">
        <is>
          <t>CAF4E8129CE3</t>
        </is>
      </c>
      <c r="E212">
        <f>LEFT(D212,2)&amp;":"&amp;MID(D212,3,2)&amp;":"&amp;MID(D212,5,2)&amp;":"&amp;MID(D212,7,2)&amp;":"&amp;MID(D212,9,2)&amp;":"&amp;RIGHT(D212,2)</f>
        <v/>
      </c>
      <c r="H212" t="inlineStr">
        <is>
          <t>63DF518DC5FC480A</t>
        </is>
      </c>
      <c r="I212">
        <f>IFERROR(_xlfn.IFNA(INDEX(Sensors_MANU!$C$2:$C$4692,MATCH($D212,Sensors_MANU!$B$2:$B$4692,0)),INDEX(Sensors_MANU!$C$2:$C$4692,MATCH($P212,Sensors_MANU!$A$2:$A$4692,0))),"")</f>
        <v/>
      </c>
      <c r="J212" t="inlineStr">
        <is>
          <t>DUT_11</t>
        </is>
      </c>
      <c r="N212" s="99" t="inlineStr">
        <is>
          <t>For EMC/RF tests</t>
        </is>
      </c>
    </row>
    <row r="213">
      <c r="A213" s="32" t="inlineStr">
        <is>
          <t>APPLUS</t>
        </is>
      </c>
      <c r="D213" t="inlineStr">
        <is>
          <t>CC8AC3038D05</t>
        </is>
      </c>
      <c r="E213" s="24">
        <f>LEFT(D213,2)&amp;":"&amp;MID(D213,3,2)&amp;":"&amp;MID(D213,5,2)&amp;":"&amp;MID(D213,7,2)&amp;":"&amp;MID(D213,9,2)&amp;":"&amp;RIGHT(D213,2)</f>
        <v/>
      </c>
      <c r="H213" t="inlineStr">
        <is>
          <t>06DAD724F2765841</t>
        </is>
      </c>
      <c r="I213">
        <f>IFERROR(_xlfn.IFNA(INDEX(Sensors_MANU!$C$2:$C$4692,MATCH($D213,Sensors_MANU!$B$2:$B$4692,0)),INDEX(Sensors_MANU!$C$2:$C$4692,MATCH($P213,Sensors_MANU!$A$2:$A$4692,0))),"")</f>
        <v/>
      </c>
      <c r="J213" t="inlineStr">
        <is>
          <t>DUT_12</t>
        </is>
      </c>
      <c r="N213" s="102" t="inlineStr">
        <is>
          <t>Prepared for Atex shipment. FW 2.1_0.11</t>
        </is>
      </c>
    </row>
    <row r="214">
      <c r="A214" s="32" t="inlineStr">
        <is>
          <t>APPLUS</t>
        </is>
      </c>
      <c r="D214" t="inlineStr">
        <is>
          <t>DA28B57A8DD9</t>
        </is>
      </c>
      <c r="E214" s="24">
        <f>LEFT(D214,2)&amp;":"&amp;MID(D214,3,2)&amp;":"&amp;MID(D214,5,2)&amp;":"&amp;MID(D214,7,2)&amp;":"&amp;MID(D214,9,2)&amp;":"&amp;RIGHT(D214,2)</f>
        <v/>
      </c>
      <c r="H214" t="inlineStr">
        <is>
          <t>292C6DE9F5AFD418</t>
        </is>
      </c>
      <c r="I214">
        <f>IFERROR(_xlfn.IFNA(INDEX(Sensors_MANU!$C$2:$C$4692,MATCH($D214,Sensors_MANU!$B$2:$B$4692,0)),INDEX(Sensors_MANU!$C$2:$C$4692,MATCH($P214,Sensors_MANU!$A$2:$A$4692,0))),"")</f>
        <v/>
      </c>
      <c r="J214" t="inlineStr">
        <is>
          <t>DUT_13</t>
        </is>
      </c>
      <c r="N214" s="102" t="inlineStr">
        <is>
          <t>Prepared for Atex shipment. FW 2.1_0.11</t>
        </is>
      </c>
    </row>
    <row r="215">
      <c r="A215" s="32" t="inlineStr">
        <is>
          <t>APPLUS</t>
        </is>
      </c>
      <c r="D215" t="inlineStr">
        <is>
          <t>D4DF56C6F486</t>
        </is>
      </c>
      <c r="E215" s="24">
        <f>LEFT(D215,2)&amp;":"&amp;MID(D215,3,2)&amp;":"&amp;MID(D215,5,2)&amp;":"&amp;MID(D215,7,2)&amp;":"&amp;MID(D215,9,2)&amp;":"&amp;RIGHT(D215,2)</f>
        <v/>
      </c>
      <c r="H215" t="inlineStr">
        <is>
          <t>35ECFA15EEACBBE0</t>
        </is>
      </c>
      <c r="I215">
        <f>IFERROR(_xlfn.IFNA(INDEX(Sensors_MANU!$C$2:$C$4692,MATCH($D215,Sensors_MANU!$B$2:$B$4692,0)),INDEX(Sensors_MANU!$C$2:$C$4692,MATCH($P215,Sensors_MANU!$A$2:$A$4692,0))),"")</f>
        <v/>
      </c>
      <c r="J215" t="inlineStr">
        <is>
          <t>DUT_14</t>
        </is>
      </c>
      <c r="N215" s="102" t="inlineStr">
        <is>
          <t>Prepared for Atex shipment. FW 2.1_0.11</t>
        </is>
      </c>
    </row>
    <row r="216">
      <c r="A216" s="32" t="inlineStr">
        <is>
          <t>APPLUS</t>
        </is>
      </c>
      <c r="D216" t="inlineStr">
        <is>
          <t>C448C1E18C0E</t>
        </is>
      </c>
      <c r="E216" s="24">
        <f>LEFT(D216,2)&amp;":"&amp;MID(D216,3,2)&amp;":"&amp;MID(D216,5,2)&amp;":"&amp;MID(D216,7,2)&amp;":"&amp;MID(D216,9,2)&amp;":"&amp;RIGHT(D216,2)</f>
        <v/>
      </c>
      <c r="H216" t="inlineStr">
        <is>
          <t>AF02BBCF4B95919D</t>
        </is>
      </c>
      <c r="I216">
        <f>IFERROR(_xlfn.IFNA(INDEX(Sensors_MANU!$C$2:$C$4692,MATCH($D216,Sensors_MANU!$B$2:$B$4692,0)),INDEX(Sensors_MANU!$C$2:$C$4692,MATCH($P216,Sensors_MANU!$A$2:$A$4692,0))),"")</f>
        <v/>
      </c>
      <c r="J216" t="inlineStr">
        <is>
          <t>DUT_15</t>
        </is>
      </c>
      <c r="N216" s="99" t="inlineStr">
        <is>
          <t>Prepared for Atex shipment. FW 2.1_0.11</t>
        </is>
      </c>
    </row>
    <row r="217">
      <c r="A217" s="32" t="inlineStr">
        <is>
          <t>APPLUS</t>
        </is>
      </c>
      <c r="D217" t="inlineStr">
        <is>
          <t>DA8A0CA87D46</t>
        </is>
      </c>
      <c r="E217">
        <f>LEFT(D217,2)&amp;":"&amp;MID(D217,3,2)&amp;":"&amp;MID(D217,5,2)&amp;":"&amp;MID(D217,7,2)&amp;":"&amp;MID(D217,9,2)&amp;":"&amp;RIGHT(D217,2)</f>
        <v/>
      </c>
      <c r="F217" s="30" t="n">
        <v>45002</v>
      </c>
      <c r="H217" t="inlineStr">
        <is>
          <t>43035215F9C0A119</t>
        </is>
      </c>
      <c r="I217">
        <f>IFERROR(_xlfn.IFNA(INDEX(Sensors_MANU!$C$2:$C$4692,MATCH($D217,Sensors_MANU!$B$2:$B$4692,0)),INDEX(Sensors_MANU!$C$2:$C$4692,MATCH($P217,Sensors_MANU!$A$2:$A$4692,0))),"")</f>
        <v/>
      </c>
      <c r="J217" t="inlineStr">
        <is>
          <t>DUT_2</t>
        </is>
      </c>
    </row>
    <row r="218">
      <c r="A218" s="32" t="inlineStr">
        <is>
          <t>APPLUS</t>
        </is>
      </c>
      <c r="D218" t="inlineStr">
        <is>
          <t>F4DFD0A313F7</t>
        </is>
      </c>
      <c r="E218">
        <f>LEFT(D218,2)&amp;":"&amp;MID(D218,3,2)&amp;":"&amp;MID(D218,5,2)&amp;":"&amp;MID(D218,7,2)&amp;":"&amp;MID(D218,9,2)&amp;":"&amp;RIGHT(D218,2)</f>
        <v/>
      </c>
      <c r="F218" s="30" t="n">
        <v>45002</v>
      </c>
      <c r="H218" t="inlineStr">
        <is>
          <t>4FBFA9BA7CA69C0E</t>
        </is>
      </c>
      <c r="I218">
        <f>IFERROR(_xlfn.IFNA(INDEX(Sensors_MANU!$C$2:$C$4692,MATCH($D218,Sensors_MANU!$B$2:$B$4692,0)),INDEX(Sensors_MANU!$C$2:$C$4692,MATCH($P218,Sensors_MANU!$A$2:$A$4692,0))),"")</f>
        <v/>
      </c>
      <c r="J218" t="inlineStr">
        <is>
          <t>DUT_3</t>
        </is>
      </c>
    </row>
    <row r="219">
      <c r="A219" s="32" t="inlineStr">
        <is>
          <t>APPLUS</t>
        </is>
      </c>
      <c r="D219" t="inlineStr">
        <is>
          <t>D470A8AB8017</t>
        </is>
      </c>
      <c r="E219">
        <f>LEFT(D219,2)&amp;":"&amp;MID(D219,3,2)&amp;":"&amp;MID(D219,5,2)&amp;":"&amp;MID(D219,7,2)&amp;":"&amp;MID(D219,9,2)&amp;":"&amp;RIGHT(D219,2)</f>
        <v/>
      </c>
      <c r="F219" s="30" t="n">
        <v>45002</v>
      </c>
      <c r="H219" t="inlineStr">
        <is>
          <t>79AACCD6ADB82E4D</t>
        </is>
      </c>
      <c r="I219">
        <f>IFERROR(_xlfn.IFNA(INDEX(Sensors_MANU!$C$2:$C$4692,MATCH($D219,Sensors_MANU!$B$2:$B$4692,0)),INDEX(Sensors_MANU!$C$2:$C$4692,MATCH($P219,Sensors_MANU!$A$2:$A$4692,0))),"")</f>
        <v/>
      </c>
      <c r="J219" t="inlineStr">
        <is>
          <t>DUT_4</t>
        </is>
      </c>
    </row>
    <row r="220">
      <c r="A220" s="32" t="inlineStr">
        <is>
          <t>APPLUS</t>
        </is>
      </c>
      <c r="D220" t="inlineStr">
        <is>
          <t>C45C555B8D95</t>
        </is>
      </c>
      <c r="E220">
        <f>LEFT(D220,2)&amp;":"&amp;MID(D220,3,2)&amp;":"&amp;MID(D220,5,2)&amp;":"&amp;MID(D220,7,2)&amp;":"&amp;MID(D220,9,2)&amp;":"&amp;RIGHT(D220,2)</f>
        <v/>
      </c>
      <c r="F220" s="30" t="n">
        <v>45002</v>
      </c>
      <c r="H220" t="inlineStr">
        <is>
          <t>BBC23F0C4E1D2B02</t>
        </is>
      </c>
      <c r="I220">
        <f>IFERROR(_xlfn.IFNA(INDEX(Sensors_MANU!$C$2:$C$4692,MATCH($D220,Sensors_MANU!$B$2:$B$4692,0)),INDEX(Sensors_MANU!$C$2:$C$4692,MATCH($P220,Sensors_MANU!$A$2:$A$4692,0))),"")</f>
        <v/>
      </c>
      <c r="J220" t="inlineStr">
        <is>
          <t>DUT_5</t>
        </is>
      </c>
    </row>
    <row r="221">
      <c r="A221" s="32" t="inlineStr">
        <is>
          <t>APPLUS</t>
        </is>
      </c>
      <c r="D221" t="inlineStr">
        <is>
          <t>E3E6AFC8F294</t>
        </is>
      </c>
      <c r="E221">
        <f>LEFT(D221,2)&amp;":"&amp;MID(D221,3,2)&amp;":"&amp;MID(D221,5,2)&amp;":"&amp;MID(D221,7,2)&amp;":"&amp;MID(D221,9,2)&amp;":"&amp;RIGHT(D221,2)</f>
        <v/>
      </c>
      <c r="F221" s="30" t="n">
        <v>45002</v>
      </c>
      <c r="H221" t="inlineStr">
        <is>
          <t>AFC4BC148AA4075F</t>
        </is>
      </c>
      <c r="I221">
        <f>IFERROR(_xlfn.IFNA(INDEX(Sensors_MANU!$C$2:$C$4692,MATCH($D221,Sensors_MANU!$B$2:$B$4692,0)),INDEX(Sensors_MANU!$C$2:$C$4692,MATCH($P221,Sensors_MANU!$A$2:$A$4692,0))),"")</f>
        <v/>
      </c>
      <c r="J221" t="inlineStr">
        <is>
          <t>DUT_6</t>
        </is>
      </c>
    </row>
    <row r="222">
      <c r="A222" s="32" t="inlineStr">
        <is>
          <t>APPLUS</t>
        </is>
      </c>
      <c r="D222" t="inlineStr">
        <is>
          <t>C7E4BF3489A4</t>
        </is>
      </c>
      <c r="E222">
        <f>LEFT(D222,2)&amp;":"&amp;MID(D222,3,2)&amp;":"&amp;MID(D222,5,2)&amp;":"&amp;MID(D222,7,2)&amp;":"&amp;MID(D222,9,2)&amp;":"&amp;RIGHT(D222,2)</f>
        <v/>
      </c>
      <c r="F222" s="30" t="n">
        <v>45002</v>
      </c>
      <c r="H222" t="inlineStr">
        <is>
          <t>CBE3727F3BFA0C01</t>
        </is>
      </c>
      <c r="I222">
        <f>IFERROR(_xlfn.IFNA(INDEX(Sensors_MANU!$C$2:$C$4692,MATCH($D222,Sensors_MANU!$B$2:$B$4692,0)),INDEX(Sensors_MANU!$C$2:$C$4692,MATCH($P222,Sensors_MANU!$A$2:$A$4692,0))),"")</f>
        <v/>
      </c>
      <c r="J222" t="inlineStr">
        <is>
          <t>DUT_7</t>
        </is>
      </c>
    </row>
    <row r="223">
      <c r="A223" s="32" t="inlineStr">
        <is>
          <t>APPLUS</t>
        </is>
      </c>
      <c r="D223" t="inlineStr">
        <is>
          <t>D8B8B84B40C7</t>
        </is>
      </c>
      <c r="E223">
        <f>LEFT(D223,2)&amp;":"&amp;MID(D223,3,2)&amp;":"&amp;MID(D223,5,2)&amp;":"&amp;MID(D223,7,2)&amp;":"&amp;MID(D223,9,2)&amp;":"&amp;RIGHT(D223,2)</f>
        <v/>
      </c>
      <c r="F223" s="30" t="n">
        <v>45002</v>
      </c>
      <c r="H223" t="inlineStr">
        <is>
          <t>CFA44682859B9614</t>
        </is>
      </c>
      <c r="I223">
        <f>IFERROR(_xlfn.IFNA(INDEX(Sensors_MANU!$C$2:$C$4692,MATCH($D223,Sensors_MANU!$B$2:$B$4692,0)),INDEX(Sensors_MANU!$C$2:$C$4692,MATCH($P223,Sensors_MANU!$A$2:$A$4692,0))),"")</f>
        <v/>
      </c>
      <c r="J223" t="inlineStr">
        <is>
          <t>DUT_8</t>
        </is>
      </c>
    </row>
    <row r="224">
      <c r="A224" s="32" t="inlineStr">
        <is>
          <t>APPLUS</t>
        </is>
      </c>
      <c r="D224" t="inlineStr">
        <is>
          <t>EA0648CA4888</t>
        </is>
      </c>
      <c r="E224">
        <f>LEFT(D224,2)&amp;":"&amp;MID(D224,3,2)&amp;":"&amp;MID(D224,5,2)&amp;":"&amp;MID(D224,7,2)&amp;":"&amp;MID(D224,9,2)&amp;":"&amp;RIGHT(D224,2)</f>
        <v/>
      </c>
      <c r="F224" s="30" t="n">
        <v>45002</v>
      </c>
      <c r="H224" t="inlineStr">
        <is>
          <t>86E259E0FBABA962</t>
        </is>
      </c>
      <c r="I224">
        <f>IFERROR(_xlfn.IFNA(INDEX(Sensors_MANU!$C$2:$C$4692,MATCH($D224,Sensors_MANU!$B$2:$B$4692,0)),INDEX(Sensors_MANU!$C$2:$C$4692,MATCH($P224,Sensors_MANU!$A$2:$A$4692,0))),"")</f>
        <v/>
      </c>
      <c r="J224" t="inlineStr">
        <is>
          <t>DUT_9</t>
        </is>
      </c>
    </row>
    <row r="225">
      <c r="A225" s="32">
        <f>IFERROR(_xlfn.IFNA(INDEX(Sensors_MANU!$E$2:$E$4692,MATCH($D225,Sensors_MANU!$B$2:$B$4692,0)),INDEX(Sensors_MANU!$E$2:$E$4692,MATCH($P225,Sensors_MANU!$A$2:$A$4692,0))),"")</f>
        <v/>
      </c>
      <c r="B225" s="24">
        <f>IFERROR(INDEX(Companies!$A$3:$A$101,MATCH(A225,Companies!$B$3:$B$101,0)),"")</f>
        <v/>
      </c>
      <c r="C225">
        <f>IFERROR(_xlfn.IFNA(INDEX(Sensors_MANU!$F$2:$F$4692,MATCH($D225,Sensors_MANU!$B$2:$B$4692,0)),INDEX(Sensors_MANU!$F$2:$F$4692,MATCH($P225,Sensors_MANU!$A$2:$A$4692,0))),"")</f>
        <v/>
      </c>
      <c r="D225" t="inlineStr">
        <is>
          <t>C394CAAB7E8D</t>
        </is>
      </c>
      <c r="E225">
        <f>LEFT(D225,2)&amp;":"&amp;MID(D225,3,2)&amp;":"&amp;MID(D225,5,2)&amp;":"&amp;MID(D225,7,2)&amp;":"&amp;MID(D225,9,2)&amp;":"&amp;RIGHT(D225,2)</f>
        <v/>
      </c>
      <c r="H225" t="inlineStr">
        <is>
          <t>138FD545B2833245</t>
        </is>
      </c>
      <c r="I225" t="inlineStr">
        <is>
          <t>Tadiran</t>
        </is>
      </c>
      <c r="J225" t="inlineStr">
        <is>
          <t>LINK-PR2201-004</t>
        </is>
      </c>
      <c r="M225" s="27" t="n"/>
      <c r="N225" s="99">
        <f>IFERROR(INDEX(Sensors_MANU!$G$2:$G$4692,MATCH($P225,Sensors_MANU!$A$2:$A$4692,0)),)</f>
        <v/>
      </c>
      <c r="O225" s="6" t="inlineStr">
        <is>
          <t>v16</t>
        </is>
      </c>
      <c r="P225" t="n">
        <v>4978419</v>
      </c>
    </row>
    <row r="226">
      <c r="A226" s="32" t="inlineStr">
        <is>
          <t>LTG</t>
        </is>
      </c>
      <c r="B226" s="24">
        <f>IFERROR(INDEX(Companies!$A$3:$A$101,MATCH(A226,Companies!$B$3:$B$101,0)),"")</f>
        <v/>
      </c>
      <c r="C226" s="7" t="inlineStr">
        <is>
          <t>link</t>
        </is>
      </c>
      <c r="D226" s="7" t="inlineStr">
        <is>
          <t>E2A803B95D82</t>
        </is>
      </c>
      <c r="E226">
        <f>LEFT(D226,2)&amp;":"&amp;MID(D226,3,2)&amp;":"&amp;MID(D226,5,2)&amp;":"&amp;MID(D226,7,2)&amp;":"&amp;MID(D226,9,2)&amp;":"&amp;RIGHT(D226,2)</f>
        <v/>
      </c>
      <c r="F226" s="34" t="n">
        <v>44592.5625</v>
      </c>
      <c r="G226" s="34" t="n"/>
      <c r="H226" s="7" t="inlineStr">
        <is>
          <t>60252C3D40B40991</t>
        </is>
      </c>
      <c r="I226" s="8" t="inlineStr">
        <is>
          <t>tadiran</t>
        </is>
      </c>
      <c r="J226" s="7" t="inlineStr">
        <is>
          <t>LINK-PR2201-005</t>
        </is>
      </c>
      <c r="K226" s="37" t="inlineStr">
        <is>
          <t>95240733002-8</t>
        </is>
      </c>
      <c r="L226" s="37" t="n"/>
      <c r="M226" s="37" t="n"/>
      <c r="N226" s="103" t="inlineStr">
        <is>
          <t>water intrusion - replaced</t>
        </is>
      </c>
      <c r="O226" s="8" t="inlineStr">
        <is>
          <t>v10</t>
        </is>
      </c>
    </row>
    <row r="227">
      <c r="A227" s="32">
        <f>IFERROR(_xlfn.IFNA(INDEX(Sensors_MANU!$E$2:$E$4692,MATCH($D227,Sensors_MANU!$B$2:$B$4692,0)),INDEX(Sensors_MANU!$E$2:$E$4692,MATCH($P227,Sensors_MANU!$A$2:$A$4692,0))),"")</f>
        <v/>
      </c>
      <c r="B227" s="24">
        <f>IFERROR(INDEX(Companies!$A$3:$A$101,MATCH(A227,Companies!$B$3:$B$101,0)),"")</f>
        <v/>
      </c>
      <c r="C227">
        <f>IFERROR(_xlfn.IFNA(INDEX(Sensors_MANU!$F$2:$F$4692,MATCH($D227,Sensors_MANU!$B$2:$B$4692,0)),INDEX(Sensors_MANU!$F$2:$F$4692,MATCH($P227,Sensors_MANU!$A$2:$A$4692,0))),"")</f>
        <v/>
      </c>
      <c r="D227" t="inlineStr">
        <is>
          <t>DA756E6F571D</t>
        </is>
      </c>
      <c r="E227">
        <f>LEFT(D227,2)&amp;":"&amp;MID(D227,3,2)&amp;":"&amp;MID(D227,5,2)&amp;":"&amp;MID(D227,7,2)&amp;":"&amp;MID(D227,9,2)&amp;":"&amp;RIGHT(D227,2)</f>
        <v/>
      </c>
      <c r="H227" s="18" t="inlineStr">
        <is>
          <t>904E886159CFC312</t>
        </is>
      </c>
      <c r="I227">
        <f>IFERROR(_xlfn.IFNA(INDEX(Sensors_MANU!$C$2:$C$4692,MATCH($D227,Sensors_MANU!$B$2:$B$4692,0)),INDEX(Sensors_MANU!$C$2:$C$4692,MATCH($P227,Sensors_MANU!$A$2:$A$4692,0))),"")</f>
        <v/>
      </c>
      <c r="J227">
        <f>IFERROR(_xlfn.IFNA(INDEX(Sensors_MANU!$D$2:$D$4692,MATCH($D227,Sensors_MANU!$B$2:$B$4692,0)),INDEX(Sensors_MANU!$D$2:$D$4692,MATCH($P227,Sensors_MANU!$A$2:$A$4692,0))),"")</f>
        <v/>
      </c>
      <c r="M227" s="27" t="n"/>
      <c r="N227" s="99">
        <f>IFERROR(INDEX(Sensors_MANU!$G$2:$G$4692,MATCH($P227,Sensors_MANU!$A$2:$A$4692,0)),)</f>
        <v/>
      </c>
      <c r="O227" s="6" t="inlineStr">
        <is>
          <t>v16</t>
        </is>
      </c>
      <c r="P227" t="n">
        <v>4978720</v>
      </c>
    </row>
    <row r="228">
      <c r="A228" s="32">
        <f>IFERROR(_xlfn.IFNA(INDEX(Sensors_MANU!$E$2:$E$4692,MATCH($D228,Sensors_MANU!$B$2:$B$4692,0)),INDEX(Sensors_MANU!$E$2:$E$4692,MATCH($P228,Sensors_MANU!$A$2:$A$4692,0))),"")</f>
        <v/>
      </c>
      <c r="B228" s="24">
        <f>IFERROR(INDEX(Companies!$A$3:$A$101,MATCH(A228,Companies!$B$3:$B$101,0)),"")</f>
        <v/>
      </c>
      <c r="C228">
        <f>IFERROR(_xlfn.IFNA(INDEX(Sensors_MANU!$F$2:$F$4692,MATCH($D228,Sensors_MANU!$B$2:$B$4692,0)),INDEX(Sensors_MANU!$F$2:$F$4692,MATCH($P228,Sensors_MANU!$A$2:$A$4692,0))),"")</f>
        <v/>
      </c>
      <c r="D228" t="inlineStr">
        <is>
          <t>EC1693F6DEF6</t>
        </is>
      </c>
      <c r="E228" s="24">
        <f>LEFT(D228,2)&amp;":"&amp;MID(D228,3,2)&amp;":"&amp;MID(D228,5,2)&amp;":"&amp;MID(D228,7,2)&amp;":"&amp;MID(D228,9,2)&amp;":"&amp;RIGHT(D228,2)</f>
        <v/>
      </c>
      <c r="H228" t="inlineStr">
        <is>
          <t>EDDB47073A33A1AC</t>
        </is>
      </c>
      <c r="I228">
        <f>IFERROR(_xlfn.IFNA(INDEX(Sensors_MANU!$C$2:$C$4692,MATCH($D228,Sensors_MANU!$B$2:$B$4692,0)),INDEX(Sensors_MANU!$C$2:$C$4692,MATCH($P228,Sensors_MANU!$A$2:$A$4692,0))),"")</f>
        <v/>
      </c>
      <c r="J228">
        <f>IFERROR(_xlfn.IFNA(INDEX(Sensors_MANU!$D$2:$D$4692,MATCH($D228,Sensors_MANU!$B$2:$B$4692,0)),INDEX(Sensors_MANU!$D$2:$D$4692,MATCH($P228,Sensors_MANU!$A$2:$A$4692,0))),"")</f>
        <v/>
      </c>
      <c r="N228" s="99">
        <f>IFERROR(INDEX(Sensors_MANU!$G$2:$G$4692,MATCH($P228,Sensors_MANU!$A$2:$A$4692,0)),)</f>
        <v/>
      </c>
      <c r="O228" s="6" t="inlineStr">
        <is>
          <t>v17</t>
        </is>
      </c>
      <c r="P228" t="n">
        <v>4978771</v>
      </c>
    </row>
    <row r="229">
      <c r="A229" s="32" t="inlineStr">
        <is>
          <t>LTG</t>
        </is>
      </c>
      <c r="B229" s="24">
        <f>IFERROR(INDEX(Companies!$A$3:$A$101,MATCH(A229,Companies!$B$3:$B$101,0)),"")</f>
        <v/>
      </c>
      <c r="C229" t="inlineStr">
        <is>
          <t>link</t>
        </is>
      </c>
      <c r="D229" t="inlineStr">
        <is>
          <t>D22BB267D28E</t>
        </is>
      </c>
      <c r="E229">
        <f>LEFT(D229,2)&amp;":"&amp;MID(D229,3,2)&amp;":"&amp;MID(D229,5,2)&amp;":"&amp;MID(D229,7,2)&amp;":"&amp;MID(D229,9,2)&amp;":"&amp;RIGHT(D229,2)</f>
        <v/>
      </c>
      <c r="H229" t="inlineStr">
        <is>
          <t>8E8290AD64E9E934</t>
        </is>
      </c>
      <c r="I229" s="6" t="inlineStr">
        <is>
          <t>tadiran</t>
        </is>
      </c>
      <c r="J229" s="9" t="inlineStr">
        <is>
          <t>LINK-PR2201-008</t>
        </is>
      </c>
      <c r="K229" s="35" t="n"/>
      <c r="L229" s="35" t="n"/>
      <c r="M229" s="35" t="n"/>
      <c r="N229" s="99">
        <f>IFERROR(INDEX(Sensors_MANU!$G$2:$G$4692,MATCH($P229,Sensors_MANU!$A$2:$A$4692,0)),)</f>
        <v/>
      </c>
      <c r="O229" s="6" t="inlineStr">
        <is>
          <t>v14</t>
        </is>
      </c>
    </row>
    <row r="230">
      <c r="A230" s="32">
        <f>IFERROR(_xlfn.IFNA(INDEX(Sensors_MANU!$E$2:$E$4692,MATCH($D230,Sensors_MANU!$B$2:$B$4692,0)),INDEX(Sensors_MANU!$E$2:$E$4692,MATCH($P230,Sensors_MANU!$A$2:$A$4692,0))),"")</f>
        <v/>
      </c>
      <c r="B230" s="24">
        <f>IFERROR(INDEX(Companies!$A$3:$A$101,MATCH(A230,Companies!$B$3:$B$101,0)),"")</f>
        <v/>
      </c>
      <c r="C230">
        <f>IFERROR(_xlfn.IFNA(INDEX(Sensors_MANU!$F$2:$F$4692,MATCH($D230,Sensors_MANU!$B$2:$B$4692,0)),INDEX(Sensors_MANU!$F$2:$F$4692,MATCH($P230,Sensors_MANU!$A$2:$A$4692,0))),"")</f>
        <v/>
      </c>
      <c r="D230" t="inlineStr">
        <is>
          <t>EBF9B0C9AABB</t>
        </is>
      </c>
      <c r="E230">
        <f>LEFT(D230,2)&amp;":"&amp;MID(D230,3,2)&amp;":"&amp;MID(D230,5,2)&amp;":"&amp;MID(D230,7,2)&amp;":"&amp;MID(D230,9,2)&amp;":"&amp;RIGHT(D230,2)</f>
        <v/>
      </c>
      <c r="H230" t="inlineStr">
        <is>
          <t>D0873E46088CFB2A</t>
        </is>
      </c>
      <c r="I230">
        <f>IFERROR(_xlfn.IFNA(INDEX(Sensors_MANU!$C$2:$C$4692,MATCH($D230,Sensors_MANU!$B$2:$B$4692,0)),INDEX(Sensors_MANU!$C$2:$C$4692,MATCH($P230,Sensors_MANU!$A$2:$A$4692,0))),"")</f>
        <v/>
      </c>
      <c r="J230">
        <f>IFERROR(_xlfn.IFNA(INDEX(Sensors_MANU!$D$2:$D$4692,MATCH($D230,Sensors_MANU!$B$2:$B$4692,0)),INDEX(Sensors_MANU!$D$2:$D$4692,MATCH($P230,Sensors_MANU!$A$2:$A$4692,0))),"")</f>
        <v/>
      </c>
      <c r="M230" s="27" t="n"/>
      <c r="N230" s="99">
        <f>IFERROR(INDEX(Sensors_MANU!$G$2:$G$4692,MATCH($P230,Sensors_MANU!$A$2:$A$4692,0)),)</f>
        <v/>
      </c>
      <c r="O230" s="6" t="inlineStr">
        <is>
          <t>v16</t>
        </is>
      </c>
      <c r="P230" t="n">
        <v>4978780</v>
      </c>
    </row>
    <row r="231">
      <c r="B231" s="24">
        <f>IFERROR(INDEX(Companies!$A$3:$A$101,MATCH(A231,Companies!$B$3:$B$101,0)),"")</f>
        <v/>
      </c>
      <c r="C231">
        <f>IFERROR(_xlfn.IFNA(INDEX(Sensors_MANU!$F$2:$F$4692,MATCH($D231,Sensors_MANU!$B$2:$B$4692,0)),INDEX(Sensors_MANU!$F$2:$F$4692,MATCH($P231,Sensors_MANU!$A$2:$A$4692,0))),"")</f>
        <v/>
      </c>
      <c r="D231" t="inlineStr">
        <is>
          <t>DE26E17A6428</t>
        </is>
      </c>
      <c r="E231" s="24">
        <f>LEFT(D231,2)&amp;":"&amp;MID(D231,3,2)&amp;":"&amp;MID(D231,5,2)&amp;":"&amp;MID(D231,7,2)&amp;":"&amp;MID(D231,9,2)&amp;":"&amp;RIGHT(D231,2)</f>
        <v/>
      </c>
      <c r="H231" t="inlineStr">
        <is>
          <t>D4BFD2890A352443</t>
        </is>
      </c>
      <c r="I231">
        <f>IFERROR(_xlfn.IFNA(INDEX(Sensors_MANU!$C$2:$C$4692,MATCH($D231,Sensors_MANU!$B$2:$B$4692,0)),INDEX(Sensors_MANU!$C$2:$C$4692,MATCH($P231,Sensors_MANU!$A$2:$A$4692,0))),"")</f>
        <v/>
      </c>
      <c r="J231">
        <f>IFERROR(_xlfn.IFNA(INDEX(Sensors_MANU!$D$2:$D$4692,MATCH($D231,Sensors_MANU!$B$2:$B$4692,0)),INDEX(Sensors_MANU!$D$2:$D$4692,MATCH($P231,Sensors_MANU!$A$2:$A$4692,0))),"")</f>
        <v/>
      </c>
      <c r="N231" s="99">
        <f>IFERROR(INDEX(Sensors_MANU!$G$2:$G$4692,MATCH($P231,Sensors_MANU!$A$2:$A$4692,0)),)</f>
        <v/>
      </c>
      <c r="O231" s="6" t="inlineStr">
        <is>
          <t>v17</t>
        </is>
      </c>
      <c r="P231" t="n">
        <v>4978591</v>
      </c>
    </row>
    <row r="232">
      <c r="B232" s="24">
        <f>IFERROR(INDEX(Companies!$A$3:$A$101,MATCH(A232,Companies!$B$3:$B$101,0)),"")</f>
        <v/>
      </c>
      <c r="C232">
        <f>IFERROR(_xlfn.IFNA(INDEX(Sensors_MANU!$F$2:$F$4692,MATCH($D232,Sensors_MANU!$B$2:$B$4692,0)),INDEX(Sensors_MANU!$F$2:$F$4692,MATCH($P232,Sensors_MANU!$A$2:$A$4692,0))),"")</f>
        <v/>
      </c>
      <c r="D232" t="inlineStr">
        <is>
          <t>EF0712238601</t>
        </is>
      </c>
      <c r="E232" s="24">
        <f>LEFT(D232,2)&amp;":"&amp;MID(D232,3,2)&amp;":"&amp;MID(D232,5,2)&amp;":"&amp;MID(D232,7,2)&amp;":"&amp;MID(D232,9,2)&amp;":"&amp;RIGHT(D232,2)</f>
        <v/>
      </c>
      <c r="H232" s="18" t="inlineStr">
        <is>
          <t>18641E26675C9D5B</t>
        </is>
      </c>
      <c r="I232">
        <f>IFERROR(_xlfn.IFNA(INDEX(Sensors_MANU!$C$2:$C$4692,MATCH($D232,Sensors_MANU!$B$2:$B$4692,0)),INDEX(Sensors_MANU!$C$2:$C$4692,MATCH($P232,Sensors_MANU!$A$2:$A$4692,0))),"")</f>
        <v/>
      </c>
      <c r="J232">
        <f>IFERROR(_xlfn.IFNA(INDEX(Sensors_MANU!$D$2:$D$4692,MATCH($D232,Sensors_MANU!$B$2:$B$4692,0)),INDEX(Sensors_MANU!$D$2:$D$4692,MATCH($P232,Sensors_MANU!$A$2:$A$4692,0))),"")</f>
        <v/>
      </c>
      <c r="N232" s="99">
        <f>IFERROR(INDEX(Sensors_MANU!$G$2:$G$4692,MATCH($P232,Sensors_MANU!$A$2:$A$4692,0)),)</f>
        <v/>
      </c>
      <c r="O232" s="6" t="inlineStr">
        <is>
          <t>v17</t>
        </is>
      </c>
      <c r="P232" t="n">
        <v>4978529</v>
      </c>
    </row>
    <row r="233">
      <c r="A233" s="32">
        <f>IFERROR(_xlfn.IFNA(INDEX(Sensors_MANU!$E$2:$E$4692,MATCH($D233,Sensors_MANU!$B$2:$B$4692,0)),INDEX(Sensors_MANU!$E$2:$E$4692,MATCH($P233,Sensors_MANU!$A$2:$A$4692,0))),"")</f>
        <v/>
      </c>
      <c r="D233" t="inlineStr">
        <is>
          <t>EF57446F2566</t>
        </is>
      </c>
      <c r="E233">
        <f>LEFT(D233,2)&amp;":"&amp;MID(D233,3,2)&amp;":"&amp;MID(D233,5,2)&amp;":"&amp;MID(D233,7,2)&amp;":"&amp;MID(D233,9,2)&amp;":"&amp;RIGHT(D233,2)</f>
        <v/>
      </c>
      <c r="I233">
        <f>IFERROR(_xlfn.IFNA(INDEX(Sensors_MANU!$C$2:$C$4692,MATCH($D233,Sensors_MANU!$B$2:$B$4692,0)),INDEX(Sensors_MANU!$C$2:$C$4692,MATCH($P233,Sensors_MANU!$A$2:$A$4692,0))),"")</f>
        <v/>
      </c>
      <c r="J233">
        <f>IFERROR(_xlfn.IFNA(INDEX(Sensors_MANU!$D$2:$D$4692,MATCH($D233,Sensors_MANU!$B$2:$B$4692,0)),INDEX(Sensors_MANU!$D$2:$D$4692,MATCH($P233,Sensors_MANU!$A$2:$A$4692,0))),"")</f>
        <v/>
      </c>
    </row>
    <row r="234">
      <c r="A234" s="32">
        <f>IFERROR(_xlfn.IFNA(INDEX(Sensors_MANU!$E$2:$E$4692,MATCH($D234,Sensors_MANU!$B$2:$B$4692,0)),INDEX(Sensors_MANU!$E$2:$E$4692,MATCH($P234,Sensors_MANU!$A$2:$A$4692,0))),"")</f>
        <v/>
      </c>
      <c r="D234" t="inlineStr">
        <is>
          <t>C551CFDCA74D</t>
        </is>
      </c>
      <c r="E234">
        <f>LEFT(D234,2)&amp;":"&amp;MID(D234,3,2)&amp;":"&amp;MID(D234,5,2)&amp;":"&amp;MID(D234,7,2)&amp;":"&amp;MID(D234,9,2)&amp;":"&amp;RIGHT(D234,2)</f>
        <v/>
      </c>
      <c r="I234">
        <f>IFERROR(_xlfn.IFNA(INDEX(Sensors_MANU!$C$2:$C$4692,MATCH($D234,Sensors_MANU!$B$2:$B$4692,0)),INDEX(Sensors_MANU!$C$2:$C$4692,MATCH($P234,Sensors_MANU!$A$2:$A$4692,0))),"")</f>
        <v/>
      </c>
      <c r="J234">
        <f>IFERROR(_xlfn.IFNA(INDEX(Sensors_MANU!$D$2:$D$4692,MATCH($D234,Sensors_MANU!$B$2:$B$4692,0)),INDEX(Sensors_MANU!$D$2:$D$4692,MATCH($P234,Sensors_MANU!$A$2:$A$4692,0))),"")</f>
        <v/>
      </c>
    </row>
    <row r="235">
      <c r="A235" s="32">
        <f>IFERROR(_xlfn.IFNA(INDEX(Sensors_MANU!$E$2:$E$4692,MATCH($D235,Sensors_MANU!$B$2:$B$4692,0)),INDEX(Sensors_MANU!$E$2:$E$4692,MATCH($P235,Sensors_MANU!$A$2:$A$4692,0))),"")</f>
        <v/>
      </c>
      <c r="D235" t="inlineStr">
        <is>
          <t>CB92EACADE12</t>
        </is>
      </c>
      <c r="E235" s="13">
        <f>LEFT(D235,2)&amp;":"&amp;MID(D235,3,2)&amp;":"&amp;MID(D235,5,2)&amp;":"&amp;MID(D235,7,2)&amp;":"&amp;MID(D235,9,2)&amp;":"&amp;RIGHT(D235,2)</f>
        <v/>
      </c>
      <c r="I235">
        <f>IFERROR(_xlfn.IFNA(INDEX(Sensors_MANU!$C$2:$C$4692,MATCH($D235,Sensors_MANU!$B$2:$B$4692,0)),INDEX(Sensors_MANU!$C$2:$C$4692,MATCH($P235,Sensors_MANU!$A$2:$A$4692,0))),"")</f>
        <v/>
      </c>
      <c r="J235">
        <f>IFERROR(_xlfn.IFNA(INDEX(Sensors_MANU!$D$2:$D$4692,MATCH($D235,Sensors_MANU!$B$2:$B$4692,0)),INDEX(Sensors_MANU!$D$2:$D$4692,MATCH($P235,Sensors_MANU!$A$2:$A$4692,0))),"")</f>
        <v/>
      </c>
    </row>
    <row r="236">
      <c r="A236" s="32">
        <f>IFERROR(_xlfn.IFNA(INDEX(Sensors_MANU!$E$2:$E$4692,MATCH($D236,Sensors_MANU!$B$2:$B$4692,0)),INDEX(Sensors_MANU!$E$2:$E$4692,MATCH($P236,Sensors_MANU!$A$2:$A$4692,0))),"")</f>
        <v/>
      </c>
      <c r="D236" t="inlineStr">
        <is>
          <t>E3E9AA62E7AF</t>
        </is>
      </c>
      <c r="E236">
        <f>LEFT(D236,2)&amp;":"&amp;MID(D236,3,2)&amp;":"&amp;MID(D236,5,2)&amp;":"&amp;MID(D236,7,2)&amp;":"&amp;MID(D236,9,2)&amp;":"&amp;RIGHT(D236,2)</f>
        <v/>
      </c>
      <c r="I236">
        <f>IFERROR(_xlfn.IFNA(INDEX(Sensors_MANU!$C$2:$C$4692,MATCH($D236,Sensors_MANU!$B$2:$B$4692,0)),INDEX(Sensors_MANU!$C$2:$C$4692,MATCH($P236,Sensors_MANU!$A$2:$A$4692,0))),"")</f>
        <v/>
      </c>
      <c r="J236">
        <f>IFERROR(_xlfn.IFNA(INDEX(Sensors_MANU!$D$2:$D$4692,MATCH($D236,Sensors_MANU!$B$2:$B$4692,0)),INDEX(Sensors_MANU!$D$2:$D$4692,MATCH($P236,Sensors_MANU!$A$2:$A$4692,0))),"")</f>
        <v/>
      </c>
    </row>
    <row r="237">
      <c r="A237" s="32">
        <f>IFERROR(_xlfn.IFNA(INDEX(Sensors_MANU!$E$2:$E$4692,MATCH($D237,Sensors_MANU!$B$2:$B$4692,0)),INDEX(Sensors_MANU!$E$2:$E$4692,MATCH($P237,Sensors_MANU!$A$2:$A$4692,0))),"")</f>
        <v/>
      </c>
      <c r="B237" s="24">
        <f>IFERROR(INDEX(Companies!$A$3:$A$101,MATCH(A237,Companies!$B$3:$B$101,0)),"")</f>
        <v/>
      </c>
      <c r="C237">
        <f>IFERROR(_xlfn.IFNA(INDEX(Sensors_MANU!$F$2:$F$4692,MATCH($D237,Sensors_MANU!$B$2:$B$4692,0)),INDEX(Sensors_MANU!$F$2:$F$4692,MATCH($P237,Sensors_MANU!$A$2:$A$4692,0))),"")</f>
        <v/>
      </c>
      <c r="D237" t="inlineStr">
        <is>
          <t>F4F498BB0758</t>
        </is>
      </c>
      <c r="E237" s="24">
        <f>LEFT(D237,2)&amp;":"&amp;MID(D237,3,2)&amp;":"&amp;MID(D237,5,2)&amp;":"&amp;MID(D237,7,2)&amp;":"&amp;MID(D237,9,2)&amp;":"&amp;RIGHT(D237,2)</f>
        <v/>
      </c>
      <c r="H237" t="inlineStr">
        <is>
          <t>25A5F801A0A2817F</t>
        </is>
      </c>
      <c r="I237">
        <f>IFERROR(_xlfn.IFNA(INDEX(Sensors_MANU!$C$2:$C$4692,MATCH($D237,Sensors_MANU!$B$2:$B$4692,0)),INDEX(Sensors_MANU!$C$2:$C$4692,MATCH($P237,Sensors_MANU!$A$2:$A$4692,0))),"")</f>
        <v/>
      </c>
      <c r="J237" s="64">
        <f>IFERROR(_xlfn.IFNA(INDEX(Sensors_MANU!$D$2:$D$4692,MATCH($D237,Sensors_MANU!$B$2:$B$4692,0)),INDEX(Sensors_MANU!$D$2:$D$4692,MATCH($P237,Sensors_MANU!$A$2:$A$4692,0))),"")</f>
        <v/>
      </c>
      <c r="K237" s="27" t="inlineStr">
        <is>
          <t>24714450036-7</t>
        </is>
      </c>
      <c r="L237" s="27" t="inlineStr">
        <is>
          <t>1L</t>
        </is>
      </c>
      <c r="N237" s="99">
        <f>IFERROR(INDEX(Sensors_MANU!$G$2:$G$4692,MATCH($P237,Sensors_MANU!$A$2:$A$4692,0)),)</f>
        <v/>
      </c>
      <c r="O237" s="6" t="inlineStr">
        <is>
          <t>v17</t>
        </is>
      </c>
      <c r="P237" t="n">
        <v>4978504</v>
      </c>
    </row>
    <row r="238">
      <c r="A238" s="32">
        <f>IFERROR(_xlfn.IFNA(INDEX(Sensors_MANU!$E$2:$E$4692,MATCH($D238,Sensors_MANU!$B$2:$B$4692,0)),INDEX(Sensors_MANU!$E$2:$E$4692,MATCH($P238,Sensors_MANU!$A$2:$A$4692,0))),"")</f>
        <v/>
      </c>
      <c r="B238" s="24">
        <f>IFERROR(INDEX(Companies!$A$3:$A$101,MATCH(A238,Companies!$B$3:$B$101,0)),"")</f>
        <v/>
      </c>
      <c r="C238">
        <f>IFERROR(_xlfn.IFNA(INDEX(Sensors_MANU!$F$2:$F$4692,MATCH($D238,Sensors_MANU!$B$2:$B$4692,0)),INDEX(Sensors_MANU!$F$2:$F$4692,MATCH($P238,Sensors_MANU!$A$2:$A$4692,0))),"")</f>
        <v/>
      </c>
      <c r="D238" t="inlineStr">
        <is>
          <t>CD9075EBF726</t>
        </is>
      </c>
      <c r="E238" s="24">
        <f>LEFT(D238,2)&amp;":"&amp;MID(D238,3,2)&amp;":"&amp;MID(D238,5,2)&amp;":"&amp;MID(D238,7,2)&amp;":"&amp;MID(D238,9,2)&amp;":"&amp;RIGHT(D238,2)</f>
        <v/>
      </c>
      <c r="F238" s="29" t="n">
        <v>44910</v>
      </c>
      <c r="G238" s="29" t="inlineStr">
        <is>
          <t>Viezo</t>
        </is>
      </c>
      <c r="H238" t="inlineStr">
        <is>
          <t>42928922B0C3A698</t>
        </is>
      </c>
      <c r="I238">
        <f>IFERROR(_xlfn.IFNA(INDEX(Sensors_MANU!$C$2:$C$4692,MATCH($D238,Sensors_MANU!$B$2:$B$4692,0)),INDEX(Sensors_MANU!$C$2:$C$4692,MATCH($P238,Sensors_MANU!$A$2:$A$4692,0))),"")</f>
        <v/>
      </c>
      <c r="J238">
        <f>IFERROR(_xlfn.IFNA(INDEX(Sensors_MANU!$D$2:$D$4692,MATCH($D238,Sensors_MANU!$B$2:$B$4692,0)),INDEX(Sensors_MANU!$D$2:$D$4692,MATCH($P238,Sensors_MANU!$A$2:$A$4692,0))),"")</f>
        <v/>
      </c>
      <c r="K238" s="27" t="inlineStr">
        <is>
          <t>31833916501-7</t>
        </is>
      </c>
      <c r="L238" s="27" t="inlineStr">
        <is>
          <t>4R</t>
        </is>
      </c>
      <c r="O238" s="6" t="inlineStr">
        <is>
          <t>V25</t>
        </is>
      </c>
    </row>
    <row r="239">
      <c r="B239" s="24">
        <f>IFERROR(INDEX(Companies!$A$3:$A$101,MATCH(A239,Companies!$B$3:$B$101,0)),"")</f>
        <v/>
      </c>
      <c r="C239">
        <f>IFERROR(_xlfn.IFNA(INDEX(Sensors_MANU!$F$2:$F$4692,MATCH($D239,Sensors_MANU!$B$2:$B$4692,0)),INDEX(Sensors_MANU!$F$2:$F$4692,MATCH($P239,Sensors_MANU!$A$2:$A$4692,0))),"")</f>
        <v/>
      </c>
      <c r="D239" t="inlineStr">
        <is>
          <t>DD81C38F6A6F</t>
        </is>
      </c>
      <c r="E239" s="24">
        <f>LEFT(D239,2)&amp;":"&amp;MID(D239,3,2)&amp;":"&amp;MID(D239,5,2)&amp;":"&amp;MID(D239,7,2)&amp;":"&amp;MID(D239,9,2)&amp;":"&amp;RIGHT(D239,2)</f>
        <v/>
      </c>
      <c r="H239" t="inlineStr">
        <is>
          <t>212A19429C9976DD</t>
        </is>
      </c>
      <c r="I239">
        <f>IFERROR(_xlfn.IFNA(INDEX(Sensors_MANU!$C$2:$C$4692,MATCH($D239,Sensors_MANU!$B$2:$B$4692,0)),INDEX(Sensors_MANU!$C$2:$C$4692,MATCH($P239,Sensors_MANU!$A$2:$A$4692,0))),"")</f>
        <v/>
      </c>
      <c r="J239">
        <f>IFERROR(_xlfn.IFNA(INDEX(Sensors_MANU!$D$2:$D$4692,MATCH($D239,Sensors_MANU!$B$2:$B$4692,0)),INDEX(Sensors_MANU!$D$2:$D$4692,MATCH($P239,Sensors_MANU!$A$2:$A$4692,0))),"")</f>
        <v/>
      </c>
      <c r="N239" s="99">
        <f>IFERROR(INDEX(Sensors_MANU!$G$2:$G$4692,MATCH($P239,Sensors_MANU!$A$2:$A$4692,0)),)</f>
        <v/>
      </c>
      <c r="O239" s="6" t="inlineStr">
        <is>
          <t>v17</t>
        </is>
      </c>
      <c r="P239" t="n">
        <v>4978453</v>
      </c>
    </row>
    <row r="240">
      <c r="A240" s="32">
        <f>IFERROR(_xlfn.IFNA(INDEX(Sensors_MANU!$E$2:$E$4692,MATCH($D240,Sensors_MANU!$B$2:$B$4692,0)),INDEX(Sensors_MANU!$E$2:$E$4692,MATCH($P240,Sensors_MANU!$A$2:$A$4692,0))),"")</f>
        <v/>
      </c>
      <c r="B240" s="24">
        <f>IFERROR(INDEX(Companies!$A$3:$A$101,MATCH(A240,Companies!$B$3:$B$101,0)),"")</f>
        <v/>
      </c>
      <c r="C240">
        <f>IFERROR(_xlfn.IFNA(INDEX(Sensors_MANU!$F$2:$F$4692,MATCH($D240,Sensors_MANU!$B$2:$B$4692,0)),INDEX(Sensors_MANU!$F$2:$F$4692,MATCH($P240,Sensors_MANU!$A$2:$A$4692,0))),"")</f>
        <v/>
      </c>
      <c r="D240" t="inlineStr">
        <is>
          <t>EBC84F65977C</t>
        </is>
      </c>
      <c r="E240" s="24">
        <f>LEFT(D240,2)&amp;":"&amp;MID(D240,3,2)&amp;":"&amp;MID(D240,5,2)&amp;":"&amp;MID(D240,7,2)&amp;":"&amp;MID(D240,9,2)&amp;":"&amp;RIGHT(D240,2)</f>
        <v/>
      </c>
      <c r="F240" s="29" t="n">
        <v>44910</v>
      </c>
      <c r="G240" s="29" t="inlineStr">
        <is>
          <t>Viezo</t>
        </is>
      </c>
      <c r="H240" t="inlineStr">
        <is>
          <t>7923429E61A0919D</t>
        </is>
      </c>
      <c r="I240">
        <f>IFERROR(_xlfn.IFNA(INDEX(Sensors_MANU!$C$2:$C$4692,MATCH($D240,Sensors_MANU!$B$2:$B$4692,0)),INDEX(Sensors_MANU!$C$2:$C$4692,MATCH($P240,Sensors_MANU!$A$2:$A$4692,0))),"")</f>
        <v/>
      </c>
      <c r="J240">
        <f>IFERROR(_xlfn.IFNA(INDEX(Sensors_MANU!$D$2:$D$4692,MATCH($D240,Sensors_MANU!$B$2:$B$4692,0)),INDEX(Sensors_MANU!$D$2:$D$4692,MATCH($P240,Sensors_MANU!$A$2:$A$4692,0))),"")</f>
        <v/>
      </c>
      <c r="K240" s="27" t="inlineStr">
        <is>
          <t>31833916514-0</t>
        </is>
      </c>
      <c r="L240" s="27" t="inlineStr">
        <is>
          <t>4R</t>
        </is>
      </c>
      <c r="O240" s="6" t="inlineStr">
        <is>
          <t>V25</t>
        </is>
      </c>
    </row>
    <row r="241">
      <c r="A241" s="32">
        <f>IFERROR(_xlfn.IFNA(INDEX(Sensors_MANU!$E$2:$E$4692,MATCH($D241,Sensors_MANU!$B$2:$B$4692,0)),INDEX(Sensors_MANU!$E$2:$E$4692,MATCH($P241,Sensors_MANU!$A$2:$A$4692,0))),"")</f>
        <v/>
      </c>
      <c r="B241" s="24">
        <f>IFERROR(INDEX(Companies!$A$3:$A$101,MATCH(A241,Companies!$B$3:$B$101,0)),"")</f>
        <v/>
      </c>
      <c r="C241">
        <f>IFERROR(_xlfn.IFNA(INDEX(Sensors_MANU!$F$2:$F$4692,MATCH($D241,Sensors_MANU!$B$2:$B$4692,0)),INDEX(Sensors_MANU!$F$2:$F$4692,MATCH($P241,Sensors_MANU!$A$2:$A$4692,0))),"")</f>
        <v/>
      </c>
      <c r="D241" t="inlineStr">
        <is>
          <t>E1E81E1EA6A2</t>
        </is>
      </c>
      <c r="E241" s="24">
        <f>LEFT(D241,2)&amp;":"&amp;MID(D241,3,2)&amp;":"&amp;MID(D241,5,2)&amp;":"&amp;MID(D241,7,2)&amp;":"&amp;MID(D241,9,2)&amp;":"&amp;RIGHT(D241,2)</f>
        <v/>
      </c>
      <c r="F241" s="29" t="n">
        <v>44890</v>
      </c>
      <c r="G241" s="29" t="inlineStr">
        <is>
          <t>Renfe</t>
        </is>
      </c>
      <c r="H241" t="inlineStr">
        <is>
          <t>995C03E686450F0C</t>
        </is>
      </c>
      <c r="I241">
        <f>IFERROR(_xlfn.IFNA(INDEX(Sensors_MANU!$C$2:$C$4692,MATCH($D241,Sensors_MANU!$B$2:$B$4692,0)),INDEX(Sensors_MANU!$C$2:$C$4692,MATCH($P241,Sensors_MANU!$A$2:$A$4692,0))),"")</f>
        <v/>
      </c>
      <c r="J241" s="25">
        <f>IFERROR(_xlfn.IFNA(INDEX(Sensors_MANU!$D$2:$D$4692,MATCH($D241,Sensors_MANU!$B$2:$B$4692,0)),INDEX(Sensors_MANU!$D$2:$D$4692,MATCH($P241,Sensors_MANU!$A$2:$A$4692,0))),"")</f>
        <v/>
      </c>
      <c r="N241" s="99" t="inlineStr">
        <is>
          <t>LOST</t>
        </is>
      </c>
      <c r="O241" s="6" t="inlineStr">
        <is>
          <t>v17</t>
        </is>
      </c>
      <c r="P241" t="n">
        <v>4978520</v>
      </c>
    </row>
    <row r="242">
      <c r="A242" s="32">
        <f>IFERROR(_xlfn.IFNA(INDEX(Sensors_MANU!$E$2:$E$4692,MATCH($D242,Sensors_MANU!$B$2:$B$4692,0)),INDEX(Sensors_MANU!$E$2:$E$4692,MATCH($P242,Sensors_MANU!$A$2:$A$4692,0))),"")</f>
        <v/>
      </c>
      <c r="B242" s="24">
        <f>IFERROR(INDEX(Companies!$A$3:$A$101,MATCH(A242,Companies!$B$3:$B$101,0)),"")</f>
        <v/>
      </c>
      <c r="C242">
        <f>IFERROR(_xlfn.IFNA(INDEX(Sensors_MANU!$F$2:$F$4692,MATCH($D242,Sensors_MANU!$B$2:$B$4692,0)),INDEX(Sensors_MANU!$F$2:$F$4692,MATCH($P242,Sensors_MANU!$A$2:$A$4692,0))),"")</f>
        <v/>
      </c>
      <c r="D242" t="inlineStr">
        <is>
          <t>F6223AB6E18C</t>
        </is>
      </c>
      <c r="E242" s="24">
        <f>LEFT(D242,2)&amp;":"&amp;MID(D242,3,2)&amp;":"&amp;MID(D242,5,2)&amp;":"&amp;MID(D242,7,2)&amp;":"&amp;MID(D242,9,2)&amp;":"&amp;RIGHT(D242,2)</f>
        <v/>
      </c>
      <c r="H242" t="inlineStr">
        <is>
          <t>73B1B70DAF4472C3</t>
        </is>
      </c>
      <c r="I242">
        <f>IFERROR(_xlfn.IFNA(INDEX(Sensors_MANU!$C$2:$C$4692,MATCH($D242,Sensors_MANU!$B$2:$B$4692,0)),INDEX(Sensors_MANU!$C$2:$C$4692,MATCH($P242,Sensors_MANU!$A$2:$A$4692,0))),"")</f>
        <v/>
      </c>
      <c r="J242">
        <f>IFERROR(_xlfn.IFNA(INDEX(Sensors_MANU!$D$2:$D$4692,MATCH($D242,Sensors_MANU!$B$2:$B$4692,0)),INDEX(Sensors_MANU!$D$2:$D$4692,MATCH($P242,Sensors_MANU!$A$2:$A$4692,0))),"")</f>
        <v/>
      </c>
      <c r="O242" s="6" t="inlineStr">
        <is>
          <t>V25</t>
        </is>
      </c>
    </row>
    <row r="243">
      <c r="A243" s="32">
        <f>IFERROR(_xlfn.IFNA(INDEX(Sensors_MANU!$E$2:$E$4692,MATCH($D243,Sensors_MANU!$B$2:$B$4692,0)),INDEX(Sensors_MANU!$E$2:$E$4692,MATCH($P243,Sensors_MANU!$A$2:$A$4692,0))),"")</f>
        <v/>
      </c>
      <c r="B243" s="24">
        <f>IFERROR(INDEX(Companies!$A$3:$A$101,MATCH(A243,Companies!$B$3:$B$101,0)),"")</f>
        <v/>
      </c>
      <c r="C243">
        <f>IFERROR(_xlfn.IFNA(INDEX(Sensors_MANU!$F$2:$F$4692,MATCH($D243,Sensors_MANU!$B$2:$B$4692,0)),INDEX(Sensors_MANU!$F$2:$F$4692,MATCH($P243,Sensors_MANU!$A$2:$A$4692,0))),"")</f>
        <v/>
      </c>
      <c r="D243" t="inlineStr">
        <is>
          <t>D87A543EF52C</t>
        </is>
      </c>
      <c r="E243" s="24">
        <f>LEFT(D243,2)&amp;":"&amp;MID(D243,3,2)&amp;":"&amp;MID(D243,5,2)&amp;":"&amp;MID(D243,7,2)&amp;":"&amp;MID(D243,9,2)&amp;":"&amp;RIGHT(D243,2)</f>
        <v/>
      </c>
      <c r="F243" s="29" t="n">
        <v>44910</v>
      </c>
      <c r="G243" s="29" t="inlineStr">
        <is>
          <t>Viezo</t>
        </is>
      </c>
      <c r="H243" t="inlineStr">
        <is>
          <t>D4241450D7250EE6</t>
        </is>
      </c>
      <c r="I243">
        <f>IFERROR(_xlfn.IFNA(INDEX(Sensors_MANU!$C$2:$C$4692,MATCH($D243,Sensors_MANU!$B$2:$B$4692,0)),INDEX(Sensors_MANU!$C$2:$C$4692,MATCH($P243,Sensors_MANU!$A$2:$A$4692,0))),"")</f>
        <v/>
      </c>
      <c r="J243">
        <f>IFERROR(_xlfn.IFNA(INDEX(Sensors_MANU!$D$2:$D$4692,MATCH($D243,Sensors_MANU!$B$2:$B$4692,0)),INDEX(Sensors_MANU!$D$2:$D$4692,MATCH($P243,Sensors_MANU!$A$2:$A$4692,0))),"")</f>
        <v/>
      </c>
      <c r="K243" s="27" t="inlineStr">
        <is>
          <t>31835376007-3</t>
        </is>
      </c>
      <c r="L243" s="27" t="inlineStr">
        <is>
          <t>1R</t>
        </is>
      </c>
      <c r="O243" s="6" t="inlineStr">
        <is>
          <t>V25</t>
        </is>
      </c>
    </row>
    <row r="244">
      <c r="B244" s="24">
        <f>IFERROR(INDEX(Companies!$A$3:$A$101,MATCH(A244,Companies!$B$3:$B$101,0)),"")</f>
        <v/>
      </c>
      <c r="C244">
        <f>IFERROR(_xlfn.IFNA(INDEX(Sensors_MANU!$F$2:$F$4692,MATCH($D244,Sensors_MANU!$B$2:$B$4692,0)),INDEX(Sensors_MANU!$F$2:$F$4692,MATCH($P244,Sensors_MANU!$A$2:$A$4692,0))),"")</f>
        <v/>
      </c>
      <c r="D244" t="inlineStr">
        <is>
          <t>C1513AC0609D</t>
        </is>
      </c>
      <c r="E244">
        <f>LEFT(D244,2)&amp;":"&amp;MID(D244,3,2)&amp;":"&amp;MID(D244,5,2)&amp;":"&amp;MID(D244,7,2)&amp;":"&amp;MID(D244,9,2)&amp;":"&amp;RIGHT(D244,2)</f>
        <v/>
      </c>
      <c r="H244" t="inlineStr">
        <is>
          <t>6EC1ADC3707F8892</t>
        </is>
      </c>
      <c r="I244">
        <f>IFERROR(_xlfn.IFNA(INDEX(Sensors_MANU!$C$2:$C$4692,MATCH($D244,Sensors_MANU!$B$2:$B$4692,0)),INDEX(Sensors_MANU!$C$2:$C$4692,MATCH($P244,Sensors_MANU!$A$2:$A$4692,0))),"")</f>
        <v/>
      </c>
      <c r="J244">
        <f>IFERROR(_xlfn.IFNA(INDEX(Sensors_MANU!$D$2:$D$4692,MATCH($D244,Sensors_MANU!$B$2:$B$4692,0)),INDEX(Sensors_MANU!$D$2:$D$4692,MATCH($P244,Sensors_MANU!$A$2:$A$4692,0))),"")</f>
        <v/>
      </c>
      <c r="M244" s="27" t="n"/>
      <c r="N244" s="99">
        <f>IFERROR(INDEX(Sensors_MANU!$G$2:$G$4692,MATCH($P244,Sensors_MANU!$A$2:$A$4692,0)),)</f>
        <v/>
      </c>
      <c r="O244" s="6" t="inlineStr">
        <is>
          <t>v16</t>
        </is>
      </c>
      <c r="P244" t="n">
        <v>4978492</v>
      </c>
    </row>
    <row r="245">
      <c r="A245" s="32">
        <f>IFERROR(_xlfn.IFNA(INDEX(Sensors_MANU!$E$2:$E$4692,MATCH($D245,Sensors_MANU!$B$2:$B$4692,0)),INDEX(Sensors_MANU!$E$2:$E$4692,MATCH($P245,Sensors_MANU!$A$2:$A$4692,0))),"")</f>
        <v/>
      </c>
      <c r="B245" s="24">
        <f>IFERROR(INDEX(Companies!$A$3:$A$101,MATCH(A245,Companies!$B$3:$B$101,0)),"")</f>
        <v/>
      </c>
      <c r="C245">
        <f>IFERROR(_xlfn.IFNA(INDEX(Sensors_MANU!$F$2:$F$4692,MATCH($D245,Sensors_MANU!$B$2:$B$4692,0)),INDEX(Sensors_MANU!$F$2:$F$4692,MATCH($P245,Sensors_MANU!$A$2:$A$4692,0))),"")</f>
        <v/>
      </c>
      <c r="D245" t="inlineStr">
        <is>
          <t>FE60392666B0</t>
        </is>
      </c>
      <c r="E245">
        <f>LEFT(D245,2)&amp;":"&amp;MID(D245,3,2)&amp;":"&amp;MID(D245,5,2)&amp;":"&amp;MID(D245,7,2)&amp;":"&amp;MID(D245,9,2)&amp;":"&amp;RIGHT(D245,2)</f>
        <v/>
      </c>
      <c r="F245" s="29" t="n">
        <v>44910</v>
      </c>
      <c r="G245" s="29" t="inlineStr">
        <is>
          <t>Viezo</t>
        </is>
      </c>
      <c r="H245" s="18" t="inlineStr">
        <is>
          <t>9E1231777391E22B</t>
        </is>
      </c>
      <c r="I245">
        <f>IFERROR(_xlfn.IFNA(INDEX(Sensors_MANU!$C$2:$C$4692,MATCH($D245,Sensors_MANU!$B$2:$B$4692,0)),INDEX(Sensors_MANU!$C$2:$C$4692,MATCH($P245,Sensors_MANU!$A$2:$A$4692,0))),"")</f>
        <v/>
      </c>
      <c r="J245">
        <f>IFERROR(_xlfn.IFNA(INDEX(Sensors_MANU!$D$2:$D$4692,MATCH($D245,Sensors_MANU!$B$2:$B$4692,0)),INDEX(Sensors_MANU!$D$2:$D$4692,MATCH($P245,Sensors_MANU!$A$2:$A$4692,0))),"")</f>
        <v/>
      </c>
      <c r="K245" s="27" t="inlineStr">
        <is>
          <t>33854506221-2</t>
        </is>
      </c>
      <c r="L245" s="27" t="inlineStr">
        <is>
          <t>7a</t>
        </is>
      </c>
      <c r="M245" s="27" t="n">
        <v>20042217</v>
      </c>
      <c r="N245" s="99">
        <f>IFERROR(INDEX(Sensors_MANU!$G$2:$G$4692,MATCH($P245,Sensors_MANU!$A$2:$A$4692,0)),)</f>
        <v/>
      </c>
      <c r="O245" s="6" t="inlineStr">
        <is>
          <t>v16</t>
        </is>
      </c>
      <c r="P245" t="n">
        <v>4978840</v>
      </c>
    </row>
    <row r="246">
      <c r="A246" s="32">
        <f>IFERROR(_xlfn.IFNA(INDEX(Sensors_MANU!$E$2:$E$4692,MATCH($D246,Sensors_MANU!$B$2:$B$4692,0)),INDEX(Sensors_MANU!$E$2:$E$4692,MATCH($P246,Sensors_MANU!$A$2:$A$4692,0))),"")</f>
        <v/>
      </c>
      <c r="B246" s="24">
        <f>IFERROR(INDEX(Companies!$A$3:$A$101,MATCH(A246,Companies!$B$3:$B$101,0)),"")</f>
        <v/>
      </c>
      <c r="C246">
        <f>IFERROR(_xlfn.IFNA(INDEX(Sensors_MANU!$F$2:$F$4692,MATCH($D246,Sensors_MANU!$B$2:$B$4692,0)),INDEX(Sensors_MANU!$F$2:$F$4692,MATCH($P246,Sensors_MANU!$A$2:$A$4692,0))),"")</f>
        <v/>
      </c>
      <c r="D246" t="inlineStr">
        <is>
          <t>C88F974B61D4</t>
        </is>
      </c>
      <c r="E246" s="24">
        <f>LEFT(D246,2)&amp;":"&amp;MID(D246,3,2)&amp;":"&amp;MID(D246,5,2)&amp;":"&amp;MID(D246,7,2)&amp;":"&amp;MID(D246,9,2)&amp;":"&amp;RIGHT(D246,2)</f>
        <v/>
      </c>
      <c r="H246" t="inlineStr">
        <is>
          <t>9F92F8675972E2A9</t>
        </is>
      </c>
      <c r="I246">
        <f>IFERROR(_xlfn.IFNA(INDEX(Sensors_MANU!$C$2:$C$4692,MATCH($D246,Sensors_MANU!$B$2:$B$4692,0)),INDEX(Sensors_MANU!$C$2:$C$4692,MATCH($P246,Sensors_MANU!$A$2:$A$4692,0))),"")</f>
        <v/>
      </c>
      <c r="J246">
        <f>IFERROR(_xlfn.IFNA(INDEX(Sensors_MANU!$D$2:$D$4692,MATCH($D246,Sensors_MANU!$B$2:$B$4692,0)),INDEX(Sensors_MANU!$D$2:$D$4692,MATCH($P246,Sensors_MANU!$A$2:$A$4692,0))),"")</f>
        <v/>
      </c>
      <c r="O246" s="6" t="inlineStr">
        <is>
          <t>V25</t>
        </is>
      </c>
    </row>
    <row r="247">
      <c r="A247" s="32">
        <f>IFERROR(_xlfn.IFNA(INDEX(Sensors_MANU!$E$2:$E$4692,MATCH($D247,Sensors_MANU!$B$2:$B$4692,0)),INDEX(Sensors_MANU!$E$2:$E$4692,MATCH($P247,Sensors_MANU!$A$2:$A$4692,0))),"")</f>
        <v/>
      </c>
      <c r="B247" s="24">
        <f>IFERROR(INDEX(Companies!$A$3:$A$101,MATCH(A247,Companies!$B$3:$B$101,0)),"")</f>
        <v/>
      </c>
      <c r="C247">
        <f>IFERROR(_xlfn.IFNA(INDEX(Sensors_MANU!$F$2:$F$4692,MATCH($D247,Sensors_MANU!$B$2:$B$4692,0)),INDEX(Sensors_MANU!$F$2:$F$4692,MATCH($P247,Sensors_MANU!$A$2:$A$4692,0))),"")</f>
        <v/>
      </c>
      <c r="D247" t="inlineStr">
        <is>
          <t>CAC8C6C73D63</t>
        </is>
      </c>
      <c r="E247" s="24">
        <f>LEFT(D247,2)&amp;":"&amp;MID(D247,3,2)&amp;":"&amp;MID(D247,5,2)&amp;":"&amp;MID(D247,7,2)&amp;":"&amp;MID(D247,9,2)&amp;":"&amp;RIGHT(D247,2)</f>
        <v/>
      </c>
      <c r="H247" t="inlineStr">
        <is>
          <t>EA99404621E0C36A</t>
        </is>
      </c>
      <c r="I247">
        <f>IFERROR(_xlfn.IFNA(INDEX(Sensors_MANU!$C$2:$C$4692,MATCH($D247,Sensors_MANU!$B$2:$B$4692,0)),INDEX(Sensors_MANU!$C$2:$C$4692,MATCH($P247,Sensors_MANU!$A$2:$A$4692,0))),"")</f>
        <v/>
      </c>
      <c r="J247">
        <f>IFERROR(_xlfn.IFNA(INDEX(Sensors_MANU!$D$2:$D$4692,MATCH($D247,Sensors_MANU!$B$2:$B$4692,0)),INDEX(Sensors_MANU!$D$2:$D$4692,MATCH($P247,Sensors_MANU!$A$2:$A$4692,0))),"")</f>
        <v/>
      </c>
      <c r="O247" s="6" t="inlineStr">
        <is>
          <t>V25</t>
        </is>
      </c>
    </row>
    <row r="248">
      <c r="A248" s="32">
        <f>IFERROR(_xlfn.IFNA(INDEX(Sensors_MANU!$E$2:$E$4692,MATCH($D248,Sensors_MANU!$B$2:$B$4692,0)),INDEX(Sensors_MANU!$E$2:$E$4692,MATCH($P248,Sensors_MANU!$A$2:$A$4692,0))),"")</f>
        <v/>
      </c>
      <c r="B248" s="24">
        <f>IFERROR(INDEX(Companies!$A$3:$A$101,MATCH(A248,Companies!$B$3:$B$101,0)),"")</f>
        <v/>
      </c>
      <c r="C248">
        <f>IFERROR(_xlfn.IFNA(INDEX(Sensors_MANU!$F$2:$F$4692,MATCH($D248,Sensors_MANU!$B$2:$B$4692,0)),INDEX(Sensors_MANU!$F$2:$F$4692,MATCH($P248,Sensors_MANU!$A$2:$A$4692,0))),"")</f>
        <v/>
      </c>
      <c r="D248" t="inlineStr">
        <is>
          <t>FAB4CDE0DF08</t>
        </is>
      </c>
      <c r="E248" s="24">
        <f>LEFT(D248,2)&amp;":"&amp;MID(D248,3,2)&amp;":"&amp;MID(D248,5,2)&amp;":"&amp;MID(D248,7,2)&amp;":"&amp;MID(D248,9,2)&amp;":"&amp;RIGHT(D248,2)</f>
        <v/>
      </c>
      <c r="H248" t="inlineStr">
        <is>
          <t>2317DFE2694BFAB5</t>
        </is>
      </c>
      <c r="I248">
        <f>IFERROR(_xlfn.IFNA(INDEX(Sensors_MANU!$C$2:$C$4692,MATCH($D248,Sensors_MANU!$B$2:$B$4692,0)),INDEX(Sensors_MANU!$C$2:$C$4692,MATCH($P248,Sensors_MANU!$A$2:$A$4692,0))),"")</f>
        <v/>
      </c>
      <c r="J248" s="64">
        <f>IFERROR(_xlfn.IFNA(INDEX(Sensors_MANU!$D$2:$D$4692,MATCH($D248,Sensors_MANU!$B$2:$B$4692,0)),INDEX(Sensors_MANU!$D$2:$D$4692,MATCH($P248,Sensors_MANU!$A$2:$A$4692,0))),"")</f>
        <v/>
      </c>
      <c r="K248" s="27" t="inlineStr">
        <is>
          <t>43714378393-8</t>
        </is>
      </c>
      <c r="L248" s="27" t="inlineStr">
        <is>
          <t>1L</t>
        </is>
      </c>
      <c r="N248" s="99">
        <f>IFERROR(INDEX(Sensors_MANU!$G$2:$G$4692,MATCH($P248,Sensors_MANU!$A$2:$A$4692,0)),)</f>
        <v/>
      </c>
      <c r="O248" s="6" t="inlineStr">
        <is>
          <t>v17</t>
        </is>
      </c>
      <c r="P248" t="n">
        <v>4978655</v>
      </c>
    </row>
    <row r="249">
      <c r="A249" s="32">
        <f>IFERROR(_xlfn.IFNA(INDEX(Sensors_MANU!$E$2:$E$4692,MATCH($D249,Sensors_MANU!$B$2:$B$4692,0)),INDEX(Sensors_MANU!$E$2:$E$4692,MATCH($P249,Sensors_MANU!$A$2:$A$4692,0))),"")</f>
        <v/>
      </c>
      <c r="B249" s="24">
        <f>IFERROR(INDEX(Companies!$A$3:$A$101,MATCH(A249,Companies!$B$3:$B$101,0)),"")</f>
        <v/>
      </c>
      <c r="C249">
        <f>IFERROR(_xlfn.IFNA(INDEX(Sensors_MANU!$F$2:$F$4692,MATCH($D249,Sensors_MANU!$B$2:$B$4692,0)),INDEX(Sensors_MANU!$F$2:$F$4692,MATCH($P249,Sensors_MANU!$A$2:$A$4692,0))),"")</f>
        <v/>
      </c>
      <c r="D249" t="inlineStr">
        <is>
          <t>D0061EEF3069</t>
        </is>
      </c>
      <c r="E249">
        <f>LEFT(D249,2)&amp;":"&amp;MID(D249,3,2)&amp;":"&amp;MID(D249,5,2)&amp;":"&amp;MID(D249,7,2)&amp;":"&amp;MID(D249,9,2)&amp;":"&amp;RIGHT(D249,2)</f>
        <v/>
      </c>
      <c r="F249" s="29" t="n">
        <v>44910</v>
      </c>
      <c r="G249" s="29" t="inlineStr">
        <is>
          <t>Viezo</t>
        </is>
      </c>
      <c r="H249" t="inlineStr">
        <is>
          <t>B687B4DB1D89C226</t>
        </is>
      </c>
      <c r="I249">
        <f>IFERROR(_xlfn.IFNA(INDEX(Sensors_MANU!$C$2:$C$4692,MATCH($D249,Sensors_MANU!$B$2:$B$4692,0)),INDEX(Sensors_MANU!$C$2:$C$4692,MATCH($P249,Sensors_MANU!$A$2:$A$4692,0))),"")</f>
        <v/>
      </c>
      <c r="J249">
        <f>IFERROR(_xlfn.IFNA(INDEX(Sensors_MANU!$D$2:$D$4692,MATCH($D249,Sensors_MANU!$B$2:$B$4692,0)),INDEX(Sensors_MANU!$D$2:$D$4692,MATCH($P249,Sensors_MANU!$A$2:$A$4692,0))),"")</f>
        <v/>
      </c>
      <c r="K249" s="27" t="inlineStr">
        <is>
          <t>31834575297-2</t>
        </is>
      </c>
      <c r="L249" s="27" t="inlineStr">
        <is>
          <t>2R</t>
        </is>
      </c>
      <c r="M249" s="27" t="n"/>
      <c r="N249" s="99">
        <f>IFERROR(INDEX(Sensors_MANU!$G$2:$G$4692,MATCH($P249,Sensors_MANU!$A$2:$A$4692,0)),)</f>
        <v/>
      </c>
      <c r="O249" s="6" t="inlineStr">
        <is>
          <t>v17</t>
        </is>
      </c>
      <c r="P249" t="n">
        <v>4978810</v>
      </c>
    </row>
    <row r="250">
      <c r="A250" s="32" t="inlineStr">
        <is>
          <t>VIEZO</t>
        </is>
      </c>
      <c r="B250" s="24">
        <f>IFERROR(INDEX(Companies!$A$3:$A$101,MATCH(A250,Companies!$B$3:$B$101,0)),"")</f>
        <v/>
      </c>
      <c r="C250">
        <f>IFERROR(_xlfn.IFNA(INDEX(Sensors_MANU!$F$2:$F$4692,MATCH($D250,Sensors_MANU!$B$2:$B$4692,0)),INDEX(Sensors_MANU!$F$2:$F$4692,MATCH($P250,Sensors_MANU!$A$2:$A$4692,0))),"")</f>
        <v/>
      </c>
      <c r="D250" t="inlineStr">
        <is>
          <t>C36A03AEDF0F</t>
        </is>
      </c>
      <c r="E250" s="24">
        <f>LEFT(D250,2)&amp;":"&amp;MID(D250,3,2)&amp;":"&amp;MID(D250,5,2)&amp;":"&amp;MID(D250,7,2)&amp;":"&amp;MID(D250,9,2)&amp;":"&amp;RIGHT(D250,2)</f>
        <v/>
      </c>
      <c r="H250" t="inlineStr">
        <is>
          <t>9C13870B1069B77D</t>
        </is>
      </c>
      <c r="I250">
        <f>IFERROR(_xlfn.IFNA(INDEX(Sensors_MANU!$C$2:$C$4692,MATCH($D250,Sensors_MANU!$B$2:$B$4692,0)),INDEX(Sensors_MANU!$C$2:$C$4692,MATCH($P250,Sensors_MANU!$A$2:$A$4692,0))),"")</f>
        <v/>
      </c>
      <c r="J250" t="inlineStr">
        <is>
          <t>PR2201-049</t>
        </is>
      </c>
      <c r="N250" s="99" t="inlineStr">
        <is>
          <t>TESTING SENSOR</t>
        </is>
      </c>
      <c r="O250" s="6" t="inlineStr">
        <is>
          <t>V23</t>
        </is>
      </c>
    </row>
    <row r="251">
      <c r="A251" s="32">
        <f>IFERROR(_xlfn.IFNA(INDEX(Sensors_MANU!$E$2:$E$4692,MATCH($D251,Sensors_MANU!$B$2:$B$4692,0)),INDEX(Sensors_MANU!$E$2:$E$4692,MATCH($P251,Sensors_MANU!$A$2:$A$4692,0))),"")</f>
        <v/>
      </c>
      <c r="B251" s="24">
        <f>IFERROR(INDEX(Companies!$A$3:$A$101,MATCH(A251,Companies!$B$3:$B$101,0)),"")</f>
        <v/>
      </c>
      <c r="C251">
        <f>IFERROR(_xlfn.IFNA(INDEX(Sensors_MANU!$F$2:$F$4692,MATCH($D251,Sensors_MANU!$B$2:$B$4692,0)),INDEX(Sensors_MANU!$F$2:$F$4692,MATCH($P251,Sensors_MANU!$A$2:$A$4692,0))),"")</f>
        <v/>
      </c>
      <c r="D251" t="inlineStr">
        <is>
          <t>D4F251DE5D41</t>
        </is>
      </c>
      <c r="E251" s="24">
        <f>LEFT(D251,2)&amp;":"&amp;MID(D251,3,2)&amp;":"&amp;MID(D251,5,2)&amp;":"&amp;MID(D251,7,2)&amp;":"&amp;MID(D251,9,2)&amp;":"&amp;RIGHT(D251,2)</f>
        <v/>
      </c>
      <c r="F251" s="29" t="n">
        <v>44964</v>
      </c>
      <c r="G251" s="29" t="inlineStr">
        <is>
          <t>Renfe</t>
        </is>
      </c>
      <c r="H251" t="inlineStr">
        <is>
          <t>2B65598F317834C2</t>
        </is>
      </c>
      <c r="I251">
        <f>IFERROR(_xlfn.IFNA(INDEX(Sensors_MANU!$C$2:$C$4692,MATCH($D251,Sensors_MANU!$B$2:$B$4692,0)),INDEX(Sensors_MANU!$C$2:$C$4692,MATCH($P251,Sensors_MANU!$A$2:$A$4692,0))),"")</f>
        <v/>
      </c>
      <c r="J251" s="68">
        <f>IFERROR(_xlfn.IFNA(INDEX(Sensors_MANU!$D$2:$D$4692,MATCH($D251,Sensors_MANU!$B$2:$B$4692,0)),INDEX(Sensors_MANU!$D$2:$D$4692,MATCH($P251,Sensors_MANU!$A$2:$A$4692,0))),"")</f>
        <v/>
      </c>
      <c r="K251" s="27" t="n">
        <v>529004</v>
      </c>
      <c r="L251" s="27" t="inlineStr">
        <is>
          <t>4R</t>
        </is>
      </c>
      <c r="O251" s="6" t="inlineStr">
        <is>
          <t>v17</t>
        </is>
      </c>
      <c r="P251" t="n">
        <v>4978615</v>
      </c>
    </row>
    <row r="252">
      <c r="A252" s="32" t="inlineStr">
        <is>
          <t>RAILRELEASE</t>
        </is>
      </c>
      <c r="B252" s="24">
        <f>IFERROR(INDEX(Companies!$A$3:$A$101,MATCH(A252,Companies!$B$3:$B$101,0)),"")</f>
        <v/>
      </c>
      <c r="D252" t="inlineStr">
        <is>
          <t>DA667A481B88</t>
        </is>
      </c>
      <c r="E252" s="24">
        <f>LEFT(D252,2)&amp;":"&amp;MID(D252,3,2)&amp;":"&amp;MID(D252,5,2)&amp;":"&amp;MID(D252,7,2)&amp;":"&amp;MID(D252,9,2)&amp;":"&amp;RIGHT(D252,2)</f>
        <v/>
      </c>
      <c r="F252" s="29" t="n">
        <v>45064</v>
      </c>
      <c r="G252" s="29" t="inlineStr">
        <is>
          <t>Viezo</t>
        </is>
      </c>
      <c r="H252" t="inlineStr">
        <is>
          <t>C9563EF76C0CA6A4</t>
        </is>
      </c>
      <c r="J252" s="71" t="inlineStr">
        <is>
          <t>PR2201-051</t>
        </is>
      </c>
      <c r="K252" s="27" t="inlineStr">
        <is>
          <t>37844576159-6</t>
        </is>
      </c>
      <c r="L252" s="27" t="inlineStr">
        <is>
          <t>4R</t>
        </is>
      </c>
      <c r="N252" s="99">
        <f>IFERROR(INDEX(Sensors_MANU!$G$2:$G$4692,MATCH($P252,Sensors_MANU!$A$2:$A$4692,0)),)</f>
        <v/>
      </c>
      <c r="O252" s="6" t="inlineStr">
        <is>
          <t>v17</t>
        </is>
      </c>
      <c r="P252" t="n">
        <v>4978497</v>
      </c>
    </row>
    <row r="253">
      <c r="A253" s="32">
        <f>IFERROR(_xlfn.IFNA(INDEX(Sensors_MANU!$E$2:$E$4692,MATCH($D253,Sensors_MANU!$B$2:$B$4692,0)),INDEX(Sensors_MANU!$E$2:$E$4692,MATCH($P253,Sensors_MANU!$A$2:$A$4692,0))),"")</f>
        <v/>
      </c>
      <c r="B253" s="24" t="inlineStr">
        <is>
          <t>64818ba10166b80f8d06f5fa</t>
        </is>
      </c>
      <c r="C253">
        <f>IFERROR(_xlfn.IFNA(INDEX(Sensors_MANU!$F$2:$F$4692,MATCH($D253,Sensors_MANU!$B$2:$B$4692,0)),INDEX(Sensors_MANU!$F$2:$F$4692,MATCH($P253,Sensors_MANU!$A$2:$A$4692,0))),"")</f>
        <v/>
      </c>
      <c r="D253" t="inlineStr">
        <is>
          <t>D134B9045A27</t>
        </is>
      </c>
      <c r="E253" s="24">
        <f>LEFT(D253,2)&amp;":"&amp;MID(D253,3,2)&amp;":"&amp;MID(D253,5,2)&amp;":"&amp;MID(D253,7,2)&amp;":"&amp;MID(D253,9,2)&amp;":"&amp;RIGHT(D253,2)</f>
        <v/>
      </c>
      <c r="F253" s="29" t="n">
        <v>45090</v>
      </c>
      <c r="G253" s="29" t="inlineStr">
        <is>
          <t>VIEZO</t>
        </is>
      </c>
      <c r="H253" t="inlineStr">
        <is>
          <t>25B59E18319E83AA</t>
        </is>
      </c>
      <c r="I253">
        <f>IFERROR(_xlfn.IFNA(INDEX(Sensors_MANU!$C$2:$C$4692,MATCH($D253,Sensors_MANU!$B$2:$B$4692,0)),INDEX(Sensors_MANU!$C$2:$C$4692,MATCH($P253,Sensors_MANU!$A$2:$A$4692,0))),"")</f>
        <v/>
      </c>
      <c r="J253">
        <f>IFERROR(_xlfn.IFNA(INDEX(Sensors_MANU!$D$2:$D$4692,MATCH($D253,Sensors_MANU!$B$2:$B$4692,0)),INDEX(Sensors_MANU!$D$2:$D$4692,MATCH($P253,Sensors_MANU!$A$2:$A$4692,0))),"")</f>
        <v/>
      </c>
      <c r="K253" s="27" t="inlineStr">
        <is>
          <t>33802742481-5</t>
        </is>
      </c>
      <c r="L253" s="27" t="inlineStr">
        <is>
          <t>3R</t>
        </is>
      </c>
      <c r="O253" s="6" t="inlineStr">
        <is>
          <t>V25</t>
        </is>
      </c>
    </row>
    <row r="254">
      <c r="A254" s="32">
        <f>IFERROR(_xlfn.IFNA(INDEX(Sensors_MANU!$E$2:$E$4692,MATCH($D254,Sensors_MANU!$B$2:$B$4692,0)),INDEX(Sensors_MANU!$E$2:$E$4692,MATCH($P254,Sensors_MANU!$A$2:$A$4692,0))),"")</f>
        <v/>
      </c>
      <c r="B254" s="24">
        <f>IFERROR(INDEX(Companies!$A$3:$A$101,MATCH(A254,Companies!$B$3:$B$101,0)),"")</f>
        <v/>
      </c>
      <c r="D254" t="inlineStr">
        <is>
          <t>DCE99A586080</t>
        </is>
      </c>
      <c r="E254">
        <f>LEFT(D254,2)&amp;":"&amp;MID(D254,3,2)&amp;":"&amp;MID(D254,5,2)&amp;":"&amp;MID(D254,7,2)&amp;":"&amp;MID(D254,9,2)&amp;":"&amp;RIGHT(D254,2)</f>
        <v/>
      </c>
      <c r="F254" s="29" t="n">
        <v>44953</v>
      </c>
      <c r="G254" s="29" t="inlineStr">
        <is>
          <t>Fertagus</t>
        </is>
      </c>
      <c r="H254" t="inlineStr">
        <is>
          <t>542D5A98F704950C</t>
        </is>
      </c>
      <c r="I254">
        <f>IFERROR(_xlfn.IFNA(INDEX(Sensors_MANU!$C$2:$C$4692,MATCH($D254,Sensors_MANU!$B$2:$B$4692,0)),INDEX(Sensors_MANU!$C$2:$C$4692,MATCH($P254,Sensors_MANU!$A$2:$A$4692,0))),"")</f>
        <v/>
      </c>
      <c r="J254">
        <f>IFERROR(_xlfn.IFNA(INDEX(Sensors_MANU!$D$2:$D$4692,MATCH($D254,Sensors_MANU!$B$2:$B$4692,0)),INDEX(Sensors_MANU!$D$2:$D$4692,MATCH($P254,Sensors_MANU!$A$2:$A$4692,0))),"")</f>
        <v/>
      </c>
      <c r="K254" s="27" t="inlineStr">
        <is>
          <t>M3505</t>
        </is>
      </c>
      <c r="L254" s="27" t="inlineStr">
        <is>
          <t>4R</t>
        </is>
      </c>
    </row>
    <row r="255">
      <c r="A255" s="32" t="inlineStr">
        <is>
          <t>RAILRELEASE</t>
        </is>
      </c>
      <c r="B255" s="24">
        <f>IFERROR(INDEX(Companies!$A$3:$A$101,MATCH(A255,Companies!$B$3:$B$101,0)),"")</f>
        <v/>
      </c>
      <c r="D255" t="inlineStr">
        <is>
          <t>CE91DE72C10F</t>
        </is>
      </c>
      <c r="E255" s="24">
        <f>LEFT(D255,2)&amp;":"&amp;MID(D255,3,2)&amp;":"&amp;MID(D255,5,2)&amp;":"&amp;MID(D255,7,2)&amp;":"&amp;MID(D255,9,2)&amp;":"&amp;RIGHT(D255,2)</f>
        <v/>
      </c>
      <c r="F255" s="29" t="n">
        <v>45064</v>
      </c>
      <c r="G255" s="29" t="inlineStr">
        <is>
          <t>Viezo</t>
        </is>
      </c>
      <c r="H255" t="inlineStr">
        <is>
          <t>6BC7E8A02CF532E6</t>
        </is>
      </c>
      <c r="J255" s="71" t="inlineStr">
        <is>
          <t>PR2201-056</t>
        </is>
      </c>
      <c r="K255" s="27" t="inlineStr">
        <is>
          <t>37844576158-8</t>
        </is>
      </c>
      <c r="L255" s="27" t="inlineStr">
        <is>
          <t>3R</t>
        </is>
      </c>
      <c r="N255" s="99">
        <f>IFERROR(INDEX(Sensors_MANU!$G$2:$G$4692,MATCH($P255,Sensors_MANU!$A$2:$A$4692,0)),)</f>
        <v/>
      </c>
      <c r="O255" s="6" t="inlineStr">
        <is>
          <t>v17</t>
        </is>
      </c>
      <c r="P255" t="n">
        <v>4978502</v>
      </c>
    </row>
    <row r="256">
      <c r="B256" s="24">
        <f>IFERROR(INDEX(Companies!$A$3:$A$101,MATCH(A256,Companies!$B$3:$B$101,0)),"")</f>
        <v/>
      </c>
      <c r="C256">
        <f>IFERROR(_xlfn.IFNA(INDEX(Sensors_MANU!$F$2:$F$4692,MATCH($D256,Sensors_MANU!$B$2:$B$4692,0)),INDEX(Sensors_MANU!$F$2:$F$4692,MATCH($P256,Sensors_MANU!$A$2:$A$4692,0))),"")</f>
        <v/>
      </c>
      <c r="D256" t="inlineStr">
        <is>
          <t>CC3348B2F186</t>
        </is>
      </c>
      <c r="E256" s="24">
        <f>LEFT(D256,2)&amp;":"&amp;MID(D256,3,2)&amp;":"&amp;MID(D256,5,2)&amp;":"&amp;MID(D256,7,2)&amp;":"&amp;MID(D256,9,2)&amp;":"&amp;RIGHT(D256,2)</f>
        <v/>
      </c>
      <c r="H256" t="inlineStr">
        <is>
          <t>725C66A3A6F541B4</t>
        </is>
      </c>
      <c r="I256">
        <f>IFERROR(_xlfn.IFNA(INDEX(Sensors_MANU!$C$2:$C$4692,MATCH($D256,Sensors_MANU!$B$2:$B$4692,0)),INDEX(Sensors_MANU!$C$2:$C$4692,MATCH($P256,Sensors_MANU!$A$2:$A$4692,0))),"")</f>
        <v/>
      </c>
      <c r="J256">
        <f>IFERROR(_xlfn.IFNA(INDEX(Sensors_MANU!$D$2:$D$4692,MATCH($D256,Sensors_MANU!$B$2:$B$4692,0)),INDEX(Sensors_MANU!$D$2:$D$4692,MATCH($P256,Sensors_MANU!$A$2:$A$4692,0))),"")</f>
        <v/>
      </c>
      <c r="N256" s="99">
        <f>IFERROR(INDEX(Sensors_MANU!$G$2:$G$4692,MATCH($P256,Sensors_MANU!$A$2:$A$4692,0)),)</f>
        <v/>
      </c>
      <c r="O256" s="6" t="inlineStr">
        <is>
          <t>v17</t>
        </is>
      </c>
      <c r="P256" t="n">
        <v>4978832</v>
      </c>
    </row>
    <row r="257">
      <c r="B257" s="24">
        <f>IFERROR(INDEX(Companies!$A$3:$A$101,MATCH(A257,Companies!$B$3:$B$101,0)),"")</f>
        <v/>
      </c>
      <c r="C257">
        <f>IFERROR(_xlfn.IFNA(INDEX(Sensors_MANU!$F$2:$F$4692,MATCH($D257,Sensors_MANU!$B$2:$B$4692,0)),INDEX(Sensors_MANU!$F$2:$F$4692,MATCH($P257,Sensors_MANU!$A$2:$A$4692,0))),"")</f>
        <v/>
      </c>
      <c r="D257" t="inlineStr">
        <is>
          <t>E53CB6690EDC</t>
        </is>
      </c>
      <c r="E257" s="24">
        <f>LEFT(D257,2)&amp;":"&amp;MID(D257,3,2)&amp;":"&amp;MID(D257,5,2)&amp;":"&amp;MID(D257,7,2)&amp;":"&amp;MID(D257,9,2)&amp;":"&amp;RIGHT(D257,2)</f>
        <v/>
      </c>
      <c r="H257" t="inlineStr">
        <is>
          <t>FCAE6B83C66FA418</t>
        </is>
      </c>
      <c r="I257">
        <f>IFERROR(_xlfn.IFNA(INDEX(Sensors_MANU!$C$2:$C$4692,MATCH($D257,Sensors_MANU!$B$2:$B$4692,0)),INDEX(Sensors_MANU!$C$2:$C$4692,MATCH($P257,Sensors_MANU!$A$2:$A$4692,0))),"")</f>
        <v/>
      </c>
      <c r="J257">
        <f>IFERROR(_xlfn.IFNA(INDEX(Sensors_MANU!$D$2:$D$4692,MATCH($D257,Sensors_MANU!$B$2:$B$4692,0)),INDEX(Sensors_MANU!$D$2:$D$4692,MATCH($P257,Sensors_MANU!$A$2:$A$4692,0))),"")</f>
        <v/>
      </c>
      <c r="N257" s="99">
        <f>IFERROR(INDEX(Sensors_MANU!$G$2:$G$4692,MATCH($P257,Sensors_MANU!$A$2:$A$4692,0)),)</f>
        <v/>
      </c>
      <c r="O257" s="6" t="inlineStr">
        <is>
          <t>v17</t>
        </is>
      </c>
      <c r="P257" t="n">
        <v>4978572</v>
      </c>
    </row>
    <row r="258">
      <c r="A258" s="32">
        <f>IFERROR(_xlfn.IFNA(INDEX(Sensors_MANU!$E$2:$E$4692,MATCH($D258,Sensors_MANU!$B$2:$B$4692,0)),INDEX(Sensors_MANU!$E$2:$E$4692,MATCH($P258,Sensors_MANU!$A$2:$A$4692,0))),"")</f>
        <v/>
      </c>
      <c r="B258" s="24">
        <f>IFERROR(INDEX(Companies!$A$3:$A$101,MATCH(A258,Companies!$B$3:$B$101,0)),"")</f>
        <v/>
      </c>
      <c r="C258">
        <f>IFERROR(_xlfn.IFNA(INDEX(Sensors_MANU!$F$2:$F$4692,MATCH($D258,Sensors_MANU!$B$2:$B$4692,0)),INDEX(Sensors_MANU!$F$2:$F$4692,MATCH($P258,Sensors_MANU!$A$2:$A$4692,0))),"")</f>
        <v/>
      </c>
      <c r="D258" t="inlineStr">
        <is>
          <t>D410486BAD7F</t>
        </is>
      </c>
      <c r="E258" s="24">
        <f>LEFT(D258,2)&amp;":"&amp;MID(D258,3,2)&amp;":"&amp;MID(D258,5,2)&amp;":"&amp;MID(D258,7,2)&amp;":"&amp;MID(D258,9,2)&amp;":"&amp;RIGHT(D258,2)</f>
        <v/>
      </c>
      <c r="F258" s="29" t="n">
        <v>44880</v>
      </c>
      <c r="G258" s="29" t="inlineStr">
        <is>
          <t>Viezo</t>
        </is>
      </c>
      <c r="H258" t="inlineStr">
        <is>
          <t>18694F61C01E81ED</t>
        </is>
      </c>
      <c r="I258">
        <f>IFERROR(_xlfn.IFNA(INDEX(Sensors_MANU!$C$2:$C$4692,MATCH($D258,Sensors_MANU!$B$2:$B$4692,0)),INDEX(Sensors_MANU!$C$2:$C$4692,MATCH($P258,Sensors_MANU!$A$2:$A$4692,0))),"")</f>
        <v/>
      </c>
      <c r="J258">
        <f>IFERROR(_xlfn.IFNA(INDEX(Sensors_MANU!$D$2:$D$4692,MATCH($D258,Sensors_MANU!$B$2:$B$4692,0)),INDEX(Sensors_MANU!$D$2:$D$4692,MATCH($P258,Sensors_MANU!$A$2:$A$4692,0))),"")</f>
        <v/>
      </c>
      <c r="K258" s="27" t="inlineStr">
        <is>
          <t>83546985015-9</t>
        </is>
      </c>
      <c r="L258" s="27" t="inlineStr">
        <is>
          <t>2L</t>
        </is>
      </c>
      <c r="O258" s="6" t="inlineStr">
        <is>
          <t>V25</t>
        </is>
      </c>
    </row>
    <row r="259">
      <c r="A259" s="32">
        <f>IFERROR(_xlfn.IFNA(INDEX(Sensors_MANU!$E$2:$E$4692,MATCH($D259,Sensors_MANU!$B$2:$B$4692,0)),INDEX(Sensors_MANU!$E$2:$E$4692,MATCH($P259,Sensors_MANU!$A$2:$A$4692,0))),"")</f>
        <v/>
      </c>
      <c r="B259" s="24">
        <f>IFERROR(INDEX(Companies!$A$3:$A$101,MATCH(A259,Companies!$B$3:$B$101,0)),"")</f>
        <v/>
      </c>
      <c r="C259" t="inlineStr">
        <is>
          <t>cargo</t>
        </is>
      </c>
      <c r="D259" t="inlineStr">
        <is>
          <t>E15E8E99F025</t>
        </is>
      </c>
      <c r="E259">
        <f>LEFT(D259,2)&amp;":"&amp;MID(D259,3,2)&amp;":"&amp;MID(D259,5,2)&amp;":"&amp;MID(D259,7,2)&amp;":"&amp;MID(D259,9,2)&amp;":"&amp;RIGHT(D259,2)</f>
        <v/>
      </c>
      <c r="H259" t="inlineStr">
        <is>
          <t>615EDEFE7A36B3E9</t>
        </is>
      </c>
      <c r="I259">
        <f>IFERROR(_xlfn.IFNA(INDEX(Sensors_MANU!$C$2:$C$4692,MATCH($D259,Sensors_MANU!$B$2:$B$4692,0)),INDEX(Sensors_MANU!$C$2:$C$4692,MATCH($P259,Sensors_MANU!$A$2:$A$4692,0))),"")</f>
        <v/>
      </c>
      <c r="J259">
        <f>IFERROR(_xlfn.IFNA(INDEX(Sensors_MANU!$D$2:$D$4692,MATCH($D259,Sensors_MANU!$B$2:$B$4692,0)),INDEX(Sensors_MANU!$D$2:$D$4692,MATCH($P259,Sensors_MANU!$A$2:$A$4692,0))),"")</f>
        <v/>
      </c>
      <c r="M259" s="27" t="n"/>
      <c r="N259" s="99">
        <f>IFERROR(INDEX(Sensors_MANU!$G$2:$G$4692,MATCH($P259,Sensors_MANU!$A$2:$A$4692,0)),)</f>
        <v/>
      </c>
      <c r="O259" s="6" t="inlineStr">
        <is>
          <t>v15</t>
        </is>
      </c>
      <c r="P259" t="n">
        <v>4978881</v>
      </c>
    </row>
    <row r="260">
      <c r="A260" s="32">
        <f>IFERROR(_xlfn.IFNA(INDEX(Sensors_MANU!$E$2:$E$4692,MATCH($D260,Sensors_MANU!$B$2:$B$4692,0)),INDEX(Sensors_MANU!$E$2:$E$4692,MATCH($P260,Sensors_MANU!$A$2:$A$4692,0))),"")</f>
        <v/>
      </c>
      <c r="B260" s="24">
        <f>IFERROR(INDEX(Companies!$A$3:$A$101,MATCH(A260,Companies!$B$3:$B$101,0)),"")</f>
        <v/>
      </c>
      <c r="C260">
        <f>IFERROR(_xlfn.IFNA(INDEX(Sensors_MANU!$F$2:$F$4692,MATCH($D260,Sensors_MANU!$B$2:$B$4692,0)),INDEX(Sensors_MANU!$F$2:$F$4692,MATCH($P260,Sensors_MANU!$A$2:$A$4692,0))),"")</f>
        <v/>
      </c>
      <c r="D260" t="inlineStr">
        <is>
          <t>FA0C9D047EFD</t>
        </is>
      </c>
      <c r="E260">
        <f>LEFT(D260,2)&amp;":"&amp;MID(D260,3,2)&amp;":"&amp;MID(D260,5,2)&amp;":"&amp;MID(D260,7,2)&amp;":"&amp;MID(D260,9,2)&amp;":"&amp;RIGHT(D260,2)</f>
        <v/>
      </c>
      <c r="F260" s="29" t="n">
        <v>44964</v>
      </c>
      <c r="G260" s="29" t="inlineStr">
        <is>
          <t>Renfe</t>
        </is>
      </c>
      <c r="H260" t="inlineStr">
        <is>
          <t>EB17858C55C4C0E8</t>
        </is>
      </c>
      <c r="I260">
        <f>IFERROR(_xlfn.IFNA(INDEX(Sensors_MANU!$C$2:$C$4692,MATCH($D260,Sensors_MANU!$B$2:$B$4692,0)),INDEX(Sensors_MANU!$C$2:$C$4692,MATCH($P260,Sensors_MANU!$A$2:$A$4692,0))),"")</f>
        <v/>
      </c>
      <c r="J260" s="68">
        <f>IFERROR(_xlfn.IFNA(INDEX(Sensors_MANU!$D$2:$D$4692,MATCH($D260,Sensors_MANU!$B$2:$B$4692,0)),INDEX(Sensors_MANU!$D$2:$D$4692,MATCH($P260,Sensors_MANU!$A$2:$A$4692,0))),"")</f>
        <v/>
      </c>
      <c r="K260" s="27" t="n">
        <v>529004</v>
      </c>
      <c r="L260" s="27" t="inlineStr">
        <is>
          <t>1R</t>
        </is>
      </c>
      <c r="M260" s="27" t="n"/>
      <c r="O260" s="6" t="inlineStr">
        <is>
          <t>v16</t>
        </is>
      </c>
      <c r="P260" t="n">
        <v>4978511</v>
      </c>
    </row>
    <row r="261">
      <c r="A261" s="32">
        <f>IFERROR(_xlfn.IFNA(INDEX(Sensors_MANU!$E$2:$E$4692,MATCH($D261,Sensors_MANU!$B$2:$B$4692,0)),INDEX(Sensors_MANU!$E$2:$E$4692,MATCH($P261,Sensors_MANU!$A$2:$A$4692,0))),"")</f>
        <v/>
      </c>
      <c r="B261" s="24">
        <f>IFERROR(INDEX(Companies!$A$3:$A$101,MATCH(A261,Companies!$B$3:$B$101,0)),"")</f>
        <v/>
      </c>
      <c r="C261" t="inlineStr">
        <is>
          <t>cargo</t>
        </is>
      </c>
      <c r="D261" t="inlineStr">
        <is>
          <t>D91D6D53C72E</t>
        </is>
      </c>
      <c r="E261">
        <f>LEFT(D261,2)&amp;":"&amp;MID(D261,3,2)&amp;":"&amp;MID(D261,5,2)&amp;":"&amp;MID(D261,7,2)&amp;":"&amp;MID(D261,9,2)&amp;":"&amp;RIGHT(D261,2)</f>
        <v/>
      </c>
      <c r="H261" t="inlineStr">
        <is>
          <t>9661F168593E5C35</t>
        </is>
      </c>
      <c r="I261">
        <f>IFERROR(_xlfn.IFNA(INDEX(Sensors_MANU!$C$2:$C$4692,MATCH($D261,Sensors_MANU!$B$2:$B$4692,0)),INDEX(Sensors_MANU!$C$2:$C$4692,MATCH($P261,Sensors_MANU!$A$2:$A$4692,0))),"")</f>
        <v/>
      </c>
      <c r="J261">
        <f>IFERROR(_xlfn.IFNA(INDEX(Sensors_MANU!$D$2:$D$4692,MATCH($D261,Sensors_MANU!$B$2:$B$4692,0)),INDEX(Sensors_MANU!$D$2:$D$4692,MATCH($P261,Sensors_MANU!$A$2:$A$4692,0))),"")</f>
        <v/>
      </c>
      <c r="M261" s="27" t="n"/>
      <c r="N261" s="99">
        <f>IFERROR(INDEX(Sensors_MANU!$G$2:$G$4692,MATCH($P261,Sensors_MANU!$A$2:$A$4692,0)),)</f>
        <v/>
      </c>
      <c r="O261" s="6" t="inlineStr">
        <is>
          <t>v15</t>
        </is>
      </c>
      <c r="P261" t="n">
        <v>4978551</v>
      </c>
    </row>
    <row r="262">
      <c r="B262" s="24">
        <f>IFERROR(INDEX(Companies!$A$3:$A$101,MATCH(A262,Companies!$B$3:$B$101,0)),"")</f>
        <v/>
      </c>
      <c r="C262">
        <f>IFERROR(_xlfn.IFNA(INDEX(Sensors_MANU!$F$2:$F$4692,MATCH($D262,Sensors_MANU!$B$2:$B$4692,0)),INDEX(Sensors_MANU!$F$2:$F$4692,MATCH($P262,Sensors_MANU!$A$2:$A$4692,0))),"")</f>
        <v/>
      </c>
      <c r="D262" t="inlineStr">
        <is>
          <t>FDCFA88D5A2E</t>
        </is>
      </c>
      <c r="E262" s="24">
        <f>LEFT(D262,2)&amp;":"&amp;MID(D262,3,2)&amp;":"&amp;MID(D262,5,2)&amp;":"&amp;MID(D262,7,2)&amp;":"&amp;MID(D262,9,2)&amp;":"&amp;RIGHT(D262,2)</f>
        <v/>
      </c>
      <c r="H262" t="inlineStr">
        <is>
          <t>C80CF59F77B67A55</t>
        </is>
      </c>
      <c r="I262">
        <f>IFERROR(_xlfn.IFNA(INDEX(Sensors_MANU!$C$2:$C$4692,MATCH($D262,Sensors_MANU!$B$2:$B$4692,0)),INDEX(Sensors_MANU!$C$2:$C$4692,MATCH($P262,Sensors_MANU!$A$2:$A$4692,0))),"")</f>
        <v/>
      </c>
      <c r="J262">
        <f>IFERROR(_xlfn.IFNA(INDEX(Sensors_MANU!$D$2:$D$4692,MATCH($D262,Sensors_MANU!$B$2:$B$4692,0)),INDEX(Sensors_MANU!$D$2:$D$4692,MATCH($P262,Sensors_MANU!$A$2:$A$4692,0))),"")</f>
        <v/>
      </c>
      <c r="N262" s="99">
        <f>IFERROR(INDEX(Sensors_MANU!$G$2:$G$4692,MATCH($P262,Sensors_MANU!$A$2:$A$4692,0)),)</f>
        <v/>
      </c>
      <c r="O262" s="6" t="inlineStr">
        <is>
          <t>v17</t>
        </is>
      </c>
      <c r="P262" t="n">
        <v>4978584</v>
      </c>
    </row>
    <row r="263">
      <c r="A263" s="32">
        <f>IFERROR(_xlfn.IFNA(INDEX(Sensors_MANU!$E$2:$E$4692,MATCH($D263,Sensors_MANU!$B$2:$B$4692,0)),INDEX(Sensors_MANU!$E$2:$E$4692,MATCH($P263,Sensors_MANU!$A$2:$A$4692,0))),"")</f>
        <v/>
      </c>
      <c r="B263" s="24">
        <f>IFERROR(INDEX(Companies!$A$3:$A$101,MATCH(A263,Companies!$B$3:$B$101,0)),"")</f>
        <v/>
      </c>
      <c r="C263" t="inlineStr">
        <is>
          <t>cargo</t>
        </is>
      </c>
      <c r="D263" t="inlineStr">
        <is>
          <t>D6BF124AD1BE</t>
        </is>
      </c>
      <c r="E263">
        <f>LEFT(D263,2)&amp;":"&amp;MID(D263,3,2)&amp;":"&amp;MID(D263,5,2)&amp;":"&amp;MID(D263,7,2)&amp;":"&amp;MID(D263,9,2)&amp;":"&amp;RIGHT(D263,2)</f>
        <v/>
      </c>
      <c r="H263" t="inlineStr">
        <is>
          <t>2F38B72DBC407BAA</t>
        </is>
      </c>
      <c r="I263">
        <f>IFERROR(_xlfn.IFNA(INDEX(Sensors_MANU!$C$2:$C$4692,MATCH($D263,Sensors_MANU!$B$2:$B$4692,0)),INDEX(Sensors_MANU!$C$2:$C$4692,MATCH($P263,Sensors_MANU!$A$2:$A$4692,0))),"")</f>
        <v/>
      </c>
      <c r="J263">
        <f>IFERROR(_xlfn.IFNA(INDEX(Sensors_MANU!$D$2:$D$4692,MATCH($D263,Sensors_MANU!$B$2:$B$4692,0)),INDEX(Sensors_MANU!$D$2:$D$4692,MATCH($P263,Sensors_MANU!$A$2:$A$4692,0))),"")</f>
        <v/>
      </c>
      <c r="M263" s="27" t="n"/>
      <c r="N263" s="99">
        <f>IFERROR(INDEX(Sensors_MANU!$G$2:$G$4692,MATCH($P263,Sensors_MANU!$A$2:$A$4692,0)),)</f>
        <v/>
      </c>
      <c r="O263" s="6" t="inlineStr">
        <is>
          <t>v15</t>
        </is>
      </c>
      <c r="P263" t="n">
        <v>4978728</v>
      </c>
    </row>
    <row r="264">
      <c r="A264" s="32">
        <f>IFERROR(_xlfn.IFNA(INDEX(Sensors_MANU!$E$2:$E$4692,MATCH($D264,Sensors_MANU!$B$2:$B$4692,0)),INDEX(Sensors_MANU!$E$2:$E$4692,MATCH($P264,Sensors_MANU!$A$2:$A$4692,0))),"")</f>
        <v/>
      </c>
      <c r="B264" s="24">
        <f>IFERROR(INDEX(Companies!$A$3:$A$101,MATCH(A264,Companies!$B$3:$B$101,0)),"")</f>
        <v/>
      </c>
      <c r="C264" t="inlineStr">
        <is>
          <t>cargo</t>
        </is>
      </c>
      <c r="D264" t="inlineStr">
        <is>
          <t>DA7FC7C00BBA</t>
        </is>
      </c>
      <c r="E264">
        <f>LEFT(D264,2)&amp;":"&amp;MID(D264,3,2)&amp;":"&amp;MID(D264,5,2)&amp;":"&amp;MID(D264,7,2)&amp;":"&amp;MID(D264,9,2)&amp;":"&amp;RIGHT(D264,2)</f>
        <v/>
      </c>
      <c r="H264" t="inlineStr">
        <is>
          <t>BD4B67EA7248BA56</t>
        </is>
      </c>
      <c r="I264">
        <f>IFERROR(_xlfn.IFNA(INDEX(Sensors_MANU!$C$2:$C$4692,MATCH($D264,Sensors_MANU!$B$2:$B$4692,0)),INDEX(Sensors_MANU!$C$2:$C$4692,MATCH($P264,Sensors_MANU!$A$2:$A$4692,0))),"")</f>
        <v/>
      </c>
      <c r="J264">
        <f>IFERROR(_xlfn.IFNA(INDEX(Sensors_MANU!$D$2:$D$4692,MATCH($D264,Sensors_MANU!$B$2:$B$4692,0)),INDEX(Sensors_MANU!$D$2:$D$4692,MATCH($P264,Sensors_MANU!$A$2:$A$4692,0))),"")</f>
        <v/>
      </c>
      <c r="M264" s="27" t="n"/>
      <c r="N264" s="99">
        <f>IFERROR(INDEX(Sensors_MANU!$G$2:$G$4692,MATCH($P264,Sensors_MANU!$A$2:$A$4692,0)),)</f>
        <v/>
      </c>
      <c r="O264" s="6" t="inlineStr">
        <is>
          <t>v15</t>
        </is>
      </c>
      <c r="P264" t="n">
        <v>4978879</v>
      </c>
    </row>
    <row r="265">
      <c r="A265" s="32">
        <f>IFERROR(_xlfn.IFNA(INDEX(Sensors_MANU!$E$2:$E$4692,MATCH($D265,Sensors_MANU!$B$2:$B$4692,0)),INDEX(Sensors_MANU!$E$2:$E$4692,MATCH($P265,Sensors_MANU!$A$2:$A$4692,0))),"")</f>
        <v/>
      </c>
      <c r="B265" s="24">
        <f>IFERROR(INDEX(Companies!$A$3:$A$101,MATCH(A265,Companies!$B$3:$B$101,0)),"")</f>
        <v/>
      </c>
      <c r="C265">
        <f>IFERROR(_xlfn.IFNA(INDEX(Sensors_MANU!$F$2:$F$4692,MATCH($D265,Sensors_MANU!$B$2:$B$4692,0)),INDEX(Sensors_MANU!$F$2:$F$4692,MATCH($P265,Sensors_MANU!$A$2:$A$4692,0))),"")</f>
        <v/>
      </c>
      <c r="D265" t="inlineStr">
        <is>
          <t>C3059739CE80</t>
        </is>
      </c>
      <c r="E265">
        <f>LEFT(D265,2)&amp;":"&amp;MID(D265,3,2)&amp;":"&amp;MID(D265,5,2)&amp;":"&amp;MID(D265,7,2)&amp;":"&amp;MID(D265,9,2)&amp;":"&amp;RIGHT(D265,2)</f>
        <v/>
      </c>
      <c r="F265" s="29" t="n">
        <v>44910</v>
      </c>
      <c r="G265" s="29" t="inlineStr">
        <is>
          <t>Viezo</t>
        </is>
      </c>
      <c r="H265" t="inlineStr">
        <is>
          <t>0C3B23A0F26828D4</t>
        </is>
      </c>
      <c r="I265">
        <f>IFERROR(_xlfn.IFNA(INDEX(Sensors_MANU!$C$2:$C$4692,MATCH($D265,Sensors_MANU!$B$2:$B$4692,0)),INDEX(Sensors_MANU!$C$2:$C$4692,MATCH($P265,Sensors_MANU!$A$2:$A$4692,0))),"")</f>
        <v/>
      </c>
      <c r="J265" s="7">
        <f>IFERROR(_xlfn.IFNA(INDEX(Sensors_MANU!$D$2:$D$4692,MATCH($D265,Sensors_MANU!$B$2:$B$4692,0)),INDEX(Sensors_MANU!$D$2:$D$4692,MATCH($P265,Sensors_MANU!$A$2:$A$4692,0))),"")</f>
        <v/>
      </c>
      <c r="K265" s="27" t="inlineStr">
        <is>
          <t>31834589939-3</t>
        </is>
      </c>
      <c r="L265" s="27" t="inlineStr">
        <is>
          <t>2L</t>
        </is>
      </c>
      <c r="M265" s="27" t="n"/>
      <c r="N265" s="99">
        <f>IFERROR(INDEX(Sensors_MANU!$G$2:$G$4692,MATCH($P265,Sensors_MANU!$A$2:$A$4692,0)),)</f>
        <v/>
      </c>
      <c r="O265" s="6" t="inlineStr">
        <is>
          <t>v16</t>
        </is>
      </c>
      <c r="P265" t="n">
        <v>4978666</v>
      </c>
    </row>
    <row r="266">
      <c r="A266" s="32">
        <f>IFERROR(_xlfn.IFNA(INDEX(Sensors_MANU!$E$2:$E$4692,MATCH($D266,Sensors_MANU!$B$2:$B$4692,0)),INDEX(Sensors_MANU!$E$2:$E$4692,MATCH($P266,Sensors_MANU!$A$2:$A$4692,0))),"")</f>
        <v/>
      </c>
      <c r="B266" s="24">
        <f>IFERROR(INDEX(Companies!$A$3:$A$101,MATCH(A266,Companies!$B$3:$B$101,0)),"")</f>
        <v/>
      </c>
      <c r="C266" t="inlineStr">
        <is>
          <t>cargo</t>
        </is>
      </c>
      <c r="D266" t="inlineStr">
        <is>
          <t>D5954EAAD245</t>
        </is>
      </c>
      <c r="E266">
        <f>LEFT(D266,2)&amp;":"&amp;MID(D266,3,2)&amp;":"&amp;MID(D266,5,2)&amp;":"&amp;MID(D266,7,2)&amp;":"&amp;MID(D266,9,2)&amp;":"&amp;RIGHT(D266,2)</f>
        <v/>
      </c>
      <c r="H266" t="inlineStr">
        <is>
          <t>E6D6CAF298F56999</t>
        </is>
      </c>
      <c r="I266">
        <f>IFERROR(_xlfn.IFNA(INDEX(Sensors_MANU!$C$2:$C$4692,MATCH($D266,Sensors_MANU!$B$2:$B$4692,0)),INDEX(Sensors_MANU!$C$2:$C$4692,MATCH($P266,Sensors_MANU!$A$2:$A$4692,0))),"")</f>
        <v/>
      </c>
      <c r="J266">
        <f>IFERROR(_xlfn.IFNA(INDEX(Sensors_MANU!$D$2:$D$4692,MATCH($D266,Sensors_MANU!$B$2:$B$4692,0)),INDEX(Sensors_MANU!$D$2:$D$4692,MATCH($P266,Sensors_MANU!$A$2:$A$4692,0))),"")</f>
        <v/>
      </c>
      <c r="M266" s="27" t="n"/>
      <c r="N266" s="99">
        <f>IFERROR(INDEX(Sensors_MANU!$G$2:$G$4692,MATCH($P266,Sensors_MANU!$A$2:$A$4692,0)),)</f>
        <v/>
      </c>
      <c r="O266" s="6" t="inlineStr">
        <is>
          <t>v15</t>
        </is>
      </c>
      <c r="P266" t="n">
        <v>4978563</v>
      </c>
    </row>
    <row r="267">
      <c r="A267" s="32" t="inlineStr">
        <is>
          <t>TANKWAGON</t>
        </is>
      </c>
      <c r="B267" s="24">
        <f>IFERROR(INDEX(Companies!$A$3:$A$101,MATCH(A267,Companies!$B$3:$B$101,0)),"")</f>
        <v/>
      </c>
      <c r="C267">
        <f>IFERROR(_xlfn.IFNA(INDEX(Sensors_MANU!$F$2:$F$4692,MATCH($D267,Sensors_MANU!$B$2:$B$4692,0)),INDEX(Sensors_MANU!$F$2:$F$4692,MATCH($P267,Sensors_MANU!$A$2:$A$4692,0))),"")</f>
        <v/>
      </c>
      <c r="D267" s="104" t="inlineStr">
        <is>
          <t>E1FE4F03A0B5</t>
        </is>
      </c>
      <c r="E267" s="24">
        <f>LEFT(D267,2)&amp;":"&amp;MID(D267,3,2)&amp;":"&amp;MID(D267,5,2)&amp;":"&amp;MID(D267,7,2)&amp;":"&amp;MID(D267,9,2)&amp;":"&amp;RIGHT(D267,2)</f>
        <v/>
      </c>
      <c r="H267" s="2" t="inlineStr">
        <is>
          <t>E2ED34EFD8870A5B</t>
        </is>
      </c>
      <c r="I267">
        <f>IFERROR(_xlfn.IFNA(INDEX(Sensors_MANU!$C$2:$C$4692,MATCH($D267,Sensors_MANU!$B$2:$B$4692,0)),INDEX(Sensors_MANU!$C$2:$C$4692,MATCH($P267,Sensors_MANU!$A$2:$A$4692,0))),"")</f>
        <v/>
      </c>
      <c r="J267" t="inlineStr">
        <is>
          <t>PR2203-006</t>
        </is>
      </c>
      <c r="O267" s="6" t="inlineStr">
        <is>
          <t>V26</t>
        </is>
      </c>
    </row>
    <row r="268">
      <c r="A268" s="32">
        <f>IFERROR(_xlfn.IFNA(INDEX(Sensors_MANU!$E$2:$E$4692,MATCH($D268,Sensors_MANU!$B$2:$B$4692,0)),INDEX(Sensors_MANU!$E$2:$E$4692,MATCH($P268,Sensors_MANU!$A$2:$A$4692,0))),"")</f>
        <v/>
      </c>
      <c r="B268" s="24">
        <f>IFERROR(INDEX(Companies!$A$3:$A$101,MATCH(A268,Companies!$B$3:$B$101,0)),"")</f>
        <v/>
      </c>
      <c r="C268" t="inlineStr">
        <is>
          <t>cargo</t>
        </is>
      </c>
      <c r="D268" t="inlineStr">
        <is>
          <t>EFAF6F1BED7F</t>
        </is>
      </c>
      <c r="E268">
        <f>LEFT(D268,2)&amp;":"&amp;MID(D268,3,2)&amp;":"&amp;MID(D268,5,2)&amp;":"&amp;MID(D268,7,2)&amp;":"&amp;MID(D268,9,2)&amp;":"&amp;RIGHT(D268,2)</f>
        <v/>
      </c>
      <c r="H268" t="inlineStr">
        <is>
          <t>CA51A7235B7B57DF</t>
        </is>
      </c>
      <c r="I268">
        <f>IFERROR(_xlfn.IFNA(INDEX(Sensors_MANU!$C$2:$C$4692,MATCH($D268,Sensors_MANU!$B$2:$B$4692,0)),INDEX(Sensors_MANU!$C$2:$C$4692,MATCH($P268,Sensors_MANU!$A$2:$A$4692,0))),"")</f>
        <v/>
      </c>
      <c r="J268">
        <f>IFERROR(_xlfn.IFNA(INDEX(Sensors_MANU!$D$2:$D$4692,MATCH($D268,Sensors_MANU!$B$2:$B$4692,0)),INDEX(Sensors_MANU!$D$2:$D$4692,MATCH($P268,Sensors_MANU!$A$2:$A$4692,0))),"")</f>
        <v/>
      </c>
      <c r="M268" s="27" t="n"/>
      <c r="N268" s="99">
        <f>IFERROR(INDEX(Sensors_MANU!$G$2:$G$4692,MATCH($P268,Sensors_MANU!$A$2:$A$4692,0)),)</f>
        <v/>
      </c>
      <c r="O268" s="6" t="inlineStr">
        <is>
          <t>v15</t>
        </is>
      </c>
      <c r="P268" t="n">
        <v>4978697</v>
      </c>
    </row>
    <row r="269">
      <c r="A269" s="32">
        <f>IFERROR(_xlfn.IFNA(INDEX(Sensors_MANU!$E$2:$E$4692,MATCH($D269,Sensors_MANU!$B$2:$B$4692,0)),INDEX(Sensors_MANU!$E$2:$E$4692,MATCH($P269,Sensors_MANU!$A$2:$A$4692,0))),"")</f>
        <v/>
      </c>
      <c r="B269" s="24">
        <f>IFERROR(INDEX(Companies!$A$3:$A$101,MATCH(A269,Companies!$B$3:$B$101,0)),"")</f>
        <v/>
      </c>
      <c r="C269">
        <f>IFERROR(_xlfn.IFNA(INDEX(Sensors_MANU!$F$2:$F$4692,MATCH($D269,Sensors_MANU!$B$2:$B$4692,0)),INDEX(Sensors_MANU!$F$2:$F$4692,MATCH($P269,Sensors_MANU!$A$2:$A$4692,0))),"")</f>
        <v/>
      </c>
      <c r="D269" t="inlineStr">
        <is>
          <t>CF52A80A5A98</t>
        </is>
      </c>
      <c r="E269" s="24">
        <f>LEFT(D269,2)&amp;":"&amp;MID(D269,3,2)&amp;":"&amp;MID(D269,5,2)&amp;":"&amp;MID(D269,7,2)&amp;":"&amp;MID(D269,9,2)&amp;":"&amp;RIGHT(D269,2)</f>
        <v/>
      </c>
      <c r="H269" t="inlineStr">
        <is>
          <t>3947A5AA1FE9BA15</t>
        </is>
      </c>
      <c r="I269">
        <f>IFERROR(_xlfn.IFNA(INDEX(Sensors_MANU!$C$2:$C$4692,MATCH($D269,Sensors_MANU!$B$2:$B$4692,0)),INDEX(Sensors_MANU!$C$2:$C$4692,MATCH($P269,Sensors_MANU!$A$2:$A$4692,0))),"")</f>
        <v/>
      </c>
      <c r="J269" s="25">
        <f>IFERROR(_xlfn.IFNA(INDEX(Sensors_MANU!$D$2:$D$4692,MATCH($D269,Sensors_MANU!$B$2:$B$4692,0)),INDEX(Sensors_MANU!$D$2:$D$4692,MATCH($P269,Sensors_MANU!$A$2:$A$4692,0))),"")</f>
        <v/>
      </c>
      <c r="N269" s="99">
        <f>IFERROR(INDEX(Sensors_MANU!$G$2:$G$4692,MATCH($P269,Sensors_MANU!$A$2:$A$4692,0)),)</f>
        <v/>
      </c>
      <c r="O269" s="6" t="inlineStr">
        <is>
          <t>v17</t>
        </is>
      </c>
      <c r="P269" t="n">
        <v>4978677</v>
      </c>
    </row>
    <row r="270">
      <c r="A270" s="32">
        <f>IFERROR(_xlfn.IFNA(INDEX(Sensors_MANU!$E$2:$E$4692,MATCH($D270,Sensors_MANU!$B$2:$B$4692,0)),INDEX(Sensors_MANU!$E$2:$E$4692,MATCH($P270,Sensors_MANU!$A$2:$A$4692,0))),"")</f>
        <v/>
      </c>
      <c r="B270" s="24">
        <f>IFERROR(INDEX(Companies!$A$3:$A$101,MATCH(A270,Companies!$B$3:$B$101,0)),"")</f>
        <v/>
      </c>
      <c r="C270" t="inlineStr">
        <is>
          <t>cargo</t>
        </is>
      </c>
      <c r="D270" t="inlineStr">
        <is>
          <t>CE158F597C79</t>
        </is>
      </c>
      <c r="E270">
        <f>LEFT(D270,2)&amp;":"&amp;MID(D270,3,2)&amp;":"&amp;MID(D270,5,2)&amp;":"&amp;MID(D270,7,2)&amp;":"&amp;MID(D270,9,2)&amp;":"&amp;RIGHT(D270,2)</f>
        <v/>
      </c>
      <c r="H270" t="inlineStr">
        <is>
          <t>4B92AAA1ECE5E030</t>
        </is>
      </c>
      <c r="I270">
        <f>IFERROR(_xlfn.IFNA(INDEX(Sensors_MANU!$C$2:$C$4692,MATCH($D270,Sensors_MANU!$B$2:$B$4692,0)),INDEX(Sensors_MANU!$C$2:$C$4692,MATCH($P270,Sensors_MANU!$A$2:$A$4692,0))),"")</f>
        <v/>
      </c>
      <c r="J270">
        <f>IFERROR(_xlfn.IFNA(INDEX(Sensors_MANU!$D$2:$D$4692,MATCH($D270,Sensors_MANU!$B$2:$B$4692,0)),INDEX(Sensors_MANU!$D$2:$D$4692,MATCH($P270,Sensors_MANU!$A$2:$A$4692,0))),"")</f>
        <v/>
      </c>
      <c r="M270" s="27" t="n"/>
      <c r="N270" s="99">
        <f>IFERROR(INDEX(Sensors_MANU!$G$2:$G$4692,MATCH($P270,Sensors_MANU!$A$2:$A$4692,0)),)</f>
        <v/>
      </c>
      <c r="O270" s="6" t="inlineStr">
        <is>
          <t>v15</t>
        </is>
      </c>
      <c r="P270" t="n">
        <v>4978882</v>
      </c>
    </row>
    <row r="271">
      <c r="A271" s="32">
        <f>IFERROR(_xlfn.IFNA(INDEX(Sensors_MANU!$E$2:$E$4692,MATCH($D271,Sensors_MANU!$B$2:$B$4692,0)),INDEX(Sensors_MANU!$E$2:$E$4692,MATCH($P271,Sensors_MANU!$A$2:$A$4692,0))),"")</f>
        <v/>
      </c>
      <c r="B271" s="24">
        <f>IFERROR(INDEX(Companies!$A$3:$A$101,MATCH(A271,Companies!$B$3:$B$101,0)),"")</f>
        <v/>
      </c>
      <c r="C271">
        <f>IFERROR(_xlfn.IFNA(INDEX(Sensors_MANU!$F$2:$F$4692,MATCH($D271,Sensors_MANU!$B$2:$B$4692,0)),INDEX(Sensors_MANU!$F$2:$F$4692,MATCH($P271,Sensors_MANU!$A$2:$A$4692,0))),"")</f>
        <v/>
      </c>
      <c r="D271" t="inlineStr">
        <is>
          <t>C1E01390EB06</t>
        </is>
      </c>
      <c r="E271">
        <f>LEFT(D271,2)&amp;":"&amp;MID(D271,3,2)&amp;":"&amp;MID(D271,5,2)&amp;":"&amp;MID(D271,7,2)&amp;":"&amp;MID(D271,9,2)&amp;":"&amp;RIGHT(D271,2)</f>
        <v/>
      </c>
      <c r="H271" t="inlineStr">
        <is>
          <t>FCB9D7E8BE5ABC14</t>
        </is>
      </c>
      <c r="I271">
        <f>IFERROR(_xlfn.IFNA(INDEX(Sensors_MANU!$C$2:$C$4692,MATCH($D271,Sensors_MANU!$B$2:$B$4692,0)),INDEX(Sensors_MANU!$C$2:$C$4692,MATCH($P271,Sensors_MANU!$A$2:$A$4692,0))),"")</f>
        <v/>
      </c>
      <c r="J271">
        <f>IFERROR(_xlfn.IFNA(INDEX(Sensors_MANU!$D$2:$D$4692,MATCH($D271,Sensors_MANU!$B$2:$B$4692,0)),INDEX(Sensors_MANU!$D$2:$D$4692,MATCH($P271,Sensors_MANU!$A$2:$A$4692,0))),"")</f>
        <v/>
      </c>
      <c r="M271" s="27" t="n"/>
      <c r="N271" s="99">
        <f>IFERROR(INDEX(Sensors_MANU!$G$2:$G$4692,MATCH($P271,Sensors_MANU!$A$2:$A$4692,0)),)</f>
        <v/>
      </c>
      <c r="O271" s="6" t="inlineStr">
        <is>
          <t>v16</t>
        </is>
      </c>
      <c r="P271" t="n">
        <v>4978830</v>
      </c>
    </row>
    <row r="272">
      <c r="A272" s="32">
        <f>IFERROR(_xlfn.IFNA(INDEX(Sensors_MANU!$E$2:$E$4692,MATCH($D272,Sensors_MANU!$B$2:$B$4692,0)),INDEX(Sensors_MANU!$E$2:$E$4692,MATCH($P272,Sensors_MANU!$A$2:$A$4692,0))),"")</f>
        <v/>
      </c>
      <c r="B272" s="24">
        <f>IFERROR(INDEX(Companies!$A$3:$A$101,MATCH(A272,Companies!$B$3:$B$101,0)),"")</f>
        <v/>
      </c>
      <c r="C272">
        <f>IFERROR(_xlfn.IFNA(INDEX(Sensors_MANU!$F$2:$F$4692,MATCH($D272,Sensors_MANU!$B$2:$B$4692,0)),INDEX(Sensors_MANU!$F$2:$F$4692,MATCH($P272,Sensors_MANU!$A$2:$A$4692,0))),"")</f>
        <v/>
      </c>
      <c r="D272" t="inlineStr">
        <is>
          <t>C46F7E0DD40C</t>
        </is>
      </c>
      <c r="E272" s="24">
        <f>LEFT(D272,2)&amp;":"&amp;MID(D272,3,2)&amp;":"&amp;MID(D272,5,2)&amp;":"&amp;MID(D272,7,2)&amp;":"&amp;MID(D272,9,2)&amp;":"&amp;RIGHT(D272,2)</f>
        <v/>
      </c>
      <c r="H272" t="inlineStr">
        <is>
          <t>E2F3728E2659C944</t>
        </is>
      </c>
      <c r="I272">
        <f>IFERROR(_xlfn.IFNA(INDEX(Sensors_MANU!$C$2:$C$4692,MATCH($D272,Sensors_MANU!$B$2:$B$4692,0)),INDEX(Sensors_MANU!$C$2:$C$4692,MATCH($P272,Sensors_MANU!$A$2:$A$4692,0))),"")</f>
        <v/>
      </c>
      <c r="J272" s="64">
        <f>IFERROR(_xlfn.IFNA(INDEX(Sensors_MANU!$D$2:$D$4692,MATCH($D272,Sensors_MANU!$B$2:$B$4692,0)),INDEX(Sensors_MANU!$D$2:$D$4692,MATCH($P272,Sensors_MANU!$A$2:$A$4692,0))),"")</f>
        <v/>
      </c>
      <c r="K272" s="27" t="inlineStr">
        <is>
          <t>43714378393-8</t>
        </is>
      </c>
      <c r="L272" s="27" t="inlineStr">
        <is>
          <t>3L</t>
        </is>
      </c>
      <c r="N272" s="99">
        <f>IFERROR(INDEX(Sensors_MANU!$G$2:$G$4692,MATCH($P272,Sensors_MANU!$A$2:$A$4692,0)),)</f>
        <v/>
      </c>
      <c r="O272" s="6" t="inlineStr">
        <is>
          <t>v17</t>
        </is>
      </c>
      <c r="P272" t="n">
        <v>4978487</v>
      </c>
    </row>
    <row r="273">
      <c r="A273" s="32">
        <f>IFERROR(_xlfn.IFNA(INDEX(Sensors_MANU!$E$2:$E$4692,MATCH($D273,Sensors_MANU!$B$2:$B$4692,0)),INDEX(Sensors_MANU!$E$2:$E$4692,MATCH($P273,Sensors_MANU!$A$2:$A$4692,0))),"")</f>
        <v/>
      </c>
      <c r="B273" s="24">
        <f>IFERROR(INDEX(Companies!$A$3:$A$101,MATCH(A273,Companies!$B$3:$B$101,0)),"")</f>
        <v/>
      </c>
      <c r="C273">
        <f>IFERROR(_xlfn.IFNA(INDEX(Sensors_MANU!$F$2:$F$4692,MATCH($D273,Sensors_MANU!$B$2:$B$4692,0)),INDEX(Sensors_MANU!$F$2:$F$4692,MATCH($P273,Sensors_MANU!$A$2:$A$4692,0))),"")</f>
        <v/>
      </c>
      <c r="D273" t="inlineStr">
        <is>
          <t>FDF25DA6491A</t>
        </is>
      </c>
      <c r="E273">
        <f>LEFT(D273,2)&amp;":"&amp;MID(D273,3,2)&amp;":"&amp;MID(D273,5,2)&amp;":"&amp;MID(D273,7,2)&amp;":"&amp;MID(D273,9,2)&amp;":"&amp;RIGHT(D273,2)</f>
        <v/>
      </c>
      <c r="F273" s="29" t="n">
        <v>44910</v>
      </c>
      <c r="G273" s="29" t="inlineStr">
        <is>
          <t>Viezo</t>
        </is>
      </c>
      <c r="H273" t="inlineStr">
        <is>
          <t>D432B2DCDFAE7FF1</t>
        </is>
      </c>
      <c r="I273">
        <f>IFERROR(_xlfn.IFNA(INDEX(Sensors_MANU!$C$2:$C$4692,MATCH($D273,Sensors_MANU!$B$2:$B$4692,0)),INDEX(Sensors_MANU!$C$2:$C$4692,MATCH($P273,Sensors_MANU!$A$2:$A$4692,0))),"")</f>
        <v/>
      </c>
      <c r="J273">
        <f>IFERROR(_xlfn.IFNA(INDEX(Sensors_MANU!$D$2:$D$4692,MATCH($D273,Sensors_MANU!$B$2:$B$4692,0)),INDEX(Sensors_MANU!$D$2:$D$4692,MATCH($P273,Sensors_MANU!$A$2:$A$4692,0))),"")</f>
        <v/>
      </c>
      <c r="K273" s="27" t="inlineStr">
        <is>
          <t>33854956478-3</t>
        </is>
      </c>
      <c r="L273" s="27" t="inlineStr">
        <is>
          <t>3a</t>
        </is>
      </c>
      <c r="M273" s="27" t="n">
        <v>88160159</v>
      </c>
      <c r="N273" s="99">
        <f>IFERROR(INDEX(Sensors_MANU!$G$2:$G$4692,MATCH($P273,Sensors_MANU!$A$2:$A$4692,0)),)</f>
        <v/>
      </c>
      <c r="O273" s="6" t="inlineStr">
        <is>
          <t>v16</t>
        </is>
      </c>
      <c r="P273" t="n">
        <v>4978582</v>
      </c>
    </row>
    <row r="274">
      <c r="A274" s="32">
        <f>IFERROR(_xlfn.IFNA(INDEX(Sensors_MANU!$E$2:$E$4692,MATCH($D274,Sensors_MANU!$B$2:$B$4692,0)),INDEX(Sensors_MANU!$E$2:$E$4692,MATCH($P274,Sensors_MANU!$A$2:$A$4692,0))),"")</f>
        <v/>
      </c>
      <c r="B274" s="24">
        <f>IFERROR(INDEX(Companies!$A$3:$A$101,MATCH(A274,Companies!$B$3:$B$101,0)),"")</f>
        <v/>
      </c>
      <c r="C274" t="inlineStr">
        <is>
          <t>cargo</t>
        </is>
      </c>
      <c r="D274" t="inlineStr">
        <is>
          <t>C59FD55DD04A</t>
        </is>
      </c>
      <c r="E274">
        <f>LEFT(D274,2)&amp;":"&amp;MID(D274,3,2)&amp;":"&amp;MID(D274,5,2)&amp;":"&amp;MID(D274,7,2)&amp;":"&amp;MID(D274,9,2)&amp;":"&amp;RIGHT(D274,2)</f>
        <v/>
      </c>
      <c r="H274" t="inlineStr">
        <is>
          <t>A38B71C061560349</t>
        </is>
      </c>
      <c r="I274">
        <f>IFERROR(_xlfn.IFNA(INDEX(Sensors_MANU!$C$2:$C$4692,MATCH($D274,Sensors_MANU!$B$2:$B$4692,0)),INDEX(Sensors_MANU!$C$2:$C$4692,MATCH($P274,Sensors_MANU!$A$2:$A$4692,0))),"")</f>
        <v/>
      </c>
      <c r="J274">
        <f>IFERROR(_xlfn.IFNA(INDEX(Sensors_MANU!$D$2:$D$4692,MATCH($D274,Sensors_MANU!$B$2:$B$4692,0)),INDEX(Sensors_MANU!$D$2:$D$4692,MATCH($P274,Sensors_MANU!$A$2:$A$4692,0))),"")</f>
        <v/>
      </c>
      <c r="M274" s="27" t="n"/>
      <c r="N274" s="99">
        <f>IFERROR(INDEX(Sensors_MANU!$G$2:$G$4692,MATCH($P274,Sensors_MANU!$A$2:$A$4692,0)),)</f>
        <v/>
      </c>
      <c r="O274" s="6" t="inlineStr">
        <is>
          <t>v15</t>
        </is>
      </c>
      <c r="P274" t="n">
        <v>4978703</v>
      </c>
    </row>
    <row r="275">
      <c r="A275" s="32">
        <f>IFERROR(_xlfn.IFNA(INDEX(Sensors_MANU!$E$2:$E$4692,MATCH($D275,Sensors_MANU!$B$2:$B$4692,0)),INDEX(Sensors_MANU!$E$2:$E$4692,MATCH($P275,Sensors_MANU!$A$2:$A$4692,0))),"")</f>
        <v/>
      </c>
      <c r="B275" s="24">
        <f>IFERROR(INDEX(Companies!$A$3:$A$101,MATCH(A275,Companies!$B$3:$B$101,0)),"")</f>
        <v/>
      </c>
      <c r="C275">
        <f>IFERROR(_xlfn.IFNA(INDEX(Sensors_MANU!$F$2:$F$4692,MATCH($D275,Sensors_MANU!$B$2:$B$4692,0)),INDEX(Sensors_MANU!$F$2:$F$4692,MATCH($P275,Sensors_MANU!$A$2:$A$4692,0))),"")</f>
        <v/>
      </c>
      <c r="D275" t="inlineStr">
        <is>
          <t>CC70C6E37D86</t>
        </is>
      </c>
      <c r="E275">
        <f>LEFT(D275,2)&amp;":"&amp;MID(D275,3,2)&amp;":"&amp;MID(D275,5,2)&amp;":"&amp;MID(D275,7,2)&amp;":"&amp;MID(D275,9,2)&amp;":"&amp;RIGHT(D275,2)</f>
        <v/>
      </c>
      <c r="F275" s="29" t="n">
        <v>44910</v>
      </c>
      <c r="G275" s="29" t="inlineStr">
        <is>
          <t>Viezo</t>
        </is>
      </c>
      <c r="H275" t="inlineStr">
        <is>
          <t>2128CE843ACCEFC3</t>
        </is>
      </c>
      <c r="I275">
        <f>IFERROR(_xlfn.IFNA(INDEX(Sensors_MANU!$C$2:$C$4692,MATCH($D275,Sensors_MANU!$B$2:$B$4692,0)),INDEX(Sensors_MANU!$C$2:$C$4692,MATCH($P275,Sensors_MANU!$A$2:$A$4692,0))),"")</f>
        <v/>
      </c>
      <c r="J275">
        <f>IFERROR(_xlfn.IFNA(INDEX(Sensors_MANU!$D$2:$D$4692,MATCH($D275,Sensors_MANU!$B$2:$B$4692,0)),INDEX(Sensors_MANU!$D$2:$D$4692,MATCH($P275,Sensors_MANU!$A$2:$A$4692,0))),"")</f>
        <v/>
      </c>
      <c r="K275" s="27" t="inlineStr">
        <is>
          <t>33854956478-3</t>
        </is>
      </c>
      <c r="L275" s="27" t="inlineStr">
        <is>
          <t>4b</t>
        </is>
      </c>
      <c r="M275" s="27" t="n">
        <v>88160159</v>
      </c>
      <c r="N275" s="99">
        <f>IFERROR(INDEX(Sensors_MANU!$G$2:$G$4692,MATCH($P275,Sensors_MANU!$A$2:$A$4692,0)),)</f>
        <v/>
      </c>
      <c r="O275" s="6" t="inlineStr">
        <is>
          <t>v16</t>
        </is>
      </c>
      <c r="P275" t="n">
        <v>4978837</v>
      </c>
    </row>
    <row r="276">
      <c r="A276" s="32">
        <f>IFERROR(_xlfn.IFNA(INDEX(Sensors_MANU!$E$2:$E$4692,MATCH($D276,Sensors_MANU!$B$2:$B$4692,0)),INDEX(Sensors_MANU!$E$2:$E$4692,MATCH($P276,Sensors_MANU!$A$2:$A$4692,0))),"")</f>
        <v/>
      </c>
      <c r="B276" s="24">
        <f>IFERROR(INDEX(Companies!$A$3:$A$101,MATCH(A276,Companies!$B$3:$B$101,0)),"")</f>
        <v/>
      </c>
      <c r="C276" t="inlineStr">
        <is>
          <t>cargo</t>
        </is>
      </c>
      <c r="D276" t="inlineStr">
        <is>
          <t>E9F90C5DB0A7</t>
        </is>
      </c>
      <c r="E276">
        <f>LEFT(D276,2)&amp;":"&amp;MID(D276,3,2)&amp;":"&amp;MID(D276,5,2)&amp;":"&amp;MID(D276,7,2)&amp;":"&amp;MID(D276,9,2)&amp;":"&amp;RIGHT(D276,2)</f>
        <v/>
      </c>
      <c r="H276" t="inlineStr">
        <is>
          <t>E66522254DBED6B4</t>
        </is>
      </c>
      <c r="I276">
        <f>IFERROR(_xlfn.IFNA(INDEX(Sensors_MANU!$C$2:$C$4692,MATCH($D276,Sensors_MANU!$B$2:$B$4692,0)),INDEX(Sensors_MANU!$C$2:$C$4692,MATCH($P276,Sensors_MANU!$A$2:$A$4692,0))),"")</f>
        <v/>
      </c>
      <c r="J276">
        <f>IFERROR(_xlfn.IFNA(INDEX(Sensors_MANU!$D$2:$D$4692,MATCH($D276,Sensors_MANU!$B$2:$B$4692,0)),INDEX(Sensors_MANU!$D$2:$D$4692,MATCH($P276,Sensors_MANU!$A$2:$A$4692,0))),"")</f>
        <v/>
      </c>
      <c r="M276" s="27" t="n"/>
      <c r="N276" s="99">
        <f>IFERROR(INDEX(Sensors_MANU!$G$2:$G$4692,MATCH($P276,Sensors_MANU!$A$2:$A$4692,0)),)</f>
        <v/>
      </c>
      <c r="O276" s="6" t="inlineStr">
        <is>
          <t>v15</t>
        </is>
      </c>
      <c r="P276" t="n">
        <v>4978721</v>
      </c>
    </row>
    <row r="277">
      <c r="A277" s="32">
        <f>IFERROR(_xlfn.IFNA(INDEX(Sensors_MANU!$E$2:$E$4692,MATCH($D277,Sensors_MANU!$B$2:$B$4692,0)),INDEX(Sensors_MANU!$E$2:$E$4692,MATCH($P277,Sensors_MANU!$A$2:$A$4692,0))),"")</f>
        <v/>
      </c>
      <c r="B277" s="24">
        <f>IFERROR(INDEX(Companies!$A$3:$A$101,MATCH(A277,Companies!$B$3:$B$101,0)),"")</f>
        <v/>
      </c>
      <c r="C277" t="inlineStr">
        <is>
          <t>cargo</t>
        </is>
      </c>
      <c r="D277" t="inlineStr">
        <is>
          <t>FD8EFA772A49</t>
        </is>
      </c>
      <c r="E277">
        <f>LEFT(D277,2)&amp;":"&amp;MID(D277,3,2)&amp;":"&amp;MID(D277,5,2)&amp;":"&amp;MID(D277,7,2)&amp;":"&amp;MID(D277,9,2)&amp;":"&amp;RIGHT(D277,2)</f>
        <v/>
      </c>
      <c r="H277" t="inlineStr">
        <is>
          <t>3F61B27364C11BED</t>
        </is>
      </c>
      <c r="I277">
        <f>IFERROR(_xlfn.IFNA(INDEX(Sensors_MANU!$C$2:$C$4692,MATCH($D277,Sensors_MANU!$B$2:$B$4692,0)),INDEX(Sensors_MANU!$C$2:$C$4692,MATCH($P277,Sensors_MANU!$A$2:$A$4692,0))),"")</f>
        <v/>
      </c>
      <c r="J277">
        <f>IFERROR(_xlfn.IFNA(INDEX(Sensors_MANU!$D$2:$D$4692,MATCH($D277,Sensors_MANU!$B$2:$B$4692,0)),INDEX(Sensors_MANU!$D$2:$D$4692,MATCH($P277,Sensors_MANU!$A$2:$A$4692,0))),"")</f>
        <v/>
      </c>
      <c r="M277" s="27" t="n"/>
      <c r="N277" s="99">
        <f>IFERROR(INDEX(Sensors_MANU!$G$2:$G$4692,MATCH($P277,Sensors_MANU!$A$2:$A$4692,0)),)</f>
        <v/>
      </c>
      <c r="O277" s="6" t="inlineStr">
        <is>
          <t>v15</t>
        </is>
      </c>
      <c r="P277" t="n">
        <v>4978549</v>
      </c>
    </row>
    <row r="278">
      <c r="A278" s="32">
        <f>IFERROR(_xlfn.IFNA(INDEX(Sensors_MANU!$E$2:$E$4692,MATCH($D278,Sensors_MANU!$B$2:$B$4692,0)),INDEX(Sensors_MANU!$E$2:$E$4692,MATCH($P278,Sensors_MANU!$A$2:$A$4692,0))),"")</f>
        <v/>
      </c>
      <c r="B278" s="24">
        <f>IFERROR(INDEX(Companies!$A$3:$A$101,MATCH(A278,Companies!$B$3:$B$101,0)),"")</f>
        <v/>
      </c>
      <c r="C278">
        <f>IFERROR(_xlfn.IFNA(INDEX(Sensors_MANU!$F$2:$F$4692,MATCH($D278,Sensors_MANU!$B$2:$B$4692,0)),INDEX(Sensors_MANU!$F$2:$F$4692,MATCH($P278,Sensors_MANU!$A$2:$A$4692,0))),"")</f>
        <v/>
      </c>
      <c r="D278" t="inlineStr">
        <is>
          <t>E9341CF413A0</t>
        </is>
      </c>
      <c r="E278">
        <f>LEFT(D278,2)&amp;":"&amp;MID(D278,3,2)&amp;":"&amp;MID(D278,5,2)&amp;":"&amp;MID(D278,7,2)&amp;":"&amp;MID(D278,9,2)&amp;":"&amp;RIGHT(D278,2)</f>
        <v/>
      </c>
      <c r="F278" s="29" t="n">
        <v>44910</v>
      </c>
      <c r="G278" s="29" t="inlineStr">
        <is>
          <t>Viezo</t>
        </is>
      </c>
      <c r="H278" t="inlineStr">
        <is>
          <t>EB9904D00769FB26</t>
        </is>
      </c>
      <c r="I278">
        <f>IFERROR(_xlfn.IFNA(INDEX(Sensors_MANU!$C$2:$C$4692,MATCH($D278,Sensors_MANU!$B$2:$B$4692,0)),INDEX(Sensors_MANU!$C$2:$C$4692,MATCH($P278,Sensors_MANU!$A$2:$A$4692,0))),"")</f>
        <v/>
      </c>
      <c r="J278">
        <f>IFERROR(_xlfn.IFNA(INDEX(Sensors_MANU!$D$2:$D$4692,MATCH($D278,Sensors_MANU!$B$2:$B$4692,0)),INDEX(Sensors_MANU!$D$2:$D$4692,MATCH($P278,Sensors_MANU!$A$2:$A$4692,0))),"")</f>
        <v/>
      </c>
      <c r="K278" s="27" t="inlineStr">
        <is>
          <t>33854956699-4</t>
        </is>
      </c>
      <c r="L278" s="27" t="inlineStr">
        <is>
          <t>8b</t>
        </is>
      </c>
      <c r="M278" s="61" t="inlineStr">
        <is>
          <t>88220136</t>
        </is>
      </c>
      <c r="N278" s="99">
        <f>IFERROR(INDEX(Sensors_MANU!$G$2:$G$4692,MATCH($P278,Sensors_MANU!$A$2:$A$4692,0)),)</f>
        <v/>
      </c>
      <c r="O278" s="6" t="inlineStr">
        <is>
          <t>v17</t>
        </is>
      </c>
      <c r="P278" t="n">
        <v>4978663</v>
      </c>
    </row>
    <row r="279">
      <c r="A279" s="32">
        <f>IFERROR(_xlfn.IFNA(INDEX(Sensors_MANU!$E$2:$E$4692,MATCH($D279,Sensors_MANU!$B$2:$B$4692,0)),INDEX(Sensors_MANU!$E$2:$E$4692,MATCH($P279,Sensors_MANU!$A$2:$A$4692,0))),"")</f>
        <v/>
      </c>
      <c r="B279" s="24">
        <f>IFERROR(INDEX(Companies!$A$3:$A$101,MATCH(A279,Companies!$B$3:$B$101,0)),"")</f>
        <v/>
      </c>
      <c r="C279" t="inlineStr">
        <is>
          <t>cargo</t>
        </is>
      </c>
      <c r="D279" t="inlineStr">
        <is>
          <t>FF78E3FCC798</t>
        </is>
      </c>
      <c r="E279">
        <f>LEFT(D279,2)&amp;":"&amp;MID(D279,3,2)&amp;":"&amp;MID(D279,5,2)&amp;":"&amp;MID(D279,7,2)&amp;":"&amp;MID(D279,9,2)&amp;":"&amp;RIGHT(D279,2)</f>
        <v/>
      </c>
      <c r="H279" t="inlineStr">
        <is>
          <t>AB8A6F392DB714F0</t>
        </is>
      </c>
      <c r="I279">
        <f>IFERROR(_xlfn.IFNA(INDEX(Sensors_MANU!$C$2:$C$4692,MATCH($D279,Sensors_MANU!$B$2:$B$4692,0)),INDEX(Sensors_MANU!$C$2:$C$4692,MATCH($P279,Sensors_MANU!$A$2:$A$4692,0))),"")</f>
        <v/>
      </c>
      <c r="J279">
        <f>IFERROR(_xlfn.IFNA(INDEX(Sensors_MANU!$D$2:$D$4692,MATCH($D279,Sensors_MANU!$B$2:$B$4692,0)),INDEX(Sensors_MANU!$D$2:$D$4692,MATCH($P279,Sensors_MANU!$A$2:$A$4692,0))),"")</f>
        <v/>
      </c>
      <c r="M279" s="27" t="n"/>
      <c r="N279" s="99">
        <f>IFERROR(INDEX(Sensors_MANU!$G$2:$G$4692,MATCH($P279,Sensors_MANU!$A$2:$A$4692,0)),)</f>
        <v/>
      </c>
      <c r="O279" s="6" t="inlineStr">
        <is>
          <t>v15</t>
        </is>
      </c>
      <c r="P279" t="n">
        <v>4978727</v>
      </c>
    </row>
    <row r="280">
      <c r="A280" s="32">
        <f>IFERROR(_xlfn.IFNA(INDEX(Sensors_MANU!$E$2:$E$4692,MATCH($D280,Sensors_MANU!$B$2:$B$4692,0)),INDEX(Sensors_MANU!$E$2:$E$4692,MATCH($P280,Sensors_MANU!$A$2:$A$4692,0))),"")</f>
        <v/>
      </c>
      <c r="B280" s="24">
        <f>IFERROR(INDEX(Companies!$A$3:$A$101,MATCH(A280,Companies!$B$3:$B$101,0)),"")</f>
        <v/>
      </c>
      <c r="C280" t="inlineStr">
        <is>
          <t>cargo</t>
        </is>
      </c>
      <c r="D280" t="inlineStr">
        <is>
          <t>CDE533ADC36E</t>
        </is>
      </c>
      <c r="E280">
        <f>LEFT(D280,2)&amp;":"&amp;MID(D280,3,2)&amp;":"&amp;MID(D280,5,2)&amp;":"&amp;MID(D280,7,2)&amp;":"&amp;MID(D280,9,2)&amp;":"&amp;RIGHT(D280,2)</f>
        <v/>
      </c>
      <c r="H280" t="inlineStr">
        <is>
          <t>35835B1DD8AAC49A</t>
        </is>
      </c>
      <c r="I280">
        <f>IFERROR(_xlfn.IFNA(INDEX(Sensors_MANU!$C$2:$C$4692,MATCH($D280,Sensors_MANU!$B$2:$B$4692,0)),INDEX(Sensors_MANU!$C$2:$C$4692,MATCH($P280,Sensors_MANU!$A$2:$A$4692,0))),"")</f>
        <v/>
      </c>
      <c r="J280">
        <f>IFERROR(_xlfn.IFNA(INDEX(Sensors_MANU!$D$2:$D$4692,MATCH($D280,Sensors_MANU!$B$2:$B$4692,0)),INDEX(Sensors_MANU!$D$2:$D$4692,MATCH($P280,Sensors_MANU!$A$2:$A$4692,0))),"")</f>
        <v/>
      </c>
      <c r="M280" s="27" t="n"/>
      <c r="N280" s="99">
        <f>IFERROR(INDEX(Sensors_MANU!$G$2:$G$4692,MATCH($P280,Sensors_MANU!$A$2:$A$4692,0)),)</f>
        <v/>
      </c>
      <c r="O280" s="6" t="inlineStr">
        <is>
          <t>v15</t>
        </is>
      </c>
      <c r="P280" t="n">
        <v>4978699</v>
      </c>
    </row>
    <row r="281">
      <c r="B281" s="24">
        <f>IFERROR(INDEX(Companies!$A$3:$A$101,MATCH(A281,Companies!$B$3:$B$101,0)),"")</f>
        <v/>
      </c>
      <c r="C281">
        <f>IFERROR(_xlfn.IFNA(INDEX(Sensors_MANU!$F$2:$F$4692,MATCH($D281,Sensors_MANU!$B$2:$B$4692,0)),INDEX(Sensors_MANU!$F$2:$F$4692,MATCH($P281,Sensors_MANU!$A$2:$A$4692,0))),"")</f>
        <v/>
      </c>
      <c r="D281" t="inlineStr">
        <is>
          <t>C990A40F23BC</t>
        </is>
      </c>
      <c r="E281" s="24">
        <f>LEFT(D281,2)&amp;":"&amp;MID(D281,3,2)&amp;":"&amp;MID(D281,5,2)&amp;":"&amp;MID(D281,7,2)&amp;":"&amp;MID(D281,9,2)&amp;":"&amp;RIGHT(D281,2)</f>
        <v/>
      </c>
      <c r="H281" t="inlineStr">
        <is>
          <t>8E9BC393CFD29388</t>
        </is>
      </c>
      <c r="I281">
        <f>IFERROR(_xlfn.IFNA(INDEX(Sensors_MANU!$C$2:$C$4692,MATCH($D281,Sensors_MANU!$B$2:$B$4692,0)),INDEX(Sensors_MANU!$C$2:$C$4692,MATCH($P281,Sensors_MANU!$A$2:$A$4692,0))),"")</f>
        <v/>
      </c>
      <c r="J281">
        <f>IFERROR(_xlfn.IFNA(INDEX(Sensors_MANU!$D$2:$D$4692,MATCH($D281,Sensors_MANU!$B$2:$B$4692,0)),INDEX(Sensors_MANU!$D$2:$D$4692,MATCH($P281,Sensors_MANU!$A$2:$A$4692,0))),"")</f>
        <v/>
      </c>
      <c r="O281" s="6" t="inlineStr">
        <is>
          <t>V25</t>
        </is>
      </c>
    </row>
    <row r="282">
      <c r="A282" s="32">
        <f>IFERROR(_xlfn.IFNA(INDEX(Sensors_MANU!$E$2:$E$4692,MATCH($D282,Sensors_MANU!$B$2:$B$4692,0)),INDEX(Sensors_MANU!$E$2:$E$4692,MATCH($P282,Sensors_MANU!$A$2:$A$4692,0))),"")</f>
        <v/>
      </c>
      <c r="B282" s="24">
        <f>IFERROR(INDEX(Companies!$A$3:$A$101,MATCH(A282,Companies!$B$3:$B$101,0)),"")</f>
        <v/>
      </c>
      <c r="C282" t="inlineStr">
        <is>
          <t>cargo</t>
        </is>
      </c>
      <c r="D282" t="inlineStr">
        <is>
          <t>C91A6ED4B6D2</t>
        </is>
      </c>
      <c r="E282">
        <f>LEFT(D282,2)&amp;":"&amp;MID(D282,3,2)&amp;":"&amp;MID(D282,5,2)&amp;":"&amp;MID(D282,7,2)&amp;":"&amp;MID(D282,9,2)&amp;":"&amp;RIGHT(D282,2)</f>
        <v/>
      </c>
      <c r="H282" t="inlineStr">
        <is>
          <t>501A7A0D19D5A3FC</t>
        </is>
      </c>
      <c r="I282">
        <f>IFERROR(_xlfn.IFNA(INDEX(Sensors_MANU!$C$2:$C$4692,MATCH($D282,Sensors_MANU!$B$2:$B$4692,0)),INDEX(Sensors_MANU!$C$2:$C$4692,MATCH($P282,Sensors_MANU!$A$2:$A$4692,0))),"")</f>
        <v/>
      </c>
      <c r="J282">
        <f>IFERROR(_xlfn.IFNA(INDEX(Sensors_MANU!$D$2:$D$4692,MATCH($D282,Sensors_MANU!$B$2:$B$4692,0)),INDEX(Sensors_MANU!$D$2:$D$4692,MATCH($P282,Sensors_MANU!$A$2:$A$4692,0))),"")</f>
        <v/>
      </c>
      <c r="M282" s="27" t="n"/>
      <c r="N282" s="99">
        <f>IFERROR(INDEX(Sensors_MANU!$G$2:$G$4692,MATCH($P282,Sensors_MANU!$A$2:$A$4692,0)),)</f>
        <v/>
      </c>
      <c r="O282" s="6" t="inlineStr">
        <is>
          <t>v15</t>
        </is>
      </c>
      <c r="P282" t="n">
        <v>4978751</v>
      </c>
    </row>
    <row r="283">
      <c r="A283" s="32" t="inlineStr">
        <is>
          <t>RAILRELEASE</t>
        </is>
      </c>
      <c r="B283" s="24">
        <f>IFERROR(INDEX(Companies!$A$3:$A$101,MATCH(A283,Companies!$B$3:$B$101,0)),"")</f>
        <v/>
      </c>
      <c r="D283" t="inlineStr">
        <is>
          <t>D4F22AE9A5AD</t>
        </is>
      </c>
      <c r="E283">
        <f>LEFT(D283,2)&amp;":"&amp;MID(D283,3,2)&amp;":"&amp;MID(D283,5,2)&amp;":"&amp;MID(D283,7,2)&amp;":"&amp;MID(D283,9,2)&amp;":"&amp;RIGHT(D283,2)</f>
        <v/>
      </c>
      <c r="F283" s="29" t="n">
        <v>45064</v>
      </c>
      <c r="G283" s="29" t="inlineStr">
        <is>
          <t>Viezo</t>
        </is>
      </c>
      <c r="H283" t="inlineStr">
        <is>
          <t>69744DF17928EEDA</t>
        </is>
      </c>
      <c r="J283" s="71" t="inlineStr">
        <is>
          <t>PR2203-016</t>
        </is>
      </c>
      <c r="K283" s="27" t="inlineStr">
        <is>
          <t>37844576159-6</t>
        </is>
      </c>
      <c r="L283" s="27" t="inlineStr">
        <is>
          <t>1L</t>
        </is>
      </c>
      <c r="M283" s="27" t="n"/>
      <c r="N283" s="99">
        <f>IFERROR(INDEX(Sensors_MANU!$G$2:$G$4692,MATCH($P283,Sensors_MANU!$A$2:$A$4692,0)),)</f>
        <v/>
      </c>
      <c r="O283" s="6" t="inlineStr">
        <is>
          <t>v16</t>
        </is>
      </c>
      <c r="P283" t="n">
        <v>4978456</v>
      </c>
    </row>
    <row r="284">
      <c r="A284" s="32">
        <f>IFERROR(_xlfn.IFNA(INDEX(Sensors_MANU!$E$2:$E$4692,MATCH($D284,Sensors_MANU!$B$2:$B$4692,0)),INDEX(Sensors_MANU!$E$2:$E$4692,MATCH($P284,Sensors_MANU!$A$2:$A$4692,0))),"")</f>
        <v/>
      </c>
      <c r="B284" s="24">
        <f>IFERROR(INDEX(Companies!$A$3:$A$101,MATCH(A284,Companies!$B$3:$B$101,0)),"")</f>
        <v/>
      </c>
      <c r="C284" t="inlineStr">
        <is>
          <t>cargo</t>
        </is>
      </c>
      <c r="D284" t="inlineStr">
        <is>
          <t>DCC40D697353</t>
        </is>
      </c>
      <c r="E284">
        <f>LEFT(D284,2)&amp;":"&amp;MID(D284,3,2)&amp;":"&amp;MID(D284,5,2)&amp;":"&amp;MID(D284,7,2)&amp;":"&amp;MID(D284,9,2)&amp;":"&amp;RIGHT(D284,2)</f>
        <v/>
      </c>
      <c r="H284" t="inlineStr">
        <is>
          <t>49DAF75B662EB46B</t>
        </is>
      </c>
      <c r="I284">
        <f>IFERROR(_xlfn.IFNA(INDEX(Sensors_MANU!$C$2:$C$4692,MATCH($D284,Sensors_MANU!$B$2:$B$4692,0)),INDEX(Sensors_MANU!$C$2:$C$4692,MATCH($P284,Sensors_MANU!$A$2:$A$4692,0))),"")</f>
        <v/>
      </c>
      <c r="J284">
        <f>IFERROR(_xlfn.IFNA(INDEX(Sensors_MANU!$D$2:$D$4692,MATCH($D284,Sensors_MANU!$B$2:$B$4692,0)),INDEX(Sensors_MANU!$D$2:$D$4692,MATCH($P284,Sensors_MANU!$A$2:$A$4692,0))),"")</f>
        <v/>
      </c>
      <c r="M284" s="27" t="n"/>
      <c r="N284" s="99">
        <f>IFERROR(INDEX(Sensors_MANU!$G$2:$G$4692,MATCH($P284,Sensors_MANU!$A$2:$A$4692,0)),)</f>
        <v/>
      </c>
      <c r="O284" s="6" t="inlineStr">
        <is>
          <t>v15</t>
        </is>
      </c>
      <c r="P284" t="n">
        <v>4978712</v>
      </c>
    </row>
    <row r="285">
      <c r="B285" s="24">
        <f>IFERROR(INDEX(Companies!$A$3:$A$101,MATCH(A285,Companies!$B$3:$B$101,0)),"")</f>
        <v/>
      </c>
      <c r="C285">
        <f>IFERROR(_xlfn.IFNA(INDEX(Sensors_MANU!$F$2:$F$4692,MATCH($D285,Sensors_MANU!$B$2:$B$4692,0)),INDEX(Sensors_MANU!$F$2:$F$4692,MATCH($P285,Sensors_MANU!$A$2:$A$4692,0))),"")</f>
        <v/>
      </c>
      <c r="D285" t="inlineStr">
        <is>
          <t>C4537B994B7F</t>
        </is>
      </c>
      <c r="E285" s="24">
        <f>LEFT(D285,2)&amp;":"&amp;MID(D285,3,2)&amp;":"&amp;MID(D285,5,2)&amp;":"&amp;MID(D285,7,2)&amp;":"&amp;MID(D285,9,2)&amp;":"&amp;RIGHT(D285,2)</f>
        <v/>
      </c>
      <c r="H285" t="inlineStr">
        <is>
          <t>D5217EB0788B7868</t>
        </is>
      </c>
      <c r="I285">
        <f>IFERROR(_xlfn.IFNA(INDEX(Sensors_MANU!$C$2:$C$4692,MATCH($D285,Sensors_MANU!$B$2:$B$4692,0)),INDEX(Sensors_MANU!$C$2:$C$4692,MATCH($P285,Sensors_MANU!$A$2:$A$4692,0))),"")</f>
        <v/>
      </c>
      <c r="J285">
        <f>IFERROR(_xlfn.IFNA(INDEX(Sensors_MANU!$D$2:$D$4692,MATCH($D285,Sensors_MANU!$B$2:$B$4692,0)),INDEX(Sensors_MANU!$D$2:$D$4692,MATCH($P285,Sensors_MANU!$A$2:$A$4692,0))),"")</f>
        <v/>
      </c>
      <c r="N285" s="99">
        <f>IFERROR(INDEX(Sensors_MANU!$G$2:$G$4692,MATCH($P285,Sensors_MANU!$A$2:$A$4692,0)),)</f>
        <v/>
      </c>
      <c r="O285" s="6" t="inlineStr">
        <is>
          <t>v17</t>
        </is>
      </c>
      <c r="P285" t="n">
        <v>4978616</v>
      </c>
    </row>
    <row r="286">
      <c r="A286" s="32">
        <f>IFERROR(_xlfn.IFNA(INDEX(Sensors_MANU!$E$2:$E$4692,MATCH($D286,Sensors_MANU!$B$2:$B$4692,0)),INDEX(Sensors_MANU!$E$2:$E$4692,MATCH($P286,Sensors_MANU!$A$2:$A$4692,0))),"")</f>
        <v/>
      </c>
      <c r="B286" s="24">
        <f>IFERROR(INDEX(Companies!$A$3:$A$101,MATCH(A286,Companies!$B$3:$B$101,0)),"")</f>
        <v/>
      </c>
      <c r="C286" t="inlineStr">
        <is>
          <t>cargo</t>
        </is>
      </c>
      <c r="D286" t="inlineStr">
        <is>
          <t>C50685060583</t>
        </is>
      </c>
      <c r="E286">
        <f>LEFT(D286,2)&amp;":"&amp;MID(D286,3,2)&amp;":"&amp;MID(D286,5,2)&amp;":"&amp;MID(D286,7,2)&amp;":"&amp;MID(D286,9,2)&amp;":"&amp;RIGHT(D286,2)</f>
        <v/>
      </c>
      <c r="H286" t="inlineStr">
        <is>
          <t>DB9707496E24F936</t>
        </is>
      </c>
      <c r="I286">
        <f>IFERROR(_xlfn.IFNA(INDEX(Sensors_MANU!$C$2:$C$4692,MATCH($D286,Sensors_MANU!$B$2:$B$4692,0)),INDEX(Sensors_MANU!$C$2:$C$4692,MATCH($P286,Sensors_MANU!$A$2:$A$4692,0))),"")</f>
        <v/>
      </c>
      <c r="J286">
        <f>IFERROR(_xlfn.IFNA(INDEX(Sensors_MANU!$D$2:$D$4692,MATCH($D286,Sensors_MANU!$B$2:$B$4692,0)),INDEX(Sensors_MANU!$D$2:$D$4692,MATCH($P286,Sensors_MANU!$A$2:$A$4692,0))),"")</f>
        <v/>
      </c>
      <c r="M286" s="27" t="n"/>
      <c r="N286" s="99">
        <f>IFERROR(INDEX(Sensors_MANU!$G$2:$G$4692,MATCH($P286,Sensors_MANU!$A$2:$A$4692,0)),)</f>
        <v/>
      </c>
      <c r="O286" s="6" t="inlineStr">
        <is>
          <t>v15</t>
        </is>
      </c>
      <c r="P286" t="n">
        <v>4978553</v>
      </c>
    </row>
    <row r="287">
      <c r="A287" s="32">
        <f>IFERROR(_xlfn.IFNA(INDEX(Sensors_MANU!$E$2:$E$4692,MATCH($D287,Sensors_MANU!$B$2:$B$4692,0)),INDEX(Sensors_MANU!$E$2:$E$4692,MATCH($P287,Sensors_MANU!$A$2:$A$4692,0))),"")</f>
        <v/>
      </c>
      <c r="B287" s="24">
        <f>IFERROR(INDEX(Companies!$A$3:$A$101,MATCH(A287,Companies!$B$3:$B$101,0)),"")</f>
        <v/>
      </c>
      <c r="C287">
        <f>IFERROR(_xlfn.IFNA(INDEX(Sensors_MANU!$F$2:$F$4692,MATCH($D287,Sensors_MANU!$B$2:$B$4692,0)),INDEX(Sensors_MANU!$F$2:$F$4692,MATCH($P287,Sensors_MANU!$A$2:$A$4692,0))),"")</f>
        <v/>
      </c>
      <c r="D287" t="inlineStr">
        <is>
          <t>D7FC1CA7641C</t>
        </is>
      </c>
      <c r="E287">
        <f>LEFT(D287,2)&amp;":"&amp;MID(D287,3,2)&amp;":"&amp;MID(D287,5,2)&amp;":"&amp;MID(D287,7,2)&amp;":"&amp;MID(D287,9,2)&amp;":"&amp;RIGHT(D287,2)</f>
        <v/>
      </c>
      <c r="H287" t="inlineStr">
        <is>
          <t>6B79E04A5CD12083</t>
        </is>
      </c>
      <c r="I287">
        <f>IFERROR(_xlfn.IFNA(INDEX(Sensors_MANU!$C$2:$C$4692,MATCH($D287,Sensors_MANU!$B$2:$B$4692,0)),INDEX(Sensors_MANU!$C$2:$C$4692,MATCH($P287,Sensors_MANU!$A$2:$A$4692,0))),"")</f>
        <v/>
      </c>
      <c r="J287">
        <f>IFERROR(_xlfn.IFNA(INDEX(Sensors_MANU!$D$2:$D$4692,MATCH($D287,Sensors_MANU!$B$2:$B$4692,0)),INDEX(Sensors_MANU!$D$2:$D$4692,MATCH($P287,Sensors_MANU!$A$2:$A$4692,0))),"")</f>
        <v/>
      </c>
      <c r="M287" s="27" t="n"/>
      <c r="N287" s="99">
        <f>IFERROR(INDEX(Sensors_MANU!$G$2:$G$4692,MATCH($P287,Sensors_MANU!$A$2:$A$4692,0)),)</f>
        <v/>
      </c>
      <c r="O287" s="6" t="inlineStr">
        <is>
          <t>v16</t>
        </is>
      </c>
      <c r="P287" t="n">
        <v>4978667</v>
      </c>
    </row>
    <row r="288">
      <c r="A288" s="32">
        <f>IFERROR(_xlfn.IFNA(INDEX(Sensors_MANU!$E$2:$E$4692,MATCH($D288,Sensors_MANU!$B$2:$B$4692,0)),INDEX(Sensors_MANU!$E$2:$E$4692,MATCH($P288,Sensors_MANU!$A$2:$A$4692,0))),"")</f>
        <v/>
      </c>
      <c r="B288" s="24">
        <f>IFERROR(INDEX(Companies!$A$3:$A$101,MATCH(A288,Companies!$B$3:$B$101,0)),"")</f>
        <v/>
      </c>
      <c r="C288">
        <f>IFERROR(_xlfn.IFNA(INDEX(Sensors_MANU!$F$2:$F$4692,MATCH($D288,Sensors_MANU!$B$2:$B$4692,0)),INDEX(Sensors_MANU!$F$2:$F$4692,MATCH($P288,Sensors_MANU!$A$2:$A$4692,0))),"")</f>
        <v/>
      </c>
      <c r="D288" t="inlineStr">
        <is>
          <t>EB69A7BA7577</t>
        </is>
      </c>
      <c r="E288">
        <f>LEFT(D288,2)&amp;":"&amp;MID(D288,3,2)&amp;":"&amp;MID(D288,5,2)&amp;":"&amp;MID(D288,7,2)&amp;":"&amp;MID(D288,9,2)&amp;":"&amp;RIGHT(D288,2)</f>
        <v/>
      </c>
      <c r="H288" t="inlineStr">
        <is>
          <t>CDEA3B6225C23515</t>
        </is>
      </c>
      <c r="I288">
        <f>IFERROR(_xlfn.IFNA(INDEX(Sensors_MANU!$C$2:$C$4692,MATCH($D288,Sensors_MANU!$B$2:$B$4692,0)),INDEX(Sensors_MANU!$C$2:$C$4692,MATCH($P288,Sensors_MANU!$A$2:$A$4692,0))),"")</f>
        <v/>
      </c>
      <c r="J288">
        <f>IFERROR(_xlfn.IFNA(INDEX(Sensors_MANU!$D$2:$D$4692,MATCH($D288,Sensors_MANU!$B$2:$B$4692,0)),INDEX(Sensors_MANU!$D$2:$D$4692,MATCH($P288,Sensors_MANU!$A$2:$A$4692,0))),"")</f>
        <v/>
      </c>
      <c r="M288" s="27" t="n"/>
      <c r="N288" s="99">
        <f>IFERROR(INDEX(Sensors_MANU!$G$2:$G$4692,MATCH($P288,Sensors_MANU!$A$2:$A$4692,0)),)</f>
        <v/>
      </c>
      <c r="O288" s="6" t="inlineStr">
        <is>
          <t>v16</t>
        </is>
      </c>
      <c r="P288" t="n">
        <v>4978668</v>
      </c>
    </row>
    <row r="289">
      <c r="A289" s="32">
        <f>IFERROR(_xlfn.IFNA(INDEX(Sensors_MANU!$E$2:$E$4692,MATCH($D289,Sensors_MANU!$B$2:$B$4692,0)),INDEX(Sensors_MANU!$E$2:$E$4692,MATCH($P289,Sensors_MANU!$A$2:$A$4692,0))),"")</f>
        <v/>
      </c>
      <c r="B289" s="24">
        <f>IFERROR(INDEX(Companies!$A$3:$A$101,MATCH(A289,Companies!$B$3:$B$101,0)),"")</f>
        <v/>
      </c>
      <c r="C289">
        <f>IFERROR(_xlfn.IFNA(INDEX(Sensors_MANU!$F$2:$F$4692,MATCH($D289,Sensors_MANU!$B$2:$B$4692,0)),INDEX(Sensors_MANU!$F$2:$F$4692,MATCH($P289,Sensors_MANU!$A$2:$A$4692,0))),"")</f>
        <v/>
      </c>
      <c r="D289" t="inlineStr">
        <is>
          <t>FC9A930AEFBC</t>
        </is>
      </c>
      <c r="E289" s="24">
        <f>LEFT(D289,2)&amp;":"&amp;MID(D289,3,2)&amp;":"&amp;MID(D289,5,2)&amp;":"&amp;MID(D289,7,2)&amp;":"&amp;MID(D289,9,2)&amp;":"&amp;RIGHT(D289,2)</f>
        <v/>
      </c>
      <c r="F289" s="29" t="n">
        <v>44964</v>
      </c>
      <c r="G289" s="29" t="inlineStr">
        <is>
          <t>Renfe</t>
        </is>
      </c>
      <c r="H289" t="inlineStr">
        <is>
          <t>85DCBB75E896C99C</t>
        </is>
      </c>
      <c r="I289">
        <f>IFERROR(_xlfn.IFNA(INDEX(Sensors_MANU!$C$2:$C$4692,MATCH($D289,Sensors_MANU!$B$2:$B$4692,0)),INDEX(Sensors_MANU!$C$2:$C$4692,MATCH($P289,Sensors_MANU!$A$2:$A$4692,0))),"")</f>
        <v/>
      </c>
      <c r="J289" s="68">
        <f>IFERROR(_xlfn.IFNA(INDEX(Sensors_MANU!$D$2:$D$4692,MATCH($D289,Sensors_MANU!$B$2:$B$4692,0)),INDEX(Sensors_MANU!$D$2:$D$4692,MATCH($P289,Sensors_MANU!$A$2:$A$4692,0))),"")</f>
        <v/>
      </c>
      <c r="K289" s="27" t="n">
        <v>529004</v>
      </c>
      <c r="L289" s="27" t="inlineStr">
        <is>
          <t>3L</t>
        </is>
      </c>
      <c r="O289" s="6" t="inlineStr">
        <is>
          <t>v17</t>
        </is>
      </c>
      <c r="P289" t="n">
        <v>4978472</v>
      </c>
    </row>
    <row r="290">
      <c r="A290" s="32">
        <f>IFERROR(_xlfn.IFNA(INDEX(Sensors_MANU!$E$2:$E$4692,MATCH($D290,Sensors_MANU!$B$2:$B$4692,0)),INDEX(Sensors_MANU!$E$2:$E$4692,MATCH($P290,Sensors_MANU!$A$2:$A$4692,0))),"")</f>
        <v/>
      </c>
      <c r="B290" s="24">
        <f>IFERROR(INDEX(Companies!$A$3:$A$101,MATCH(A290,Companies!$B$3:$B$101,0)),"")</f>
        <v/>
      </c>
      <c r="C290" t="inlineStr">
        <is>
          <t>cargo</t>
        </is>
      </c>
      <c r="D290" t="inlineStr">
        <is>
          <t>DE15DC0E8A71</t>
        </is>
      </c>
      <c r="E290">
        <f>LEFT(D290,2)&amp;":"&amp;MID(D290,3,2)&amp;":"&amp;MID(D290,5,2)&amp;":"&amp;MID(D290,7,2)&amp;":"&amp;MID(D290,9,2)&amp;":"&amp;RIGHT(D290,2)</f>
        <v/>
      </c>
      <c r="H290" t="inlineStr">
        <is>
          <t>9F6EB966DB32DA15</t>
        </is>
      </c>
      <c r="I290">
        <f>IFERROR(_xlfn.IFNA(INDEX(Sensors_MANU!$C$2:$C$4692,MATCH($D290,Sensors_MANU!$B$2:$B$4692,0)),INDEX(Sensors_MANU!$C$2:$C$4692,MATCH($P290,Sensors_MANU!$A$2:$A$4692,0))),"")</f>
        <v/>
      </c>
      <c r="J290">
        <f>IFERROR(_xlfn.IFNA(INDEX(Sensors_MANU!$D$2:$D$4692,MATCH($D290,Sensors_MANU!$B$2:$B$4692,0)),INDEX(Sensors_MANU!$D$2:$D$4692,MATCH($P290,Sensors_MANU!$A$2:$A$4692,0))),"")</f>
        <v/>
      </c>
      <c r="M290" s="27" t="n"/>
      <c r="N290" s="99">
        <f>IFERROR(INDEX(Sensors_MANU!$G$2:$G$4692,MATCH($P290,Sensors_MANU!$A$2:$A$4692,0)),)</f>
        <v/>
      </c>
      <c r="O290" s="6" t="inlineStr">
        <is>
          <t>v15</t>
        </is>
      </c>
      <c r="P290" t="n">
        <v>4978831</v>
      </c>
    </row>
    <row r="291">
      <c r="A291" s="32">
        <f>IFERROR(_xlfn.IFNA(INDEX(Sensors_MANU!$E$2:$E$4692,MATCH($D291,Sensors_MANU!$B$2:$B$4692,0)),INDEX(Sensors_MANU!$E$2:$E$4692,MATCH($P291,Sensors_MANU!$A$2:$A$4692,0))),"")</f>
        <v/>
      </c>
      <c r="B291" s="24">
        <f>IFERROR(INDEX(Companies!$A$3:$A$101,MATCH(A291,Companies!$B$3:$B$101,0)),"")</f>
        <v/>
      </c>
      <c r="C291">
        <f>IFERROR(_xlfn.IFNA(INDEX(Sensors_MANU!$F$2:$F$4692,MATCH($D291,Sensors_MANU!$B$2:$B$4692,0)),INDEX(Sensors_MANU!$F$2:$F$4692,MATCH($P291,Sensors_MANU!$A$2:$A$4692,0))),"")</f>
        <v/>
      </c>
      <c r="D291" t="inlineStr">
        <is>
          <t>D86D99B9C99B</t>
        </is>
      </c>
      <c r="E291">
        <f>LEFT(D291,2)&amp;":"&amp;MID(D291,3,2)&amp;":"&amp;MID(D291,5,2)&amp;":"&amp;MID(D291,7,2)&amp;":"&amp;MID(D291,9,2)&amp;":"&amp;RIGHT(D291,2)</f>
        <v/>
      </c>
      <c r="H291" t="inlineStr">
        <is>
          <t>EF82815FDFA6BFDE</t>
        </is>
      </c>
      <c r="I291">
        <f>IFERROR(_xlfn.IFNA(INDEX(Sensors_MANU!$C$2:$C$4692,MATCH($D291,Sensors_MANU!$B$2:$B$4692,0)),INDEX(Sensors_MANU!$C$2:$C$4692,MATCH($P291,Sensors_MANU!$A$2:$A$4692,0))),"")</f>
        <v/>
      </c>
      <c r="J291">
        <f>IFERROR(_xlfn.IFNA(INDEX(Sensors_MANU!$D$2:$D$4692,MATCH($D291,Sensors_MANU!$B$2:$B$4692,0)),INDEX(Sensors_MANU!$D$2:$D$4692,MATCH($P291,Sensors_MANU!$A$2:$A$4692,0))),"")</f>
        <v/>
      </c>
      <c r="M291" s="27" t="n"/>
      <c r="N291" s="99">
        <f>IFERROR(INDEX(Sensors_MANU!$G$2:$G$4692,MATCH($P291,Sensors_MANU!$A$2:$A$4692,0)),)</f>
        <v/>
      </c>
      <c r="O291" s="6" t="inlineStr">
        <is>
          <t>v16</t>
        </is>
      </c>
      <c r="P291" t="n">
        <v>4978534</v>
      </c>
    </row>
    <row r="292">
      <c r="A292" s="32">
        <f>IFERROR(_xlfn.IFNA(INDEX(Sensors_MANU!$E$2:$E$4692,MATCH($D292,Sensors_MANU!$B$2:$B$4692,0)),INDEX(Sensors_MANU!$E$2:$E$4692,MATCH($P292,Sensors_MANU!$A$2:$A$4692,0))),"")</f>
        <v/>
      </c>
      <c r="B292" s="24">
        <f>IFERROR(INDEX(Companies!$A$3:$A$101,MATCH(A292,Companies!$B$3:$B$101,0)),"")</f>
        <v/>
      </c>
      <c r="C292">
        <f>IFERROR(_xlfn.IFNA(INDEX(Sensors_MANU!$F$2:$F$4692,MATCH($D292,Sensors_MANU!$B$2:$B$4692,0)),INDEX(Sensors_MANU!$F$2:$F$4692,MATCH($P292,Sensors_MANU!$A$2:$A$4692,0))),"")</f>
        <v/>
      </c>
      <c r="D292" t="inlineStr">
        <is>
          <t>DDECB27CE34B</t>
        </is>
      </c>
      <c r="E292">
        <f>LEFT(D292,2)&amp;":"&amp;MID(D292,3,2)&amp;":"&amp;MID(D292,5,2)&amp;":"&amp;MID(D292,7,2)&amp;":"&amp;MID(D292,9,2)&amp;":"&amp;RIGHT(D292,2)</f>
        <v/>
      </c>
      <c r="H292" t="inlineStr">
        <is>
          <t>C78455FEFA616AEB</t>
        </is>
      </c>
      <c r="I292">
        <f>IFERROR(_xlfn.IFNA(INDEX(Sensors_MANU!$C$2:$C$4692,MATCH($D292,Sensors_MANU!$B$2:$B$4692,0)),INDEX(Sensors_MANU!$C$2:$C$4692,MATCH($P292,Sensors_MANU!$A$2:$A$4692,0))),"")</f>
        <v/>
      </c>
      <c r="J292">
        <f>IFERROR(_xlfn.IFNA(INDEX(Sensors_MANU!$D$2:$D$4692,MATCH($D292,Sensors_MANU!$B$2:$B$4692,0)),INDEX(Sensors_MANU!$D$2:$D$4692,MATCH($P292,Sensors_MANU!$A$2:$A$4692,0))),"")</f>
        <v/>
      </c>
      <c r="M292" s="27" t="n"/>
      <c r="N292" s="99">
        <f>IFERROR(INDEX(Sensors_MANU!$G$2:$G$4692,MATCH($P292,Sensors_MANU!$A$2:$A$4692,0)),)</f>
        <v/>
      </c>
      <c r="O292" s="6" t="inlineStr">
        <is>
          <t>v16</t>
        </is>
      </c>
      <c r="P292" t="n">
        <v>4978729</v>
      </c>
    </row>
    <row r="293">
      <c r="A293" s="32">
        <f>IFERROR(_xlfn.IFNA(INDEX(Sensors_MANU!$E$2:$E$4692,MATCH($D293,Sensors_MANU!$B$2:$B$4692,0)),INDEX(Sensors_MANU!$E$2:$E$4692,MATCH($P293,Sensors_MANU!$A$2:$A$4692,0))),"")</f>
        <v/>
      </c>
      <c r="B293" s="24">
        <f>IFERROR(INDEX(Companies!$A$3:$A$101,MATCH(A293,Companies!$B$3:$B$101,0)),"")</f>
        <v/>
      </c>
      <c r="C293">
        <f>IFERROR(_xlfn.IFNA(INDEX(Sensors_MANU!$F$2:$F$4692,MATCH($D293,Sensors_MANU!$B$2:$B$4692,0)),INDEX(Sensors_MANU!$F$2:$F$4692,MATCH($P293,Sensors_MANU!$A$2:$A$4692,0))),"")</f>
        <v/>
      </c>
      <c r="D293" t="inlineStr">
        <is>
          <t>FC074675A12A</t>
        </is>
      </c>
      <c r="E293">
        <f>LEFT(D293,2)&amp;":"&amp;MID(D293,3,2)&amp;":"&amp;MID(D293,5,2)&amp;":"&amp;MID(D293,7,2)&amp;":"&amp;MID(D293,9,2)&amp;":"&amp;RIGHT(D293,2)</f>
        <v/>
      </c>
      <c r="F293" s="29" t="n">
        <v>44910</v>
      </c>
      <c r="G293" s="29" t="inlineStr">
        <is>
          <t>Viezo</t>
        </is>
      </c>
      <c r="H293" s="18" t="inlineStr">
        <is>
          <t>914E14239F62C6CA</t>
        </is>
      </c>
      <c r="I293">
        <f>IFERROR(_xlfn.IFNA(INDEX(Sensors_MANU!$C$2:$C$4692,MATCH($D293,Sensors_MANU!$B$2:$B$4692,0)),INDEX(Sensors_MANU!$C$2:$C$4692,MATCH($P293,Sensors_MANU!$A$2:$A$4692,0))),"")</f>
        <v/>
      </c>
      <c r="J293">
        <f>IFERROR(_xlfn.IFNA(INDEX(Sensors_MANU!$D$2:$D$4692,MATCH($D293,Sensors_MANU!$B$2:$B$4692,0)),INDEX(Sensors_MANU!$D$2:$D$4692,MATCH($P293,Sensors_MANU!$A$2:$A$4692,0))),"")</f>
        <v/>
      </c>
      <c r="K293" s="27" t="inlineStr">
        <is>
          <t>31833916514-0</t>
        </is>
      </c>
      <c r="L293" s="27" t="inlineStr">
        <is>
          <t>3R</t>
        </is>
      </c>
      <c r="M293" s="27" t="n"/>
      <c r="N293" s="99">
        <f>IFERROR(INDEX(Sensors_MANU!$G$2:$G$4692,MATCH($P293,Sensors_MANU!$A$2:$A$4692,0)),)</f>
        <v/>
      </c>
      <c r="O293" s="6" t="inlineStr">
        <is>
          <t>v16</t>
        </is>
      </c>
      <c r="P293" t="n">
        <v>4978861</v>
      </c>
    </row>
    <row r="294">
      <c r="A294" s="32">
        <f>IFERROR(_xlfn.IFNA(INDEX(Sensors_MANU!$E$2:$E$4692,MATCH($D294,Sensors_MANU!$B$2:$B$4692,0)),INDEX(Sensors_MANU!$E$2:$E$4692,MATCH($P294,Sensors_MANU!$A$2:$A$4692,0))),"")</f>
        <v/>
      </c>
      <c r="B294" s="24">
        <f>IFERROR(INDEX(Companies!$A$3:$A$101,MATCH(A294,Companies!$B$3:$B$101,0)),"")</f>
        <v/>
      </c>
      <c r="C294" t="inlineStr">
        <is>
          <t>cargo</t>
        </is>
      </c>
      <c r="D294" t="inlineStr">
        <is>
          <t>CE13B80FC6E3</t>
        </is>
      </c>
      <c r="E294">
        <f>LEFT(D294,2)&amp;":"&amp;MID(D294,3,2)&amp;":"&amp;MID(D294,5,2)&amp;":"&amp;MID(D294,7,2)&amp;":"&amp;MID(D294,9,2)&amp;":"&amp;RIGHT(D294,2)</f>
        <v/>
      </c>
      <c r="H294" t="inlineStr">
        <is>
          <t>396AFBA6BD0DEBBA</t>
        </is>
      </c>
      <c r="I294">
        <f>IFERROR(_xlfn.IFNA(INDEX(Sensors_MANU!$C$2:$C$4692,MATCH($D294,Sensors_MANU!$B$2:$B$4692,0)),INDEX(Sensors_MANU!$C$2:$C$4692,MATCH($P294,Sensors_MANU!$A$2:$A$4692,0))),"")</f>
        <v/>
      </c>
      <c r="J294">
        <f>IFERROR(_xlfn.IFNA(INDEX(Sensors_MANU!$D$2:$D$4692,MATCH($D294,Sensors_MANU!$B$2:$B$4692,0)),INDEX(Sensors_MANU!$D$2:$D$4692,MATCH($P294,Sensors_MANU!$A$2:$A$4692,0))),"")</f>
        <v/>
      </c>
      <c r="M294" s="27" t="n"/>
      <c r="N294" s="99">
        <f>IFERROR(INDEX(Sensors_MANU!$G$2:$G$4692,MATCH($P294,Sensors_MANU!$A$2:$A$4692,0)),)</f>
        <v/>
      </c>
      <c r="O294" s="6" t="inlineStr">
        <is>
          <t>v15</t>
        </is>
      </c>
      <c r="P294" t="n">
        <v>4978719</v>
      </c>
    </row>
    <row r="295">
      <c r="A295" s="32">
        <f>IFERROR(_xlfn.IFNA(INDEX(Sensors_MANU!$E$2:$E$4692,MATCH($D295,Sensors_MANU!$B$2:$B$4692,0)),INDEX(Sensors_MANU!$E$2:$E$4692,MATCH($P295,Sensors_MANU!$A$2:$A$4692,0))),"")</f>
        <v/>
      </c>
      <c r="B295" s="24">
        <f>IFERROR(INDEX(Companies!$A$3:$A$101,MATCH(A295,Companies!$B$3:$B$101,0)),"")</f>
        <v/>
      </c>
      <c r="C295">
        <f>IFERROR(_xlfn.IFNA(INDEX(Sensors_MANU!$F$2:$F$4692,MATCH($D295,Sensors_MANU!$B$2:$B$4692,0)),INDEX(Sensors_MANU!$F$2:$F$4692,MATCH($P295,Sensors_MANU!$A$2:$A$4692,0))),"")</f>
        <v/>
      </c>
      <c r="D295" s="25" t="inlineStr">
        <is>
          <t>DDCC73B644D3</t>
        </is>
      </c>
      <c r="E295" s="24">
        <f>LEFT(D295,2)&amp;":"&amp;MID(D295,3,2)&amp;":"&amp;MID(D295,5,2)&amp;":"&amp;MID(D295,7,2)&amp;":"&amp;MID(D295,9,2)&amp;":"&amp;RIGHT(D295,2)</f>
        <v/>
      </c>
      <c r="F295" s="29" t="n">
        <v>44888</v>
      </c>
      <c r="G295" s="29" t="inlineStr">
        <is>
          <t>SGL</t>
        </is>
      </c>
      <c r="H295" t="inlineStr">
        <is>
          <t>6CBC758A1C7D8065</t>
        </is>
      </c>
      <c r="I295">
        <f>IFERROR(_xlfn.IFNA(INDEX(Sensors_MANU!$C$2:$C$4692,MATCH($D295,Sensors_MANU!$B$2:$B$4692,0)),INDEX(Sensors_MANU!$C$2:$C$4692,MATCH($P295,Sensors_MANU!$A$2:$A$4692,0))),"")</f>
        <v/>
      </c>
      <c r="J295">
        <f>IFERROR(_xlfn.IFNA(INDEX(Sensors_MANU!$D$2:$D$4692,MATCH($D295,Sensors_MANU!$B$2:$B$4692,0)),INDEX(Sensors_MANU!$D$2:$D$4692,MATCH($P295,Sensors_MANU!$A$2:$A$4692,0))),"")</f>
        <v/>
      </c>
      <c r="K295" s="27" t="inlineStr">
        <is>
          <t>3354-3937-523-9</t>
        </is>
      </c>
      <c r="N295" s="99" t="inlineStr">
        <is>
          <t>The operator has the device or its lost (they paid for it), but we dont monitor it on Ubidots anymore.</t>
        </is>
      </c>
      <c r="O295" s="6" t="inlineStr">
        <is>
          <t>V23</t>
        </is>
      </c>
    </row>
    <row r="296">
      <c r="A296" s="32">
        <f>IFERROR(_xlfn.IFNA(INDEX(Sensors_MANU!$E$2:$E$4692,MATCH($D296,Sensors_MANU!$B$2:$B$4692,0)),INDEX(Sensors_MANU!$E$2:$E$4692,MATCH($P296,Sensors_MANU!$A$2:$A$4692,0))),"")</f>
        <v/>
      </c>
      <c r="B296" s="24">
        <f>IFERROR(INDEX(Companies!$A$3:$A$101,MATCH(A296,Companies!$B$3:$B$101,0)),"")</f>
        <v/>
      </c>
      <c r="C296">
        <f>IFERROR(_xlfn.IFNA(INDEX(Sensors_MANU!$F$2:$F$4692,MATCH($D296,Sensors_MANU!$B$2:$B$4692,0)),INDEX(Sensors_MANU!$F$2:$F$4692,MATCH($P296,Sensors_MANU!$A$2:$A$4692,0))),"")</f>
        <v/>
      </c>
      <c r="D296" t="inlineStr">
        <is>
          <t>E4E350D60C32</t>
        </is>
      </c>
      <c r="E296">
        <f>LEFT(D296,2)&amp;":"&amp;MID(D296,3,2)&amp;":"&amp;MID(D296,5,2)&amp;":"&amp;MID(D296,7,2)&amp;":"&amp;MID(D296,9,2)&amp;":"&amp;RIGHT(D296,2)</f>
        <v/>
      </c>
      <c r="H296" t="inlineStr">
        <is>
          <t>4D69314DFC9F837E</t>
        </is>
      </c>
      <c r="I296">
        <f>IFERROR(_xlfn.IFNA(INDEX(Sensors_MANU!$C$2:$C$4692,MATCH($D296,Sensors_MANU!$B$2:$B$4692,0)),INDEX(Sensors_MANU!$C$2:$C$4692,MATCH($P296,Sensors_MANU!$A$2:$A$4692,0))),"")</f>
        <v/>
      </c>
      <c r="J296">
        <f>IFERROR(_xlfn.IFNA(INDEX(Sensors_MANU!$D$2:$D$4692,MATCH($D296,Sensors_MANU!$B$2:$B$4692,0)),INDEX(Sensors_MANU!$D$2:$D$4692,MATCH($P296,Sensors_MANU!$A$2:$A$4692,0))),"")</f>
        <v/>
      </c>
      <c r="M296" s="27" t="n"/>
      <c r="N296" s="99">
        <f>IFERROR(INDEX(Sensors_MANU!$G$2:$G$4692,MATCH($P296,Sensors_MANU!$A$2:$A$4692,0)),)</f>
        <v/>
      </c>
      <c r="O296" s="6" t="inlineStr">
        <is>
          <t>v16</t>
        </is>
      </c>
      <c r="P296" t="n">
        <v>4978621</v>
      </c>
    </row>
    <row r="297">
      <c r="B297" s="24">
        <f>IFERROR(INDEX(Companies!$A$3:$A$101,MATCH(A297,Companies!$B$3:$B$101,0)),"")</f>
        <v/>
      </c>
      <c r="C297">
        <f>IFERROR(_xlfn.IFNA(INDEX(Sensors_MANU!$F$2:$F$4692,MATCH($D297,Sensors_MANU!$B$2:$B$4692,0)),INDEX(Sensors_MANU!$F$2:$F$4692,MATCH($P297,Sensors_MANU!$A$2:$A$4692,0))),"")</f>
        <v/>
      </c>
      <c r="D297" t="inlineStr">
        <is>
          <t>D063C571C19C</t>
        </is>
      </c>
      <c r="E297" s="24">
        <f>LEFT(D297,2)&amp;":"&amp;MID(D297,3,2)&amp;":"&amp;MID(D297,5,2)&amp;":"&amp;MID(D297,7,2)&amp;":"&amp;MID(D297,9,2)&amp;":"&amp;RIGHT(D297,2)</f>
        <v/>
      </c>
      <c r="H297" t="inlineStr">
        <is>
          <t>41B02A5B508B70C7</t>
        </is>
      </c>
      <c r="I297">
        <f>IFERROR(_xlfn.IFNA(INDEX(Sensors_MANU!$C$2:$C$4692,MATCH($D297,Sensors_MANU!$B$2:$B$4692,0)),INDEX(Sensors_MANU!$C$2:$C$4692,MATCH($P297,Sensors_MANU!$A$2:$A$4692,0))),"")</f>
        <v/>
      </c>
      <c r="J297">
        <f>IFERROR(_xlfn.IFNA(INDEX(Sensors_MANU!$D$2:$D$4692,MATCH($D297,Sensors_MANU!$B$2:$B$4692,0)),INDEX(Sensors_MANU!$D$2:$D$4692,MATCH($P297,Sensors_MANU!$A$2:$A$4692,0))),"")</f>
        <v/>
      </c>
      <c r="N297" s="99">
        <f>IFERROR(INDEX(Sensors_MANU!$G$2:$G$4692,MATCH($P297,Sensors_MANU!$A$2:$A$4692,0)),)</f>
        <v/>
      </c>
      <c r="O297" s="6" t="inlineStr">
        <is>
          <t>v17</t>
        </is>
      </c>
      <c r="P297" t="n">
        <v>4978544</v>
      </c>
    </row>
    <row r="298">
      <c r="A298" s="32">
        <f>IFERROR(_xlfn.IFNA(INDEX(Sensors_MANU!$E$2:$E$4692,MATCH($D298,Sensors_MANU!$B$2:$B$4692,0)),INDEX(Sensors_MANU!$E$2:$E$4692,MATCH($P298,Sensors_MANU!$A$2:$A$4692,0))),"")</f>
        <v/>
      </c>
      <c r="B298" s="24">
        <f>IFERROR(INDEX(Companies!$A$3:$A$101,MATCH(A298,Companies!$B$3:$B$101,0)),"")</f>
        <v/>
      </c>
      <c r="C298" t="inlineStr">
        <is>
          <t>cargo</t>
        </is>
      </c>
      <c r="D298" t="inlineStr">
        <is>
          <t>C99E0FA9AF38</t>
        </is>
      </c>
      <c r="E298">
        <f>LEFT(D298,2)&amp;":"&amp;MID(D298,3,2)&amp;":"&amp;MID(D298,5,2)&amp;":"&amp;MID(D298,7,2)&amp;":"&amp;MID(D298,9,2)&amp;":"&amp;RIGHT(D298,2)</f>
        <v/>
      </c>
      <c r="H298" t="inlineStr">
        <is>
          <t>4E3D0D91341934F1</t>
        </is>
      </c>
      <c r="I298">
        <f>IFERROR(_xlfn.IFNA(INDEX(Sensors_MANU!$C$2:$C$4692,MATCH($D298,Sensors_MANU!$B$2:$B$4692,0)),INDEX(Sensors_MANU!$C$2:$C$4692,MATCH($P298,Sensors_MANU!$A$2:$A$4692,0))),"")</f>
        <v/>
      </c>
      <c r="J298">
        <f>IFERROR(_xlfn.IFNA(INDEX(Sensors_MANU!$D$2:$D$4692,MATCH($D298,Sensors_MANU!$B$2:$B$4692,0)),INDEX(Sensors_MANU!$D$2:$D$4692,MATCH($P298,Sensors_MANU!$A$2:$A$4692,0))),"")</f>
        <v/>
      </c>
      <c r="M298" s="27" t="n"/>
      <c r="N298" s="99">
        <f>IFERROR(INDEX(Sensors_MANU!$G$2:$G$4692,MATCH($P298,Sensors_MANU!$A$2:$A$4692,0)),)</f>
        <v/>
      </c>
      <c r="O298" s="6" t="inlineStr">
        <is>
          <t>v15</t>
        </is>
      </c>
      <c r="P298" t="n">
        <v>4978687</v>
      </c>
    </row>
    <row r="299">
      <c r="A299" s="32" t="inlineStr">
        <is>
          <t>RAILRELEASE</t>
        </is>
      </c>
      <c r="B299" s="24">
        <f>IFERROR(INDEX(Companies!$A$3:$A$101,MATCH(A299,Companies!$B$3:$B$101,0)),"")</f>
        <v/>
      </c>
      <c r="D299" t="inlineStr">
        <is>
          <t>FCA7544CAEE0</t>
        </is>
      </c>
      <c r="E299" s="24">
        <f>LEFT(D299,2)&amp;":"&amp;MID(D299,3,2)&amp;":"&amp;MID(D299,5,2)&amp;":"&amp;MID(D299,7,2)&amp;":"&amp;MID(D299,9,2)&amp;":"&amp;RIGHT(D299,2)</f>
        <v/>
      </c>
      <c r="F299" s="29" t="n">
        <v>45064</v>
      </c>
      <c r="G299" s="29" t="inlineStr">
        <is>
          <t>Viezo</t>
        </is>
      </c>
      <c r="H299" t="inlineStr">
        <is>
          <t>B93A1A48549B3E92</t>
        </is>
      </c>
      <c r="J299" s="71" t="inlineStr">
        <is>
          <t>PR2203-028</t>
        </is>
      </c>
      <c r="K299" s="27" t="inlineStr">
        <is>
          <t>37844576158-8</t>
        </is>
      </c>
      <c r="L299" s="27" t="inlineStr">
        <is>
          <t>2R</t>
        </is>
      </c>
      <c r="N299" s="99">
        <f>IFERROR(INDEX(Sensors_MANU!$G$2:$G$4692,MATCH($P299,Sensors_MANU!$A$2:$A$4692,0)),)</f>
        <v/>
      </c>
      <c r="O299" s="6" t="inlineStr">
        <is>
          <t>v17</t>
        </is>
      </c>
      <c r="P299" t="n">
        <v>4978675</v>
      </c>
    </row>
    <row r="300">
      <c r="A300" s="32">
        <f>IFERROR(_xlfn.IFNA(INDEX(Sensors_MANU!$E$2:$E$4692,MATCH($D300,Sensors_MANU!$B$2:$B$4692,0)),INDEX(Sensors_MANU!$E$2:$E$4692,MATCH($P300,Sensors_MANU!$A$2:$A$4692,0))),"")</f>
        <v/>
      </c>
      <c r="B300" s="24">
        <f>IFERROR(INDEX(Companies!$A$3:$A$101,MATCH(A300,Companies!$B$3:$B$101,0)),"")</f>
        <v/>
      </c>
      <c r="C300" t="inlineStr">
        <is>
          <t>cargo</t>
        </is>
      </c>
      <c r="D300" t="inlineStr">
        <is>
          <t>EDAAD47201BE</t>
        </is>
      </c>
      <c r="E300">
        <f>LEFT(D300,2)&amp;":"&amp;MID(D300,3,2)&amp;":"&amp;MID(D300,5,2)&amp;":"&amp;MID(D300,7,2)&amp;":"&amp;MID(D300,9,2)&amp;":"&amp;RIGHT(D300,2)</f>
        <v/>
      </c>
      <c r="H300" t="inlineStr">
        <is>
          <t>E3412F223BF615AB</t>
        </is>
      </c>
      <c r="I300">
        <f>IFERROR(_xlfn.IFNA(INDEX(Sensors_MANU!$C$2:$C$4692,MATCH($D300,Sensors_MANU!$B$2:$B$4692,0)),INDEX(Sensors_MANU!$C$2:$C$4692,MATCH($P300,Sensors_MANU!$A$2:$A$4692,0))),"")</f>
        <v/>
      </c>
      <c r="J300">
        <f>IFERROR(_xlfn.IFNA(INDEX(Sensors_MANU!$D$2:$D$4692,MATCH($D300,Sensors_MANU!$B$2:$B$4692,0)),INDEX(Sensors_MANU!$D$2:$D$4692,MATCH($P300,Sensors_MANU!$A$2:$A$4692,0))),"")</f>
        <v/>
      </c>
      <c r="M300" s="27" t="n"/>
      <c r="N300" s="99">
        <f>IFERROR(INDEX(Sensors_MANU!$G$2:$G$4692,MATCH($P300,Sensors_MANU!$A$2:$A$4692,0)),)</f>
        <v/>
      </c>
      <c r="O300" s="6" t="inlineStr">
        <is>
          <t>v15</t>
        </is>
      </c>
      <c r="P300" t="n">
        <v>4978886</v>
      </c>
    </row>
    <row r="301">
      <c r="A301" s="32">
        <f>IFERROR(_xlfn.IFNA(INDEX(Sensors_MANU!$E$2:$E$4692,MATCH($D301,Sensors_MANU!$B$2:$B$4692,0)),INDEX(Sensors_MANU!$E$2:$E$4692,MATCH($P301,Sensors_MANU!$A$2:$A$4692,0))),"")</f>
        <v/>
      </c>
      <c r="B301" s="24">
        <f>IFERROR(INDEX(Companies!$A$3:$A$101,MATCH(A301,Companies!$B$3:$B$101,0)),"")</f>
        <v/>
      </c>
      <c r="C301">
        <f>IFERROR(_xlfn.IFNA(INDEX(Sensors_MANU!$F$2:$F$4692,MATCH($D301,Sensors_MANU!$B$2:$B$4692,0)),INDEX(Sensors_MANU!$F$2:$F$4692,MATCH($P301,Sensors_MANU!$A$2:$A$4692,0))),"")</f>
        <v/>
      </c>
      <c r="D301" t="inlineStr">
        <is>
          <t>F6CC13DB104D</t>
        </is>
      </c>
      <c r="E301">
        <f>LEFT(D301,2)&amp;":"&amp;MID(D301,3,2)&amp;":"&amp;MID(D301,5,2)&amp;":"&amp;MID(D301,7,2)&amp;":"&amp;MID(D301,9,2)&amp;":"&amp;RIGHT(D301,2)</f>
        <v/>
      </c>
      <c r="H301" t="inlineStr">
        <is>
          <t>FC601376C2F650F7</t>
        </is>
      </c>
      <c r="I301">
        <f>IFERROR(_xlfn.IFNA(INDEX(Sensors_MANU!$C$2:$C$4692,MATCH($D301,Sensors_MANU!$B$2:$B$4692,0)),INDEX(Sensors_MANU!$C$2:$C$4692,MATCH($P301,Sensors_MANU!$A$2:$A$4692,0))),"")</f>
        <v/>
      </c>
      <c r="J301">
        <f>IFERROR(_xlfn.IFNA(INDEX(Sensors_MANU!$D$2:$D$4692,MATCH($D301,Sensors_MANU!$B$2:$B$4692,0)),INDEX(Sensors_MANU!$D$2:$D$4692,MATCH($P301,Sensors_MANU!$A$2:$A$4692,0))),"")</f>
        <v/>
      </c>
      <c r="M301" s="27" t="n"/>
      <c r="N301" s="99">
        <f>IFERROR(INDEX(Sensors_MANU!$G$2:$G$4692,MATCH($P301,Sensors_MANU!$A$2:$A$4692,0)),)</f>
        <v/>
      </c>
      <c r="O301" s="6" t="inlineStr">
        <is>
          <t>v16</t>
        </is>
      </c>
      <c r="P301" t="n">
        <v>4978774</v>
      </c>
    </row>
    <row r="302">
      <c r="A302" s="32">
        <f>IFERROR(_xlfn.IFNA(INDEX(Sensors_MANU!$E$2:$E$4692,MATCH($D302,Sensors_MANU!$B$2:$B$4692,0)),INDEX(Sensors_MANU!$E$2:$E$4692,MATCH($P302,Sensors_MANU!$A$2:$A$4692,0))),"")</f>
        <v/>
      </c>
      <c r="B302" s="24">
        <f>IFERROR(INDEX(Companies!$A$3:$A$101,MATCH(A302,Companies!$B$3:$B$101,0)),"")</f>
        <v/>
      </c>
      <c r="C302">
        <f>IFERROR(_xlfn.IFNA(INDEX(Sensors_MANU!$F$2:$F$4692,MATCH($D302,Sensors_MANU!$B$2:$B$4692,0)),INDEX(Sensors_MANU!$F$2:$F$4692,MATCH($P302,Sensors_MANU!$A$2:$A$4692,0))),"")</f>
        <v/>
      </c>
      <c r="D302" t="inlineStr">
        <is>
          <t>E9A0A027EBA6</t>
        </is>
      </c>
      <c r="E302">
        <f>LEFT(D302,2)&amp;":"&amp;MID(D302,3,2)&amp;":"&amp;MID(D302,5,2)&amp;":"&amp;MID(D302,7,2)&amp;":"&amp;MID(D302,9,2)&amp;":"&amp;RIGHT(D302,2)</f>
        <v/>
      </c>
      <c r="F302" s="29" t="n">
        <v>44918</v>
      </c>
      <c r="G302" s="29" t="inlineStr">
        <is>
          <t>Viezo</t>
        </is>
      </c>
      <c r="H302" t="inlineStr">
        <is>
          <t>22B283CDA9E97EE4</t>
        </is>
      </c>
      <c r="I302">
        <f>IFERROR(_xlfn.IFNA(INDEX(Sensors_MANU!$C$2:$C$4692,MATCH($D302,Sensors_MANU!$B$2:$B$4692,0)),INDEX(Sensors_MANU!$C$2:$C$4692,MATCH($P302,Sensors_MANU!$A$2:$A$4692,0))),"")</f>
        <v/>
      </c>
      <c r="J302">
        <f>IFERROR(_xlfn.IFNA(INDEX(Sensors_MANU!$D$2:$D$4692,MATCH($D302,Sensors_MANU!$B$2:$B$4692,0)),INDEX(Sensors_MANU!$D$2:$D$4692,MATCH($P302,Sensors_MANU!$A$2:$A$4692,0))),"")</f>
        <v/>
      </c>
      <c r="K302" s="27" t="inlineStr">
        <is>
          <t>33854668206-7</t>
        </is>
      </c>
      <c r="L302" s="27" t="inlineStr">
        <is>
          <t>3L</t>
        </is>
      </c>
      <c r="M302" s="27" t="n"/>
      <c r="N302" s="99">
        <f>IFERROR(INDEX(Sensors_MANU!$G$2:$G$4692,MATCH($P302,Sensors_MANU!$A$2:$A$4692,0)),)</f>
        <v/>
      </c>
      <c r="O302" s="6" t="inlineStr">
        <is>
          <t>v16</t>
        </is>
      </c>
      <c r="P302" t="n">
        <v>4978825</v>
      </c>
    </row>
    <row r="303">
      <c r="A303" s="32">
        <f>IFERROR(_xlfn.IFNA(INDEX(Sensors_MANU!$E$2:$E$4692,MATCH($D303,Sensors_MANU!$B$2:$B$4692,0)),INDEX(Sensors_MANU!$E$2:$E$4692,MATCH($P303,Sensors_MANU!$A$2:$A$4692,0))),"")</f>
        <v/>
      </c>
      <c r="B303" s="24">
        <f>IFERROR(INDEX(Companies!$A$3:$A$101,MATCH(A303,Companies!$B$3:$B$101,0)),"")</f>
        <v/>
      </c>
      <c r="C303">
        <f>IFERROR(_xlfn.IFNA(INDEX(Sensors_MANU!$F$2:$F$4692,MATCH($D303,Sensors_MANU!$B$2:$B$4692,0)),INDEX(Sensors_MANU!$F$2:$F$4692,MATCH($P303,Sensors_MANU!$A$2:$A$4692,0))),"")</f>
        <v/>
      </c>
      <c r="D303" t="inlineStr">
        <is>
          <t>C39D79279673</t>
        </is>
      </c>
      <c r="E303">
        <f>LEFT(D303,2)&amp;":"&amp;MID(D303,3,2)&amp;":"&amp;MID(D303,5,2)&amp;":"&amp;MID(D303,7,2)&amp;":"&amp;MID(D303,9,2)&amp;":"&amp;RIGHT(D303,2)</f>
        <v/>
      </c>
      <c r="F303" s="29" t="n">
        <v>44910</v>
      </c>
      <c r="G303" s="29" t="inlineStr">
        <is>
          <t>Viezo</t>
        </is>
      </c>
      <c r="H303" t="inlineStr">
        <is>
          <t>94C5FDCFCDF4E0D9</t>
        </is>
      </c>
      <c r="I303">
        <f>IFERROR(_xlfn.IFNA(INDEX(Sensors_MANU!$C$2:$C$4692,MATCH($D303,Sensors_MANU!$B$2:$B$4692,0)),INDEX(Sensors_MANU!$C$2:$C$4692,MATCH($P303,Sensors_MANU!$A$2:$A$4692,0))),"")</f>
        <v/>
      </c>
      <c r="J303">
        <f>IFERROR(_xlfn.IFNA(INDEX(Sensors_MANU!$D$2:$D$4692,MATCH($D303,Sensors_MANU!$B$2:$B$4692,0)),INDEX(Sensors_MANU!$D$2:$D$4692,MATCH($P303,Sensors_MANU!$A$2:$A$4692,0))),"")</f>
        <v/>
      </c>
      <c r="K303" s="27" t="inlineStr">
        <is>
          <t>31833919338-1</t>
        </is>
      </c>
      <c r="L303" s="27" t="inlineStr">
        <is>
          <t>2R</t>
        </is>
      </c>
      <c r="M303" s="27" t="n"/>
      <c r="N303" s="99">
        <f>IFERROR(INDEX(Sensors_MANU!$G$2:$G$4692,MATCH($P303,Sensors_MANU!$A$2:$A$4692,0)),)</f>
        <v/>
      </c>
      <c r="O303" s="6" t="inlineStr">
        <is>
          <t>v16</t>
        </is>
      </c>
      <c r="P303" t="n">
        <v>4978790</v>
      </c>
    </row>
    <row r="304">
      <c r="A304" s="32">
        <f>IFERROR(_xlfn.IFNA(INDEX(Sensors_MANU!$E$2:$E$4692,MATCH($D304,Sensors_MANU!$B$2:$B$4692,0)),INDEX(Sensors_MANU!$E$2:$E$4692,MATCH($P304,Sensors_MANU!$A$2:$A$4692,0))),"")</f>
        <v/>
      </c>
      <c r="B304" s="24">
        <f>IFERROR(INDEX(Companies!$A$3:$A$101,MATCH(A304,Companies!$B$3:$B$101,0)),"")</f>
        <v/>
      </c>
      <c r="C304" t="inlineStr">
        <is>
          <t>cargo</t>
        </is>
      </c>
      <c r="D304" t="inlineStr">
        <is>
          <t>F4F7147342C1</t>
        </is>
      </c>
      <c r="E304">
        <f>LEFT(D304,2)&amp;":"&amp;MID(D304,3,2)&amp;":"&amp;MID(D304,5,2)&amp;":"&amp;MID(D304,7,2)&amp;":"&amp;MID(D304,9,2)&amp;":"&amp;RIGHT(D304,2)</f>
        <v/>
      </c>
      <c r="H304" t="inlineStr">
        <is>
          <t>248C7EAEFBC07FFD</t>
        </is>
      </c>
      <c r="I304">
        <f>IFERROR(_xlfn.IFNA(INDEX(Sensors_MANU!$C$2:$C$4692,MATCH($D304,Sensors_MANU!$B$2:$B$4692,0)),INDEX(Sensors_MANU!$C$2:$C$4692,MATCH($P304,Sensors_MANU!$A$2:$A$4692,0))),"")</f>
        <v/>
      </c>
      <c r="J304">
        <f>IFERROR(_xlfn.IFNA(INDEX(Sensors_MANU!$D$2:$D$4692,MATCH($D304,Sensors_MANU!$B$2:$B$4692,0)),INDEX(Sensors_MANU!$D$2:$D$4692,MATCH($P304,Sensors_MANU!$A$2:$A$4692,0))),"")</f>
        <v/>
      </c>
      <c r="M304" s="27" t="n"/>
      <c r="N304" s="99">
        <f>IFERROR(INDEX(Sensors_MANU!$G$2:$G$4692,MATCH($P304,Sensors_MANU!$A$2:$A$4692,0)),)</f>
        <v/>
      </c>
      <c r="O304" s="6" t="inlineStr">
        <is>
          <t>v15</t>
        </is>
      </c>
      <c r="P304" t="n">
        <v>4978624</v>
      </c>
    </row>
    <row r="305">
      <c r="A305" s="32">
        <f>IFERROR(_xlfn.IFNA(INDEX(Sensors_MANU!$E$2:$E$4692,MATCH($D305,Sensors_MANU!$B$2:$B$4692,0)),INDEX(Sensors_MANU!$E$2:$E$4692,MATCH($P305,Sensors_MANU!$A$2:$A$4692,0))),"")</f>
        <v/>
      </c>
      <c r="B305" s="24">
        <f>IFERROR(INDEX(Companies!$A$3:$A$101,MATCH(A305,Companies!$B$3:$B$101,0)),"")</f>
        <v/>
      </c>
      <c r="C305">
        <f>IFERROR(_xlfn.IFNA(INDEX(Sensors_MANU!$F$2:$F$4692,MATCH($D305,Sensors_MANU!$B$2:$B$4692,0)),INDEX(Sensors_MANU!$F$2:$F$4692,MATCH($P305,Sensors_MANU!$A$2:$A$4692,0))),"")</f>
        <v/>
      </c>
      <c r="D305" t="inlineStr">
        <is>
          <t>FEE1AEFABDD6</t>
        </is>
      </c>
      <c r="E305">
        <f>LEFT(D305,2)&amp;":"&amp;MID(D305,3,2)&amp;":"&amp;MID(D305,5,2)&amp;":"&amp;MID(D305,7,2)&amp;":"&amp;MID(D305,9,2)&amp;":"&amp;RIGHT(D305,2)</f>
        <v/>
      </c>
      <c r="H305" t="inlineStr">
        <is>
          <t>3EEE2A6C5BF41232</t>
        </is>
      </c>
      <c r="I305">
        <f>IFERROR(_xlfn.IFNA(INDEX(Sensors_MANU!$C$2:$C$4692,MATCH($D305,Sensors_MANU!$B$2:$B$4692,0)),INDEX(Sensors_MANU!$C$2:$C$4692,MATCH($P305,Sensors_MANU!$A$2:$A$4692,0))),"")</f>
        <v/>
      </c>
      <c r="J305">
        <f>IFERROR(_xlfn.IFNA(INDEX(Sensors_MANU!$D$2:$D$4692,MATCH($D305,Sensors_MANU!$B$2:$B$4692,0)),INDEX(Sensors_MANU!$D$2:$D$4692,MATCH($P305,Sensors_MANU!$A$2:$A$4692,0))),"")</f>
        <v/>
      </c>
      <c r="M305" s="27" t="n"/>
      <c r="N305" s="99">
        <f>IFERROR(INDEX(Sensors_MANU!$G$2:$G$4692,MATCH($P305,Sensors_MANU!$A$2:$A$4692,0)),)</f>
        <v/>
      </c>
      <c r="O305" s="6" t="inlineStr">
        <is>
          <t>v16</t>
        </is>
      </c>
      <c r="P305" t="n">
        <v>4978835</v>
      </c>
    </row>
    <row r="306">
      <c r="A306" s="32">
        <f>IFERROR(_xlfn.IFNA(INDEX(Sensors_MANU!$E$2:$E$4692,MATCH($D306,Sensors_MANU!$B$2:$B$4692,0)),INDEX(Sensors_MANU!$E$2:$E$4692,MATCH($P306,Sensors_MANU!$A$2:$A$4692,0))),"")</f>
        <v/>
      </c>
      <c r="B306" s="24">
        <f>IFERROR(INDEX(Companies!$A$3:$A$101,MATCH(A306,Companies!$B$3:$B$101,0)),"")</f>
        <v/>
      </c>
      <c r="D306" t="inlineStr">
        <is>
          <t>EE9604A72CC8</t>
        </is>
      </c>
      <c r="E306">
        <f>LEFT(D306,2)&amp;":"&amp;MID(D306,3,2)&amp;":"&amp;MID(D306,5,2)&amp;":"&amp;MID(D306,7,2)&amp;":"&amp;MID(D306,9,2)&amp;":"&amp;RIGHT(D306,2)</f>
        <v/>
      </c>
      <c r="F306" s="29" t="n">
        <v>44953</v>
      </c>
      <c r="G306" s="29" t="inlineStr">
        <is>
          <t>Fertagus</t>
        </is>
      </c>
      <c r="H306" t="inlineStr">
        <is>
          <t>E2FDD527ED8DF602</t>
        </is>
      </c>
      <c r="I306">
        <f>IFERROR(_xlfn.IFNA(INDEX(Sensors_MANU!$C$2:$C$4692,MATCH($D306,Sensors_MANU!$B$2:$B$4692,0)),INDEX(Sensors_MANU!$C$2:$C$4692,MATCH($P306,Sensors_MANU!$A$2:$A$4692,0))),"")</f>
        <v/>
      </c>
      <c r="J306">
        <f>IFERROR(_xlfn.IFNA(INDEX(Sensors_MANU!$D$2:$D$4692,MATCH($D306,Sensors_MANU!$B$2:$B$4692,0)),INDEX(Sensors_MANU!$D$2:$D$4692,MATCH($P306,Sensors_MANU!$A$2:$A$4692,0))),"")</f>
        <v/>
      </c>
      <c r="K306" s="27" t="inlineStr">
        <is>
          <t>M3505</t>
        </is>
      </c>
      <c r="L306" s="27" t="inlineStr">
        <is>
          <t>1L</t>
        </is>
      </c>
    </row>
    <row r="307">
      <c r="A307" s="32">
        <f>IFERROR(_xlfn.IFNA(INDEX(Sensors_MANU!$E$2:$E$4692,MATCH($D307,Sensors_MANU!$B$2:$B$4692,0)),INDEX(Sensors_MANU!$E$2:$E$4692,MATCH($P307,Sensors_MANU!$A$2:$A$4692,0))),"")</f>
        <v/>
      </c>
      <c r="B307" s="24">
        <f>IFERROR(INDEX(Companies!$A$3:$A$101,MATCH(A307,Companies!$B$3:$B$101,0)),"")</f>
        <v/>
      </c>
      <c r="C307">
        <f>IFERROR(_xlfn.IFNA(INDEX(Sensors_MANU!$F$2:$F$4692,MATCH($D307,Sensors_MANU!$B$2:$B$4692,0)),INDEX(Sensors_MANU!$F$2:$F$4692,MATCH($P307,Sensors_MANU!$A$2:$A$4692,0))),"")</f>
        <v/>
      </c>
      <c r="D307" t="inlineStr">
        <is>
          <t>CEAE4FA6BFD1</t>
        </is>
      </c>
      <c r="E307">
        <f>LEFT(D307,2)&amp;":"&amp;MID(D307,3,2)&amp;":"&amp;MID(D307,5,2)&amp;":"&amp;MID(D307,7,2)&amp;":"&amp;MID(D307,9,2)&amp;":"&amp;RIGHT(D307,2)</f>
        <v/>
      </c>
      <c r="F307" s="29" t="n">
        <v>44918</v>
      </c>
      <c r="G307" s="29" t="inlineStr">
        <is>
          <t>Viezo</t>
        </is>
      </c>
      <c r="H307" t="inlineStr">
        <is>
          <t>28256F0730343977</t>
        </is>
      </c>
      <c r="I307">
        <f>IFERROR(_xlfn.IFNA(INDEX(Sensors_MANU!$C$2:$C$4692,MATCH($D307,Sensors_MANU!$B$2:$B$4692,0)),INDEX(Sensors_MANU!$C$2:$C$4692,MATCH($P307,Sensors_MANU!$A$2:$A$4692,0))),"")</f>
        <v/>
      </c>
      <c r="J307">
        <f>IFERROR(_xlfn.IFNA(INDEX(Sensors_MANU!$D$2:$D$4692,MATCH($D307,Sensors_MANU!$B$2:$B$4692,0)),INDEX(Sensors_MANU!$D$2:$D$4692,MATCH($P307,Sensors_MANU!$A$2:$A$4692,0))),"")</f>
        <v/>
      </c>
      <c r="K307" s="27" t="inlineStr">
        <is>
          <t>33854668206-7</t>
        </is>
      </c>
      <c r="L307" s="27" t="inlineStr">
        <is>
          <t>4R</t>
        </is>
      </c>
      <c r="M307" s="27" t="n"/>
      <c r="N307" s="99">
        <f>IFERROR(INDEX(Sensors_MANU!$G$2:$G$4692,MATCH($P307,Sensors_MANU!$A$2:$A$4692,0)),)</f>
        <v/>
      </c>
      <c r="O307" s="6" t="inlineStr">
        <is>
          <t>v16</t>
        </is>
      </c>
      <c r="P307" t="n">
        <v>4978639</v>
      </c>
    </row>
    <row r="308">
      <c r="A308" s="32">
        <f>IFERROR(_xlfn.IFNA(INDEX(Sensors_MANU!$E$2:$E$4692,MATCH($D308,Sensors_MANU!$B$2:$B$4692,0)),INDEX(Sensors_MANU!$E$2:$E$4692,MATCH($P308,Sensors_MANU!$A$2:$A$4692,0))),"")</f>
        <v/>
      </c>
      <c r="B308" s="24">
        <f>IFERROR(INDEX(Companies!$A$3:$A$101,MATCH(A308,Companies!$B$3:$B$101,0)),"")</f>
        <v/>
      </c>
      <c r="C308" t="inlineStr">
        <is>
          <t>cargo</t>
        </is>
      </c>
      <c r="D308" t="inlineStr">
        <is>
          <t>D3D9E4552F0F</t>
        </is>
      </c>
      <c r="E308">
        <f>LEFT(D308,2)&amp;":"&amp;MID(D308,3,2)&amp;":"&amp;MID(D308,5,2)&amp;":"&amp;MID(D308,7,2)&amp;":"&amp;MID(D308,9,2)&amp;":"&amp;RIGHT(D308,2)</f>
        <v/>
      </c>
      <c r="H308" t="inlineStr">
        <is>
          <t>5AB9EC357A4B347C</t>
        </is>
      </c>
      <c r="I308">
        <f>IFERROR(_xlfn.IFNA(INDEX(Sensors_MANU!$C$2:$C$4692,MATCH($D308,Sensors_MANU!$B$2:$B$4692,0)),INDEX(Sensors_MANU!$C$2:$C$4692,MATCH($P308,Sensors_MANU!$A$2:$A$4692,0))),"")</f>
        <v/>
      </c>
      <c r="J308">
        <f>IFERROR(_xlfn.IFNA(INDEX(Sensors_MANU!$D$2:$D$4692,MATCH($D308,Sensors_MANU!$B$2:$B$4692,0)),INDEX(Sensors_MANU!$D$2:$D$4692,MATCH($P308,Sensors_MANU!$A$2:$A$4692,0))),"")</f>
        <v/>
      </c>
      <c r="M308" s="27" t="n"/>
      <c r="N308" s="99">
        <f>IFERROR(INDEX(Sensors_MANU!$G$2:$G$4692,MATCH($P308,Sensors_MANU!$A$2:$A$4692,0)),)</f>
        <v/>
      </c>
      <c r="O308" s="6" t="inlineStr">
        <is>
          <t>v15</t>
        </is>
      </c>
      <c r="P308" t="n">
        <v>4978625</v>
      </c>
    </row>
    <row r="309">
      <c r="A309" s="32">
        <f>IFERROR(_xlfn.IFNA(INDEX(Sensors_MANU!$E$2:$E$4692,MATCH($D309,Sensors_MANU!$B$2:$B$4692,0)),INDEX(Sensors_MANU!$E$2:$E$4692,MATCH($P309,Sensors_MANU!$A$2:$A$4692,0))),"")</f>
        <v/>
      </c>
      <c r="B309" s="24">
        <f>IFERROR(INDEX(Companies!$A$3:$A$101,MATCH(A309,Companies!$B$3:$B$101,0)),"")</f>
        <v/>
      </c>
      <c r="C309" t="inlineStr">
        <is>
          <t>cargo</t>
        </is>
      </c>
      <c r="D309" t="inlineStr">
        <is>
          <t>C160A94D9FCE</t>
        </is>
      </c>
      <c r="E309">
        <f>LEFT(D309,2)&amp;":"&amp;MID(D309,3,2)&amp;":"&amp;MID(D309,5,2)&amp;":"&amp;MID(D309,7,2)&amp;":"&amp;MID(D309,9,2)&amp;":"&amp;RIGHT(D309,2)</f>
        <v/>
      </c>
      <c r="H309" t="inlineStr">
        <is>
          <t>10EC159E09357884</t>
        </is>
      </c>
      <c r="I309">
        <f>IFERROR(_xlfn.IFNA(INDEX(Sensors_MANU!$C$2:$C$4692,MATCH($D309,Sensors_MANU!$B$2:$B$4692,0)),INDEX(Sensors_MANU!$C$2:$C$4692,MATCH($P309,Sensors_MANU!$A$2:$A$4692,0))),"")</f>
        <v/>
      </c>
      <c r="J309">
        <f>IFERROR(_xlfn.IFNA(INDEX(Sensors_MANU!$D$2:$D$4692,MATCH($D309,Sensors_MANU!$B$2:$B$4692,0)),INDEX(Sensors_MANU!$D$2:$D$4692,MATCH($P309,Sensors_MANU!$A$2:$A$4692,0))),"")</f>
        <v/>
      </c>
      <c r="M309" s="27" t="n"/>
      <c r="N309" s="99">
        <f>IFERROR(INDEX(Sensors_MANU!$G$2:$G$4692,MATCH($P309,Sensors_MANU!$A$2:$A$4692,0)),)</f>
        <v/>
      </c>
      <c r="O309" s="6" t="inlineStr">
        <is>
          <t>v15</t>
        </is>
      </c>
      <c r="P309" t="n">
        <v>4978640</v>
      </c>
    </row>
    <row r="310">
      <c r="A310" s="32">
        <f>IFERROR(_xlfn.IFNA(INDEX(Sensors_MANU!$E$2:$E$4692,MATCH($D310,Sensors_MANU!$B$2:$B$4692,0)),INDEX(Sensors_MANU!$E$2:$E$4692,MATCH($P310,Sensors_MANU!$A$2:$A$4692,0))),"")</f>
        <v/>
      </c>
      <c r="B310" s="24">
        <f>IFERROR(INDEX(Companies!$A$3:$A$101,MATCH(A310,Companies!$B$3:$B$101,0)),"")</f>
        <v/>
      </c>
      <c r="C310">
        <f>IFERROR(_xlfn.IFNA(INDEX(Sensors_MANU!$F$2:$F$4692,MATCH($D310,Sensors_MANU!$B$2:$B$4692,0)),INDEX(Sensors_MANU!$F$2:$F$4692,MATCH($P310,Sensors_MANU!$A$2:$A$4692,0))),"")</f>
        <v/>
      </c>
      <c r="D310" t="inlineStr">
        <is>
          <t>F71869CC4007</t>
        </is>
      </c>
      <c r="E310">
        <f>LEFT(D310,2)&amp;":"&amp;MID(D310,3,2)&amp;":"&amp;MID(D310,5,2)&amp;":"&amp;MID(D310,7,2)&amp;":"&amp;MID(D310,9,2)&amp;":"&amp;RIGHT(D310,2)</f>
        <v/>
      </c>
      <c r="H310" t="inlineStr">
        <is>
          <t>1054B530A465AD5F</t>
        </is>
      </c>
      <c r="I310">
        <f>IFERROR(_xlfn.IFNA(INDEX(Sensors_MANU!$C$2:$C$4692,MATCH($D310,Sensors_MANU!$B$2:$B$4692,0)),INDEX(Sensors_MANU!$C$2:$C$4692,MATCH($P310,Sensors_MANU!$A$2:$A$4692,0))),"")</f>
        <v/>
      </c>
      <c r="J310">
        <f>IFERROR(_xlfn.IFNA(INDEX(Sensors_MANU!$D$2:$D$4692,MATCH($D310,Sensors_MANU!$B$2:$B$4692,0)),INDEX(Sensors_MANU!$D$2:$D$4692,MATCH($P310,Sensors_MANU!$A$2:$A$4692,0))),"")</f>
        <v/>
      </c>
      <c r="M310" s="27" t="n"/>
      <c r="N310" s="99">
        <f>IFERROR(INDEX(Sensors_MANU!$G$2:$G$4692,MATCH($P310,Sensors_MANU!$A$2:$A$4692,0)),)</f>
        <v/>
      </c>
      <c r="O310" s="6" t="inlineStr">
        <is>
          <t>v16</t>
        </is>
      </c>
      <c r="P310" t="n">
        <v>4978671</v>
      </c>
    </row>
    <row r="311">
      <c r="A311" s="32">
        <f>IFERROR(_xlfn.IFNA(INDEX(Sensors_MANU!$E$2:$E$4692,MATCH($D311,Sensors_MANU!$B$2:$B$4692,0)),INDEX(Sensors_MANU!$E$2:$E$4692,MATCH($P311,Sensors_MANU!$A$2:$A$4692,0))),"")</f>
        <v/>
      </c>
      <c r="B311" s="24">
        <f>IFERROR(INDEX(Companies!$A$3:$A$101,MATCH(A311,Companies!$B$3:$B$101,0)),"")</f>
        <v/>
      </c>
      <c r="C311">
        <f>IFERROR(_xlfn.IFNA(INDEX(Sensors_MANU!$F$2:$F$4692,MATCH($D311,Sensors_MANU!$B$2:$B$4692,0)),INDEX(Sensors_MANU!$F$2:$F$4692,MATCH($P311,Sensors_MANU!$A$2:$A$4692,0))),"")</f>
        <v/>
      </c>
      <c r="D311" t="inlineStr">
        <is>
          <t>F527EBFDA978</t>
        </is>
      </c>
      <c r="E311">
        <f>LEFT(D311,2)&amp;":"&amp;MID(D311,3,2)&amp;":"&amp;MID(D311,5,2)&amp;":"&amp;MID(D311,7,2)&amp;":"&amp;MID(D311,9,2)&amp;":"&amp;RIGHT(D311,2)</f>
        <v/>
      </c>
      <c r="F311" s="29" t="n">
        <v>44918</v>
      </c>
      <c r="G311" s="29" t="inlineStr">
        <is>
          <t>Hupac</t>
        </is>
      </c>
      <c r="H311" t="inlineStr">
        <is>
          <t>37C2089E6BD91446</t>
        </is>
      </c>
      <c r="I311">
        <f>IFERROR(_xlfn.IFNA(INDEX(Sensors_MANU!$C$2:$C$4692,MATCH($D311,Sensors_MANU!$B$2:$B$4692,0)),INDEX(Sensors_MANU!$C$2:$C$4692,MATCH($P311,Sensors_MANU!$A$2:$A$4692,0))),"")</f>
        <v/>
      </c>
      <c r="J311">
        <f>IFERROR(_xlfn.IFNA(INDEX(Sensors_MANU!$D$2:$D$4692,MATCH($D311,Sensors_MANU!$B$2:$B$4692,0)),INDEX(Sensors_MANU!$D$2:$D$4692,MATCH($P311,Sensors_MANU!$A$2:$A$4692,0))),"")</f>
        <v/>
      </c>
      <c r="K311" s="27" t="inlineStr">
        <is>
          <t>33854556814-3</t>
        </is>
      </c>
      <c r="L311" s="27" t="inlineStr">
        <is>
          <t>7a</t>
        </is>
      </c>
      <c r="M311" s="61" t="inlineStr">
        <is>
          <t>88160379</t>
        </is>
      </c>
    </row>
    <row r="312">
      <c r="A312" s="32">
        <f>IFERROR(_xlfn.IFNA(INDEX(Sensors_MANU!$E$2:$E$4692,MATCH($D312,Sensors_MANU!$B$2:$B$4692,0)),INDEX(Sensors_MANU!$E$2:$E$4692,MATCH($P312,Sensors_MANU!$A$2:$A$4692,0))),"")</f>
        <v/>
      </c>
      <c r="B312" s="24">
        <f>IFERROR(INDEX(Companies!$A$3:$A$101,MATCH(A312,Companies!$B$3:$B$101,0)),"")</f>
        <v/>
      </c>
      <c r="C312">
        <f>IFERROR(_xlfn.IFNA(INDEX(Sensors_MANU!$F$2:$F$4692,MATCH($D312,Sensors_MANU!$B$2:$B$4692,0)),INDEX(Sensors_MANU!$F$2:$F$4692,MATCH($P312,Sensors_MANU!$A$2:$A$4692,0))),"")</f>
        <v/>
      </c>
      <c r="D312" t="inlineStr">
        <is>
          <t>DE0DD47C4894</t>
        </is>
      </c>
      <c r="E312">
        <f>LEFT(D312,2)&amp;":"&amp;MID(D312,3,2)&amp;":"&amp;MID(D312,5,2)&amp;":"&amp;MID(D312,7,2)&amp;":"&amp;MID(D312,9,2)&amp;":"&amp;RIGHT(D312,2)</f>
        <v/>
      </c>
      <c r="H312" t="inlineStr">
        <is>
          <t>338BD195625BEFE7</t>
        </is>
      </c>
      <c r="I312">
        <f>IFERROR(_xlfn.IFNA(INDEX(Sensors_MANU!$C$2:$C$4692,MATCH($D312,Sensors_MANU!$B$2:$B$4692,0)),INDEX(Sensors_MANU!$C$2:$C$4692,MATCH($P312,Sensors_MANU!$A$2:$A$4692,0))),"")</f>
        <v/>
      </c>
      <c r="J312">
        <f>IFERROR(_xlfn.IFNA(INDEX(Sensors_MANU!$D$2:$D$4692,MATCH($D312,Sensors_MANU!$B$2:$B$4692,0)),INDEX(Sensors_MANU!$D$2:$D$4692,MATCH($P312,Sensors_MANU!$A$2:$A$4692,0))),"")</f>
        <v/>
      </c>
      <c r="M312" s="27" t="n"/>
      <c r="N312" s="99">
        <f>IFERROR(INDEX(Sensors_MANU!$G$2:$G$4692,MATCH($P312,Sensors_MANU!$A$2:$A$4692,0)),)</f>
        <v/>
      </c>
      <c r="O312" s="6" t="inlineStr">
        <is>
          <t>v16</t>
        </is>
      </c>
      <c r="P312" t="n">
        <v>4978628</v>
      </c>
    </row>
    <row r="313">
      <c r="A313" s="32">
        <f>IFERROR(_xlfn.IFNA(INDEX(Sensors_MANU!$E$2:$E$4692,MATCH($D313,Sensors_MANU!$B$2:$B$4692,0)),INDEX(Sensors_MANU!$E$2:$E$4692,MATCH($P313,Sensors_MANU!$A$2:$A$4692,0))),"")</f>
        <v/>
      </c>
      <c r="B313" s="24">
        <f>IFERROR(INDEX(Companies!$A$3:$A$101,MATCH(A313,Companies!$B$3:$B$101,0)),"")</f>
        <v/>
      </c>
      <c r="C313" t="inlineStr">
        <is>
          <t>cargo</t>
        </is>
      </c>
      <c r="D313" t="inlineStr">
        <is>
          <t>F7929B120555</t>
        </is>
      </c>
      <c r="E313">
        <f>LEFT(D313,2)&amp;":"&amp;MID(D313,3,2)&amp;":"&amp;MID(D313,5,2)&amp;":"&amp;MID(D313,7,2)&amp;":"&amp;MID(D313,9,2)&amp;":"&amp;RIGHT(D313,2)</f>
        <v/>
      </c>
      <c r="H313" t="inlineStr">
        <is>
          <t>5BDAC7D72B148776</t>
        </is>
      </c>
      <c r="I313" s="6">
        <f>IFERROR(_xlfn.IFNA(INDEX(Sensors_MANU!$C$2:$C$4692,MATCH($D313,Sensors_MANU!$B$2:$B$4692,0)),INDEX(Sensors_MANU!$C$2:$C$4692,MATCH($P313,Sensors_MANU!$A$2:$A$4692,0))),"")</f>
        <v/>
      </c>
      <c r="J313" s="9" t="inlineStr">
        <is>
          <t>PR-2203-039</t>
        </is>
      </c>
      <c r="K313" s="32" t="n"/>
      <c r="M313" s="27" t="n"/>
      <c r="N313" s="99">
        <f>IFERROR(INDEX(Sensors_MANU!$G$2:$G$4692,MATCH($P313,Sensors_MANU!$A$2:$A$4692,0)),)</f>
        <v/>
      </c>
      <c r="O313" s="6" t="inlineStr">
        <is>
          <t>v15</t>
        </is>
      </c>
      <c r="P313" t="n">
        <v>4978557</v>
      </c>
    </row>
    <row r="314">
      <c r="A314" s="32">
        <f>IFERROR(_xlfn.IFNA(INDEX(Sensors_MANU!$E$2:$E$4692,MATCH($D314,Sensors_MANU!$B$2:$B$4692,0)),INDEX(Sensors_MANU!$E$2:$E$4692,MATCH($P314,Sensors_MANU!$A$2:$A$4692,0))),"")</f>
        <v/>
      </c>
      <c r="B314" s="24">
        <f>IFERROR(INDEX(Companies!$A$3:$A$101,MATCH(A314,Companies!$B$3:$B$101,0)),"")</f>
        <v/>
      </c>
      <c r="C314">
        <f>IFERROR(_xlfn.IFNA(INDEX(Sensors_MANU!$F$2:$F$4692,MATCH($D314,Sensors_MANU!$B$2:$B$4692,0)),INDEX(Sensors_MANU!$F$2:$F$4692,MATCH($P314,Sensors_MANU!$A$2:$A$4692,0))),"")</f>
        <v/>
      </c>
      <c r="D314" t="inlineStr">
        <is>
          <t>C846A7B9C5CB</t>
        </is>
      </c>
      <c r="E314">
        <f>LEFT(D314,2)&amp;":"&amp;MID(D314,3,2)&amp;":"&amp;MID(D314,5,2)&amp;":"&amp;MID(D314,7,2)&amp;":"&amp;MID(D314,9,2)&amp;":"&amp;RIGHT(D314,2)</f>
        <v/>
      </c>
      <c r="H314" t="inlineStr">
        <is>
          <t>EBC165730F8BF9EB</t>
        </is>
      </c>
      <c r="I314">
        <f>IFERROR(_xlfn.IFNA(INDEX(Sensors_MANU!$C$2:$C$4692,MATCH($D314,Sensors_MANU!$B$2:$B$4692,0)),INDEX(Sensors_MANU!$C$2:$C$4692,MATCH($P314,Sensors_MANU!$A$2:$A$4692,0))),"")</f>
        <v/>
      </c>
      <c r="J314">
        <f>IFERROR(_xlfn.IFNA(INDEX(Sensors_MANU!$D$2:$D$4692,MATCH($D314,Sensors_MANU!$B$2:$B$4692,0)),INDEX(Sensors_MANU!$D$2:$D$4692,MATCH($P314,Sensors_MANU!$A$2:$A$4692,0))),"")</f>
        <v/>
      </c>
      <c r="K314" s="32" t="n"/>
      <c r="L314" s="32" t="n"/>
      <c r="M314" s="32" t="n"/>
      <c r="O314" s="6" t="inlineStr">
        <is>
          <t>v15</t>
        </is>
      </c>
      <c r="P314" t="n">
        <v>4978443</v>
      </c>
    </row>
    <row r="315">
      <c r="A315" s="32">
        <f>IFERROR(_xlfn.IFNA(INDEX(Sensors_MANU!$E$2:$E$4692,MATCH($D315,Sensors_MANU!$B$2:$B$4692,0)),INDEX(Sensors_MANU!$E$2:$E$4692,MATCH($P315,Sensors_MANU!$A$2:$A$4692,0))),"")</f>
        <v/>
      </c>
      <c r="B315" s="24">
        <f>IFERROR(INDEX(Companies!$A$3:$A$101,MATCH(A315,Companies!$B$3:$B$101,0)),"")</f>
        <v/>
      </c>
      <c r="C315">
        <f>IFERROR(_xlfn.IFNA(INDEX(Sensors_MANU!$F$2:$F$4692,MATCH($D315,Sensors_MANU!$B$2:$B$4692,0)),INDEX(Sensors_MANU!$F$2:$F$4692,MATCH($P315,Sensors_MANU!$A$2:$A$4692,0))),"")</f>
        <v/>
      </c>
      <c r="D315" s="25" t="inlineStr">
        <is>
          <t>FC558F8DA4E6</t>
        </is>
      </c>
      <c r="E315" s="24">
        <f>LEFT(D315,2)&amp;":"&amp;MID(D315,3,2)&amp;":"&amp;MID(D315,5,2)&amp;":"&amp;MID(D315,7,2)&amp;":"&amp;MID(D315,9,2)&amp;":"&amp;RIGHT(D315,2)</f>
        <v/>
      </c>
      <c r="F315" s="29" t="n">
        <v>44910</v>
      </c>
      <c r="G315" s="29" t="inlineStr">
        <is>
          <t>Viezo</t>
        </is>
      </c>
      <c r="H315" t="inlineStr">
        <is>
          <t>BB7E8825F545E6F3</t>
        </is>
      </c>
      <c r="I315">
        <f>IFERROR(_xlfn.IFNA(INDEX(Sensors_MANU!$C$2:$C$4692,MATCH($D315,Sensors_MANU!$B$2:$B$4692,0)),INDEX(Sensors_MANU!$C$2:$C$4692,MATCH($P315,Sensors_MANU!$A$2:$A$4692,0))),"")</f>
        <v/>
      </c>
      <c r="J315">
        <f>IFERROR(_xlfn.IFNA(INDEX(Sensors_MANU!$D$2:$D$4692,MATCH($D315,Sensors_MANU!$B$2:$B$4692,0)),INDEX(Sensors_MANU!$D$2:$D$4692,MATCH($P315,Sensors_MANU!$A$2:$A$4692,0))),"")</f>
        <v/>
      </c>
      <c r="K315" s="27" t="inlineStr">
        <is>
          <t>31833916514-0</t>
        </is>
      </c>
      <c r="L315" s="27" t="inlineStr">
        <is>
          <t>2R</t>
        </is>
      </c>
      <c r="O315" s="6" t="inlineStr">
        <is>
          <t>V23</t>
        </is>
      </c>
    </row>
    <row r="316">
      <c r="A316" s="32">
        <f>IFERROR(_xlfn.IFNA(INDEX(Sensors_MANU!$E$2:$E$4692,MATCH($D316,Sensors_MANU!$B$2:$B$4692,0)),INDEX(Sensors_MANU!$E$2:$E$4692,MATCH($P316,Sensors_MANU!$A$2:$A$4692,0))),"")</f>
        <v/>
      </c>
      <c r="B316" s="24">
        <f>IFERROR(INDEX(Companies!$A$3:$A$101,MATCH(A316,Companies!$B$3:$B$101,0)),"")</f>
        <v/>
      </c>
      <c r="C316" t="inlineStr">
        <is>
          <t>cargo</t>
        </is>
      </c>
      <c r="D316" t="inlineStr">
        <is>
          <t>EE22EFB51A9D</t>
        </is>
      </c>
      <c r="E316">
        <f>LEFT(D316,2)&amp;":"&amp;MID(D316,3,2)&amp;":"&amp;MID(D316,5,2)&amp;":"&amp;MID(D316,7,2)&amp;":"&amp;MID(D316,9,2)&amp;":"&amp;RIGHT(D316,2)</f>
        <v/>
      </c>
      <c r="H316" t="inlineStr">
        <is>
          <t>DE027F800E79A842</t>
        </is>
      </c>
      <c r="I316">
        <f>IFERROR(_xlfn.IFNA(INDEX(Sensors_MANU!$C$2:$C$4692,MATCH($D316,Sensors_MANU!$B$2:$B$4692,0)),INDEX(Sensors_MANU!$C$2:$C$4692,MATCH($P316,Sensors_MANU!$A$2:$A$4692,0))),"")</f>
        <v/>
      </c>
      <c r="J316">
        <f>IFERROR(_xlfn.IFNA(INDEX(Sensors_MANU!$D$2:$D$4692,MATCH($D316,Sensors_MANU!$B$2:$B$4692,0)),INDEX(Sensors_MANU!$D$2:$D$4692,MATCH($P316,Sensors_MANU!$A$2:$A$4692,0))),"")</f>
        <v/>
      </c>
      <c r="M316" s="27" t="n"/>
      <c r="N316" s="99">
        <f>IFERROR(INDEX(Sensors_MANU!$G$2:$G$4692,MATCH($P316,Sensors_MANU!$A$2:$A$4692,0)),)</f>
        <v/>
      </c>
      <c r="O316" s="6" t="inlineStr">
        <is>
          <t>v15</t>
        </is>
      </c>
      <c r="P316" t="n">
        <v>4978887</v>
      </c>
    </row>
    <row r="317">
      <c r="A317" s="32">
        <f>IFERROR(_xlfn.IFNA(INDEX(Sensors_MANU!$E$2:$E$4692,MATCH($D317,Sensors_MANU!$B$2:$B$4692,0)),INDEX(Sensors_MANU!$E$2:$E$4692,MATCH($P317,Sensors_MANU!$A$2:$A$4692,0))),"")</f>
        <v/>
      </c>
      <c r="B317" s="24">
        <f>IFERROR(INDEX(Companies!$A$3:$A$101,MATCH(A317,Companies!$B$3:$B$101,0)),"")</f>
        <v/>
      </c>
      <c r="C317">
        <f>IFERROR(_xlfn.IFNA(INDEX(Sensors_MANU!$F$2:$F$4692,MATCH($D317,Sensors_MANU!$B$2:$B$4692,0)),INDEX(Sensors_MANU!$F$2:$F$4692,MATCH($P317,Sensors_MANU!$A$2:$A$4692,0))),"")</f>
        <v/>
      </c>
      <c r="D317" t="inlineStr">
        <is>
          <t>D76AEA4D0603</t>
        </is>
      </c>
      <c r="E317">
        <f>LEFT(D317,2)&amp;":"&amp;MID(D317,3,2)&amp;":"&amp;MID(D317,5,2)&amp;":"&amp;MID(D317,7,2)&amp;":"&amp;MID(D317,9,2)&amp;":"&amp;RIGHT(D317,2)</f>
        <v/>
      </c>
      <c r="H317" t="inlineStr">
        <is>
          <t>6DE5A770E636EB77</t>
        </is>
      </c>
      <c r="I317">
        <f>IFERROR(_xlfn.IFNA(INDEX(Sensors_MANU!$C$2:$C$4692,MATCH($D317,Sensors_MANU!$B$2:$B$4692,0)),INDEX(Sensors_MANU!$C$2:$C$4692,MATCH($P317,Sensors_MANU!$A$2:$A$4692,0))),"")</f>
        <v/>
      </c>
      <c r="J317">
        <f>IFERROR(_xlfn.IFNA(INDEX(Sensors_MANU!$D$2:$D$4692,MATCH($D317,Sensors_MANU!$B$2:$B$4692,0)),INDEX(Sensors_MANU!$D$2:$D$4692,MATCH($P317,Sensors_MANU!$A$2:$A$4692,0))),"")</f>
        <v/>
      </c>
      <c r="K317" s="32" t="n"/>
      <c r="L317" s="32" t="n"/>
      <c r="M317" s="32" t="n"/>
      <c r="N317" s="97" t="n"/>
      <c r="O317" s="6" t="inlineStr">
        <is>
          <t>v15</t>
        </is>
      </c>
      <c r="P317" t="n">
        <v>4978436</v>
      </c>
    </row>
    <row r="318">
      <c r="A318" s="32">
        <f>IFERROR(_xlfn.IFNA(INDEX(Sensors_MANU!$E$2:$E$4692,MATCH($D318,Sensors_MANU!$B$2:$B$4692,0)),INDEX(Sensors_MANU!$E$2:$E$4692,MATCH($P318,Sensors_MANU!$A$2:$A$4692,0))),"")</f>
        <v/>
      </c>
      <c r="B318" s="24">
        <f>IFERROR(INDEX(Companies!$A$3:$A$101,MATCH(A318,Companies!$B$3:$B$101,0)),"")</f>
        <v/>
      </c>
      <c r="C318" t="inlineStr">
        <is>
          <t>cargo</t>
        </is>
      </c>
      <c r="D318" t="inlineStr">
        <is>
          <t>C46C0A4E9A95</t>
        </is>
      </c>
      <c r="E318">
        <f>LEFT(D318,2)&amp;":"&amp;MID(D318,3,2)&amp;":"&amp;MID(D318,5,2)&amp;":"&amp;MID(D318,7,2)&amp;":"&amp;MID(D318,9,2)&amp;":"&amp;RIGHT(D318,2)</f>
        <v/>
      </c>
      <c r="H318" t="inlineStr">
        <is>
          <t>96801BA73A7C3B6D</t>
        </is>
      </c>
      <c r="I318">
        <f>IFERROR(_xlfn.IFNA(INDEX(Sensors_MANU!$C$2:$C$4692,MATCH($D318,Sensors_MANU!$B$2:$B$4692,0)),INDEX(Sensors_MANU!$C$2:$C$4692,MATCH($P318,Sensors_MANU!$A$2:$A$4692,0))),"")</f>
        <v/>
      </c>
      <c r="J318">
        <f>IFERROR(_xlfn.IFNA(INDEX(Sensors_MANU!$D$2:$D$4692,MATCH($D318,Sensors_MANU!$B$2:$B$4692,0)),INDEX(Sensors_MANU!$D$2:$D$4692,MATCH($P318,Sensors_MANU!$A$2:$A$4692,0))),"")</f>
        <v/>
      </c>
      <c r="M318" s="27" t="n"/>
      <c r="N318" s="99">
        <f>IFERROR(INDEX(Sensors_MANU!$G$2:$G$4692,MATCH($P318,Sensors_MANU!$A$2:$A$4692,0)),)</f>
        <v/>
      </c>
      <c r="O318" s="6" t="inlineStr">
        <is>
          <t>v15</t>
        </is>
      </c>
      <c r="P318" t="n">
        <v>4978683</v>
      </c>
    </row>
    <row r="319">
      <c r="A319" s="32">
        <f>IFERROR(_xlfn.IFNA(INDEX(Sensors_MANU!$E$2:$E$4692,MATCH($D319,Sensors_MANU!$B$2:$B$4692,0)),INDEX(Sensors_MANU!$E$2:$E$4692,MATCH($P319,Sensors_MANU!$A$2:$A$4692,0))),"")</f>
        <v/>
      </c>
      <c r="B319" s="24">
        <f>IFERROR(INDEX(Companies!$A$3:$A$101,MATCH(A319,Companies!$B$3:$B$101,0)),"")</f>
        <v/>
      </c>
      <c r="C319">
        <f>IFERROR(_xlfn.IFNA(INDEX(Sensors_MANU!$F$2:$F$4692,MATCH($D319,Sensors_MANU!$B$2:$B$4692,0)),INDEX(Sensors_MANU!$F$2:$F$4692,MATCH($P319,Sensors_MANU!$A$2:$A$4692,0))),"")</f>
        <v/>
      </c>
      <c r="D319" t="inlineStr">
        <is>
          <t>F492D5364D2F</t>
        </is>
      </c>
      <c r="E319">
        <f>LEFT(D319,2)&amp;":"&amp;MID(D319,3,2)&amp;":"&amp;MID(D319,5,2)&amp;":"&amp;MID(D319,7,2)&amp;":"&amp;MID(D319,9,2)&amp;":"&amp;RIGHT(D319,2)</f>
        <v/>
      </c>
      <c r="F319" s="29" t="n">
        <v>44910</v>
      </c>
      <c r="G319" s="29" t="inlineStr">
        <is>
          <t>Viezo</t>
        </is>
      </c>
      <c r="H319" t="inlineStr">
        <is>
          <t>422511A15A118EB0</t>
        </is>
      </c>
      <c r="I319">
        <f>IFERROR(_xlfn.IFNA(INDEX(Sensors_MANU!$C$2:$C$4692,MATCH($D319,Sensors_MANU!$B$2:$B$4692,0)),INDEX(Sensors_MANU!$C$2:$C$4692,MATCH($P319,Sensors_MANU!$A$2:$A$4692,0))),"")</f>
        <v/>
      </c>
      <c r="J319">
        <f>IFERROR(_xlfn.IFNA(INDEX(Sensors_MANU!$D$2:$D$4692,MATCH($D319,Sensors_MANU!$B$2:$B$4692,0)),INDEX(Sensors_MANU!$D$2:$D$4692,MATCH($P319,Sensors_MANU!$A$2:$A$4692,0))),"")</f>
        <v/>
      </c>
      <c r="K319" s="27" t="inlineStr">
        <is>
          <t>31833919338-1</t>
        </is>
      </c>
      <c r="L319" s="27" t="inlineStr">
        <is>
          <t>3L</t>
        </is>
      </c>
      <c r="M319" s="27" t="n"/>
      <c r="N319" s="99">
        <f>IFERROR(INDEX(Sensors_MANU!$G$2:$G$4692,MATCH($P319,Sensors_MANU!$A$2:$A$4692,0)),)</f>
        <v/>
      </c>
      <c r="O319" s="6" t="inlineStr">
        <is>
          <t>v16</t>
        </is>
      </c>
      <c r="P319" t="n">
        <v>4978734</v>
      </c>
    </row>
    <row r="320">
      <c r="A320" s="32">
        <f>IFERROR(_xlfn.IFNA(INDEX(Sensors_MANU!$E$2:$E$4692,MATCH($D320,Sensors_MANU!$B$2:$B$4692,0)),INDEX(Sensors_MANU!$E$2:$E$4692,MATCH($P320,Sensors_MANU!$A$2:$A$4692,0))),"")</f>
        <v/>
      </c>
      <c r="B320" s="24">
        <f>IFERROR(INDEX(Companies!$A$3:$A$101,MATCH(A320,Companies!$B$3:$B$101,0)),"")</f>
        <v/>
      </c>
      <c r="C320" t="inlineStr">
        <is>
          <t>cargo</t>
        </is>
      </c>
      <c r="D320" t="inlineStr">
        <is>
          <t>D599A72BD743</t>
        </is>
      </c>
      <c r="E320">
        <f>LEFT(D320,2)&amp;":"&amp;MID(D320,3,2)&amp;":"&amp;MID(D320,5,2)&amp;":"&amp;MID(D320,7,2)&amp;":"&amp;MID(D320,9,2)&amp;":"&amp;RIGHT(D320,2)</f>
        <v/>
      </c>
      <c r="H320" t="inlineStr">
        <is>
          <t>037DEC6FEA807AD9</t>
        </is>
      </c>
      <c r="I320">
        <f>IFERROR(_xlfn.IFNA(INDEX(Sensors_MANU!$C$2:$C$4692,MATCH($D320,Sensors_MANU!$B$2:$B$4692,0)),INDEX(Sensors_MANU!$C$2:$C$4692,MATCH($P320,Sensors_MANU!$A$2:$A$4692,0))),"")</f>
        <v/>
      </c>
      <c r="J320">
        <f>IFERROR(_xlfn.IFNA(INDEX(Sensors_MANU!$D$2:$D$4692,MATCH($D320,Sensors_MANU!$B$2:$B$4692,0)),INDEX(Sensors_MANU!$D$2:$D$4692,MATCH($P320,Sensors_MANU!$A$2:$A$4692,0))),"")</f>
        <v/>
      </c>
      <c r="M320" s="27" t="n"/>
      <c r="N320" s="99">
        <f>IFERROR(INDEX(Sensors_MANU!$G$2:$G$4692,MATCH($P320,Sensors_MANU!$A$2:$A$4692,0)),)</f>
        <v/>
      </c>
      <c r="O320" s="6" t="inlineStr">
        <is>
          <t>v15</t>
        </is>
      </c>
      <c r="P320" t="n">
        <v>4978698</v>
      </c>
    </row>
    <row r="321">
      <c r="A321" s="32">
        <f>IFERROR(_xlfn.IFNA(INDEX(Sensors_MANU!$E$2:$E$4692,MATCH($D321,Sensors_MANU!$B$2:$B$4692,0)),INDEX(Sensors_MANU!$E$2:$E$4692,MATCH($P321,Sensors_MANU!$A$2:$A$4692,0))),"")</f>
        <v/>
      </c>
      <c r="B321" s="24">
        <f>IFERROR(INDEX(Companies!$A$3:$A$101,MATCH(A321,Companies!$B$3:$B$101,0)),"")</f>
        <v/>
      </c>
      <c r="C321">
        <f>IFERROR(_xlfn.IFNA(INDEX(Sensors_MANU!$F$2:$F$4692,MATCH($D321,Sensors_MANU!$B$2:$B$4692,0)),INDEX(Sensors_MANU!$F$2:$F$4692,MATCH($P321,Sensors_MANU!$A$2:$A$4692,0))),"")</f>
        <v/>
      </c>
      <c r="D321" t="inlineStr">
        <is>
          <t>DE566FF6833F</t>
        </is>
      </c>
      <c r="E321">
        <f>LEFT(D321,2)&amp;":"&amp;MID(D321,3,2)&amp;":"&amp;MID(D321,5,2)&amp;":"&amp;MID(D321,7,2)&amp;":"&amp;MID(D321,9,2)&amp;":"&amp;RIGHT(D321,2)</f>
        <v/>
      </c>
      <c r="H321" t="inlineStr">
        <is>
          <t>C8AB05D8E8386FC4</t>
        </is>
      </c>
      <c r="I321">
        <f>IFERROR(_xlfn.IFNA(INDEX(Sensors_MANU!$C$2:$C$4692,MATCH($D321,Sensors_MANU!$B$2:$B$4692,0)),INDEX(Sensors_MANU!$C$2:$C$4692,MATCH($P321,Sensors_MANU!$A$2:$A$4692,0))),"")</f>
        <v/>
      </c>
      <c r="J321">
        <f>IFERROR(_xlfn.IFNA(INDEX(Sensors_MANU!$D$2:$D$4692,MATCH($D321,Sensors_MANU!$B$2:$B$4692,0)),INDEX(Sensors_MANU!$D$2:$D$4692,MATCH($P321,Sensors_MANU!$A$2:$A$4692,0))),"")</f>
        <v/>
      </c>
      <c r="K321" s="32" t="n"/>
      <c r="L321" s="32" t="n"/>
      <c r="M321" s="32" t="n"/>
      <c r="O321" s="6" t="inlineStr">
        <is>
          <t>v15</t>
        </is>
      </c>
      <c r="P321" t="n">
        <v>4978445</v>
      </c>
    </row>
    <row r="322">
      <c r="A322" s="32">
        <f>IFERROR(_xlfn.IFNA(INDEX(Sensors_MANU!$E$2:$E$4692,MATCH($D322,Sensors_MANU!$B$2:$B$4692,0)),INDEX(Sensors_MANU!$E$2:$E$4692,MATCH($P322,Sensors_MANU!$A$2:$A$4692,0))),"")</f>
        <v/>
      </c>
      <c r="B322" s="24">
        <f>IFERROR(INDEX(Companies!$A$3:$A$101,MATCH(A322,Companies!$B$3:$B$101,0)),"")</f>
        <v/>
      </c>
      <c r="C322">
        <f>IFERROR(_xlfn.IFNA(INDEX(Sensors_MANU!$F$2:$F$4692,MATCH($D322,Sensors_MANU!$B$2:$B$4692,0)),INDEX(Sensors_MANU!$F$2:$F$4692,MATCH($P322,Sensors_MANU!$A$2:$A$4692,0))),"")</f>
        <v/>
      </c>
      <c r="D322" s="25" t="inlineStr">
        <is>
          <t>F074A4D95850</t>
        </is>
      </c>
      <c r="E322" s="24">
        <f>LEFT(D322,2)&amp;":"&amp;MID(D322,3,2)&amp;":"&amp;MID(D322,5,2)&amp;":"&amp;MID(D322,7,2)&amp;":"&amp;MID(D322,9,2)&amp;":"&amp;RIGHT(D322,2)</f>
        <v/>
      </c>
      <c r="F322" s="29" t="n">
        <v>44910</v>
      </c>
      <c r="G322" s="29" t="inlineStr">
        <is>
          <t>Viezo</t>
        </is>
      </c>
      <c r="H322" t="inlineStr">
        <is>
          <t>97ECF3BB1433EC57</t>
        </is>
      </c>
      <c r="I322">
        <f>IFERROR(_xlfn.IFNA(INDEX(Sensors_MANU!$C$2:$C$4692,MATCH($D322,Sensors_MANU!$B$2:$B$4692,0)),INDEX(Sensors_MANU!$C$2:$C$4692,MATCH($P322,Sensors_MANU!$A$2:$A$4692,0))),"")</f>
        <v/>
      </c>
      <c r="J322">
        <f>IFERROR(_xlfn.IFNA(INDEX(Sensors_MANU!$D$2:$D$4692,MATCH($D322,Sensors_MANU!$B$2:$B$4692,0)),INDEX(Sensors_MANU!$D$2:$D$4692,MATCH($P322,Sensors_MANU!$A$2:$A$4692,0))),"")</f>
        <v/>
      </c>
      <c r="K322" s="27" t="inlineStr">
        <is>
          <t>31833918084-2</t>
        </is>
      </c>
      <c r="L322" s="27" t="inlineStr">
        <is>
          <t>2R</t>
        </is>
      </c>
      <c r="O322" s="6" t="inlineStr">
        <is>
          <t>V23</t>
        </is>
      </c>
    </row>
    <row r="323">
      <c r="A323" s="32">
        <f>IFERROR(_xlfn.IFNA(INDEX(Sensors_MANU!$E$2:$E$4692,MATCH($D323,Sensors_MANU!$B$2:$B$4692,0)),INDEX(Sensors_MANU!$E$2:$E$4692,MATCH($P323,Sensors_MANU!$A$2:$A$4692,0))),"")</f>
        <v/>
      </c>
      <c r="B323" s="24">
        <f>IFERROR(INDEX(Companies!$A$3:$A$101,MATCH(A323,Companies!$B$3:$B$101,0)),"")</f>
        <v/>
      </c>
      <c r="C323" t="inlineStr">
        <is>
          <t>cargo</t>
        </is>
      </c>
      <c r="D323" t="inlineStr">
        <is>
          <t>EDC1954A24AF</t>
        </is>
      </c>
      <c r="E323">
        <f>LEFT(D323,2)&amp;":"&amp;MID(D323,3,2)&amp;":"&amp;MID(D323,5,2)&amp;":"&amp;MID(D323,7,2)&amp;":"&amp;MID(D323,9,2)&amp;":"&amp;RIGHT(D323,2)</f>
        <v/>
      </c>
      <c r="H323" t="inlineStr">
        <is>
          <t>8397861B0C31C750</t>
        </is>
      </c>
      <c r="I323">
        <f>IFERROR(_xlfn.IFNA(INDEX(Sensors_MANU!$C$2:$C$4692,MATCH($D323,Sensors_MANU!$B$2:$B$4692,0)),INDEX(Sensors_MANU!$C$2:$C$4692,MATCH($P323,Sensors_MANU!$A$2:$A$4692,0))),"")</f>
        <v/>
      </c>
      <c r="J323">
        <f>IFERROR(_xlfn.IFNA(INDEX(Sensors_MANU!$D$2:$D$4692,MATCH($D323,Sensors_MANU!$B$2:$B$4692,0)),INDEX(Sensors_MANU!$D$2:$D$4692,MATCH($P323,Sensors_MANU!$A$2:$A$4692,0))),"")</f>
        <v/>
      </c>
      <c r="M323" s="27" t="n"/>
      <c r="N323" s="99">
        <f>IFERROR(INDEX(Sensors_MANU!$G$2:$G$4692,MATCH($P323,Sensors_MANU!$A$2:$A$4692,0)),)</f>
        <v/>
      </c>
      <c r="O323" s="6" t="inlineStr">
        <is>
          <t>v15</t>
        </is>
      </c>
      <c r="P323" t="n">
        <v>4978513</v>
      </c>
    </row>
    <row r="324">
      <c r="B324" s="24">
        <f>IFERROR(INDEX(Companies!$A$3:$A$101,MATCH(A324,Companies!$B$3:$B$101,0)),"")</f>
        <v/>
      </c>
      <c r="C324">
        <f>IFERROR(_xlfn.IFNA(INDEX(Sensors_MANU!$F$2:$F$4692,MATCH($D324,Sensors_MANU!$B$2:$B$4692,0)),INDEX(Sensors_MANU!$F$2:$F$4692,MATCH($P324,Sensors_MANU!$A$2:$A$4692,0))),"")</f>
        <v/>
      </c>
      <c r="D324" t="inlineStr">
        <is>
          <t>F42920B0661C</t>
        </is>
      </c>
      <c r="E324" s="24">
        <f>LEFT(D324,2)&amp;":"&amp;MID(D324,3,2)&amp;":"&amp;MID(D324,5,2)&amp;":"&amp;MID(D324,7,2)&amp;":"&amp;MID(D324,9,2)&amp;":"&amp;RIGHT(D324,2)</f>
        <v/>
      </c>
      <c r="H324" t="inlineStr">
        <is>
          <t>7E83A562E4D23436</t>
        </is>
      </c>
      <c r="I324">
        <f>IFERROR(_xlfn.IFNA(INDEX(Sensors_MANU!$C$2:$C$4692,MATCH($D324,Sensors_MANU!$B$2:$B$4692,0)),INDEX(Sensors_MANU!$C$2:$C$4692,MATCH($P324,Sensors_MANU!$A$2:$A$4692,0))),"")</f>
        <v/>
      </c>
      <c r="J324">
        <f>IFERROR(_xlfn.IFNA(INDEX(Sensors_MANU!$D$2:$D$4692,MATCH($D324,Sensors_MANU!$B$2:$B$4692,0)),INDEX(Sensors_MANU!$D$2:$D$4692,MATCH($P324,Sensors_MANU!$A$2:$A$4692,0))),"")</f>
        <v/>
      </c>
      <c r="O324" s="6" t="inlineStr">
        <is>
          <t>V25</t>
        </is>
      </c>
    </row>
    <row r="325">
      <c r="A325" s="32">
        <f>IFERROR(_xlfn.IFNA(INDEX(Sensors_MANU!$E$2:$E$4692,MATCH($D325,Sensors_MANU!$B$2:$B$4692,0)),INDEX(Sensors_MANU!$E$2:$E$4692,MATCH($P325,Sensors_MANU!$A$2:$A$4692,0))),"")</f>
        <v/>
      </c>
      <c r="B325" s="24">
        <f>IFERROR(INDEX(Companies!$A$3:$A$101,MATCH(A325,Companies!$B$3:$B$101,0)),"")</f>
        <v/>
      </c>
      <c r="C325" t="inlineStr">
        <is>
          <t>cargo</t>
        </is>
      </c>
      <c r="D325" t="inlineStr">
        <is>
          <t>F3FC679237D6</t>
        </is>
      </c>
      <c r="E325">
        <f>LEFT(D325,2)&amp;":"&amp;MID(D325,3,2)&amp;":"&amp;MID(D325,5,2)&amp;":"&amp;MID(D325,7,2)&amp;":"&amp;MID(D325,9,2)&amp;":"&amp;RIGHT(D325,2)</f>
        <v/>
      </c>
      <c r="H325" t="inlineStr">
        <is>
          <t>CBDC49EAA7CBA207</t>
        </is>
      </c>
      <c r="I325">
        <f>IFERROR(_xlfn.IFNA(INDEX(Sensors_MANU!$C$2:$C$4692,MATCH($D325,Sensors_MANU!$B$2:$B$4692,0)),INDEX(Sensors_MANU!$C$2:$C$4692,MATCH($P325,Sensors_MANU!$A$2:$A$4692,0))),"")</f>
        <v/>
      </c>
      <c r="J325">
        <f>IFERROR(_xlfn.IFNA(INDEX(Sensors_MANU!$D$2:$D$4692,MATCH($D325,Sensors_MANU!$B$2:$B$4692,0)),INDEX(Sensors_MANU!$D$2:$D$4692,MATCH($P325,Sensors_MANU!$A$2:$A$4692,0))),"")</f>
        <v/>
      </c>
      <c r="M325" s="27" t="n"/>
      <c r="N325" s="99">
        <f>IFERROR(INDEX(Sensors_MANU!$G$2:$G$4692,MATCH($P325,Sensors_MANU!$A$2:$A$4692,0)),)</f>
        <v/>
      </c>
      <c r="O325" s="6" t="inlineStr">
        <is>
          <t>v15</t>
        </is>
      </c>
      <c r="P325" t="n">
        <v>4978678</v>
      </c>
    </row>
    <row r="326">
      <c r="A326" s="32" t="inlineStr">
        <is>
          <t>TANKWAGON</t>
        </is>
      </c>
      <c r="B326" s="24">
        <f>IFERROR(INDEX(Companies!$A$3:$A$101,MATCH(A326,Companies!$B$3:$B$101,0)),"")</f>
        <v/>
      </c>
      <c r="C326">
        <f>IFERROR(_xlfn.IFNA(INDEX(Sensors_MANU!$F$2:$F$4692,MATCH($D326,Sensors_MANU!$B$2:$B$4692,0)),INDEX(Sensors_MANU!$F$2:$F$4692,MATCH($P326,Sensors_MANU!$A$2:$A$4692,0))),"")</f>
        <v/>
      </c>
      <c r="D326" t="inlineStr">
        <is>
          <t>E00DE53DDB23</t>
        </is>
      </c>
      <c r="E326">
        <f>LEFT(D326,2)&amp;":"&amp;MID(D326,3,2)&amp;":"&amp;MID(D326,5,2)&amp;":"&amp;MID(D326,7,2)&amp;":"&amp;MID(D326,9,2)&amp;":"&amp;RIGHT(D326,2)</f>
        <v/>
      </c>
      <c r="F326" s="29" t="n">
        <v>45222</v>
      </c>
      <c r="G326" s="29" t="inlineStr">
        <is>
          <t>Tankwagon</t>
        </is>
      </c>
      <c r="H326" s="2" t="inlineStr">
        <is>
          <t>B90D8A6791ED4ABA</t>
        </is>
      </c>
      <c r="I326">
        <f>IFERROR(_xlfn.IFNA(INDEX(Sensors_MANU!$C$2:$C$4692,MATCH($D326,Sensors_MANU!$B$2:$B$4692,0)),INDEX(Sensors_MANU!$C$2:$C$4692,MATCH($P326,Sensors_MANU!$A$2:$A$4692,0))),"")</f>
        <v/>
      </c>
      <c r="J326">
        <f>IFERROR(_xlfn.IFNA(INDEX(Sensors_MANU!$D$2:$D$4692,MATCH($D326,Sensors_MANU!$B$2:$B$4692,0)),INDEX(Sensors_MANU!$D$2:$D$4692,MATCH($P326,Sensors_MANU!$A$2:$A$4692,0))),"")</f>
        <v/>
      </c>
      <c r="K326" s="27" t="inlineStr">
        <is>
          <t>33857929905-2</t>
        </is>
      </c>
      <c r="L326" s="27" t="inlineStr">
        <is>
          <t>2L</t>
        </is>
      </c>
      <c r="N326" s="99">
        <f>IFERROR(INDEX(Sensors_MANU!$G$2:$G$4692,MATCH($P326,Sensors_MANU!$A$2:$A$4692,0)),)</f>
        <v/>
      </c>
      <c r="O326" s="6" t="inlineStr">
        <is>
          <t>V26</t>
        </is>
      </c>
      <c r="P326" t="n">
        <v>4978901</v>
      </c>
    </row>
    <row r="327">
      <c r="A327" s="32">
        <f>IFERROR(_xlfn.IFNA(INDEX(Sensors_MANU!$E$2:$E$4692,MATCH($D327,Sensors_MANU!$B$2:$B$4692,0)),INDEX(Sensors_MANU!$E$2:$E$4692,MATCH($P327,Sensors_MANU!$A$2:$A$4692,0))),"")</f>
        <v/>
      </c>
      <c r="B327" s="24">
        <f>IFERROR(INDEX(Companies!$A$3:$A$101,MATCH(A327,Companies!$B$3:$B$101,0)),"")</f>
        <v/>
      </c>
      <c r="C327" t="inlineStr">
        <is>
          <t>cargo</t>
        </is>
      </c>
      <c r="D327" t="inlineStr">
        <is>
          <t>FB1D3291948B</t>
        </is>
      </c>
      <c r="E327">
        <f>LEFT(D327,2)&amp;":"&amp;MID(D327,3,2)&amp;":"&amp;MID(D327,5,2)&amp;":"&amp;MID(D327,7,2)&amp;":"&amp;MID(D327,9,2)&amp;":"&amp;RIGHT(D327,2)</f>
        <v/>
      </c>
      <c r="H327" t="inlineStr">
        <is>
          <t>F3588FCC89B61788</t>
        </is>
      </c>
      <c r="I327">
        <f>IFERROR(_xlfn.IFNA(INDEX(Sensors_MANU!$C$2:$C$4692,MATCH($D327,Sensors_MANU!$B$2:$B$4692,0)),INDEX(Sensors_MANU!$C$2:$C$4692,MATCH($P327,Sensors_MANU!$A$2:$A$4692,0))),"")</f>
        <v/>
      </c>
      <c r="J327">
        <f>IFERROR(_xlfn.IFNA(INDEX(Sensors_MANU!$D$2:$D$4692,MATCH($D327,Sensors_MANU!$B$2:$B$4692,0)),INDEX(Sensors_MANU!$D$2:$D$4692,MATCH($P327,Sensors_MANU!$A$2:$A$4692,0))),"")</f>
        <v/>
      </c>
      <c r="M327" s="27" t="n"/>
      <c r="N327" s="99">
        <f>IFERROR(INDEX(Sensors_MANU!$G$2:$G$4692,MATCH($P327,Sensors_MANU!$A$2:$A$4692,0)),)</f>
        <v/>
      </c>
      <c r="O327" s="6" t="inlineStr">
        <is>
          <t>v15</t>
        </is>
      </c>
      <c r="P327" t="n">
        <v>4978700</v>
      </c>
    </row>
    <row r="328">
      <c r="A328" s="32">
        <f>IFERROR(_xlfn.IFNA(INDEX(Sensors_MANU!$E$2:$E$4692,MATCH($D328,Sensors_MANU!$B$2:$B$4692,0)),INDEX(Sensors_MANU!$E$2:$E$4692,MATCH($P328,Sensors_MANU!$A$2:$A$4692,0))),"")</f>
        <v/>
      </c>
      <c r="B328" s="24">
        <f>IFERROR(INDEX(Companies!$A$3:$A$101,MATCH(A328,Companies!$B$3:$B$101,0)),"")</f>
        <v/>
      </c>
      <c r="C328" t="inlineStr">
        <is>
          <t>cargo</t>
        </is>
      </c>
      <c r="D328" t="inlineStr">
        <is>
          <t>C531C9FB1131</t>
        </is>
      </c>
      <c r="E328">
        <f>LEFT(D328,2)&amp;":"&amp;MID(D328,3,2)&amp;":"&amp;MID(D328,5,2)&amp;":"&amp;MID(D328,7,2)&amp;":"&amp;MID(D328,9,2)&amp;":"&amp;RIGHT(D328,2)</f>
        <v/>
      </c>
      <c r="H328" t="inlineStr">
        <is>
          <t>E4DB8683B101E02A</t>
        </is>
      </c>
      <c r="I328">
        <f>IFERROR(_xlfn.IFNA(INDEX(Sensors_MANU!$C$2:$C$4692,MATCH($D328,Sensors_MANU!$B$2:$B$4692,0)),INDEX(Sensors_MANU!$C$2:$C$4692,MATCH($P328,Sensors_MANU!$A$2:$A$4692,0))),"")</f>
        <v/>
      </c>
      <c r="J328">
        <f>IFERROR(_xlfn.IFNA(INDEX(Sensors_MANU!$D$2:$D$4692,MATCH($D328,Sensors_MANU!$B$2:$B$4692,0)),INDEX(Sensors_MANU!$D$2:$D$4692,MATCH($P328,Sensors_MANU!$A$2:$A$4692,0))),"")</f>
        <v/>
      </c>
      <c r="M328" s="27" t="n"/>
      <c r="N328" s="99">
        <f>IFERROR(INDEX(Sensors_MANU!$G$2:$G$4692,MATCH($P328,Sensors_MANU!$A$2:$A$4692,0)),)</f>
        <v/>
      </c>
      <c r="O328" s="6" t="inlineStr">
        <is>
          <t>v15</t>
        </is>
      </c>
      <c r="P328" t="n">
        <v>4978754</v>
      </c>
    </row>
    <row r="329">
      <c r="A329" s="32">
        <f>IFERROR(_xlfn.IFNA(INDEX(Sensors_MANU!$E$2:$E$4692,MATCH($D329,Sensors_MANU!$B$2:$B$4692,0)),INDEX(Sensors_MANU!$E$2:$E$4692,MATCH($P329,Sensors_MANU!$A$2:$A$4692,0))),"")</f>
        <v/>
      </c>
      <c r="B329" s="24">
        <f>IFERROR(INDEX(Companies!$A$3:$A$101,MATCH(A329,Companies!$B$3:$B$101,0)),"")</f>
        <v/>
      </c>
      <c r="C329" t="inlineStr">
        <is>
          <t>cargo</t>
        </is>
      </c>
      <c r="D329" t="inlineStr">
        <is>
          <t>F6E8295A5D85</t>
        </is>
      </c>
      <c r="E329">
        <f>LEFT(D329,2)&amp;":"&amp;MID(D329,3,2)&amp;":"&amp;MID(D329,5,2)&amp;":"&amp;MID(D329,7,2)&amp;":"&amp;MID(D329,9,2)&amp;":"&amp;RIGHT(D329,2)</f>
        <v/>
      </c>
      <c r="H329" t="inlineStr">
        <is>
          <t>15DF8D6A0F375F8A</t>
        </is>
      </c>
      <c r="I329">
        <f>IFERROR(_xlfn.IFNA(INDEX(Sensors_MANU!$C$2:$C$4692,MATCH($D329,Sensors_MANU!$B$2:$B$4692,0)),INDEX(Sensors_MANU!$C$2:$C$4692,MATCH($P329,Sensors_MANU!$A$2:$A$4692,0))),"")</f>
        <v/>
      </c>
      <c r="J329">
        <f>IFERROR(_xlfn.IFNA(INDEX(Sensors_MANU!$D$2:$D$4692,MATCH($D329,Sensors_MANU!$B$2:$B$4692,0)),INDEX(Sensors_MANU!$D$2:$D$4692,MATCH($P329,Sensors_MANU!$A$2:$A$4692,0))),"")</f>
        <v/>
      </c>
      <c r="M329" s="27" t="n"/>
      <c r="N329" s="99">
        <f>IFERROR(INDEX(Sensors_MANU!$G$2:$G$4692,MATCH($P329,Sensors_MANU!$A$2:$A$4692,0)),)</f>
        <v/>
      </c>
      <c r="O329" s="6" t="inlineStr">
        <is>
          <t>v15</t>
        </is>
      </c>
      <c r="P329" t="n">
        <v>4978775</v>
      </c>
    </row>
    <row r="330">
      <c r="A330" s="32">
        <f>IFERROR(_xlfn.IFNA(INDEX(Sensors_MANU!$E$2:$E$4692,MATCH($D330,Sensors_MANU!$B$2:$B$4692,0)),INDEX(Sensors_MANU!$E$2:$E$4692,MATCH($P330,Sensors_MANU!$A$2:$A$4692,0))),"")</f>
        <v/>
      </c>
      <c r="B330" s="24">
        <f>IFERROR(INDEX(Companies!$A$3:$A$101,MATCH(A330,Companies!$B$3:$B$101,0)),"")</f>
        <v/>
      </c>
      <c r="C330">
        <f>IFERROR(_xlfn.IFNA(INDEX(Sensors_MANU!$F$2:$F$4692,MATCH($D330,Sensors_MANU!$B$2:$B$4692,0)),INDEX(Sensors_MANU!$F$2:$F$4692,MATCH($P330,Sensors_MANU!$A$2:$A$4692,0))),"")</f>
        <v/>
      </c>
      <c r="D330" t="inlineStr">
        <is>
          <t>DF95CDB85EB6</t>
        </is>
      </c>
      <c r="E330" s="24">
        <f>LEFT(D330,2)&amp;":"&amp;MID(D330,3,2)&amp;":"&amp;MID(D330,5,2)&amp;":"&amp;MID(D330,7,2)&amp;":"&amp;MID(D330,9,2)&amp;":"&amp;RIGHT(D330,2)</f>
        <v/>
      </c>
      <c r="F330" s="29" t="n">
        <v>44910</v>
      </c>
      <c r="G330" s="29" t="inlineStr">
        <is>
          <t>Viezo</t>
        </is>
      </c>
      <c r="H330" t="inlineStr">
        <is>
          <t>5FA53CF51D0B8276</t>
        </is>
      </c>
      <c r="I330">
        <f>IFERROR(_xlfn.IFNA(INDEX(Sensors_MANU!$C$2:$C$4692,MATCH($D330,Sensors_MANU!$B$2:$B$4692,0)),INDEX(Sensors_MANU!$C$2:$C$4692,MATCH($P330,Sensors_MANU!$A$2:$A$4692,0))),"")</f>
        <v/>
      </c>
      <c r="J330">
        <f>IFERROR(_xlfn.IFNA(INDEX(Sensors_MANU!$D$2:$D$4692,MATCH($D330,Sensors_MANU!$B$2:$B$4692,0)),INDEX(Sensors_MANU!$D$2:$D$4692,MATCH($P330,Sensors_MANU!$A$2:$A$4692,0))),"")</f>
        <v/>
      </c>
      <c r="K330" s="27" t="inlineStr">
        <is>
          <t>31833916514-0</t>
        </is>
      </c>
      <c r="L330" s="27" t="inlineStr">
        <is>
          <t>1L</t>
        </is>
      </c>
      <c r="O330" s="6" t="inlineStr">
        <is>
          <t>V25</t>
        </is>
      </c>
    </row>
    <row r="331">
      <c r="A331" s="32">
        <f>IFERROR(_xlfn.IFNA(INDEX(Sensors_MANU!$E$2:$E$4692,MATCH($D331,Sensors_MANU!$B$2:$B$4692,0)),INDEX(Sensors_MANU!$E$2:$E$4692,MATCH($P331,Sensors_MANU!$A$2:$A$4692,0))),"")</f>
        <v/>
      </c>
      <c r="B331" s="24">
        <f>IFERROR(INDEX(Companies!$A$3:$A$101,MATCH(A331,Companies!$B$3:$B$101,0)),"")</f>
        <v/>
      </c>
      <c r="C331" t="inlineStr">
        <is>
          <t>cargo</t>
        </is>
      </c>
      <c r="D331" t="inlineStr">
        <is>
          <t>E91B0729BCD0</t>
        </is>
      </c>
      <c r="E331">
        <f>LEFT(D331,2)&amp;":"&amp;MID(D331,3,2)&amp;":"&amp;MID(D331,5,2)&amp;":"&amp;MID(D331,7,2)&amp;":"&amp;MID(D331,9,2)&amp;":"&amp;RIGHT(D331,2)</f>
        <v/>
      </c>
      <c r="H331" t="inlineStr">
        <is>
          <t>196BC14E686C4470</t>
        </is>
      </c>
      <c r="I331">
        <f>IFERROR(_xlfn.IFNA(INDEX(Sensors_MANU!$C$2:$C$4692,MATCH($D331,Sensors_MANU!$B$2:$B$4692,0)),INDEX(Sensors_MANU!$C$2:$C$4692,MATCH($P331,Sensors_MANU!$A$2:$A$4692,0))),"")</f>
        <v/>
      </c>
      <c r="J331">
        <f>IFERROR(_xlfn.IFNA(INDEX(Sensors_MANU!$D$2:$D$4692,MATCH($D331,Sensors_MANU!$B$2:$B$4692,0)),INDEX(Sensors_MANU!$D$2:$D$4692,MATCH($P331,Sensors_MANU!$A$2:$A$4692,0))),"")</f>
        <v/>
      </c>
      <c r="M331" s="27" t="n"/>
      <c r="N331" s="99">
        <f>IFERROR(INDEX(Sensors_MANU!$G$2:$G$4692,MATCH($P331,Sensors_MANU!$A$2:$A$4692,0)),)</f>
        <v/>
      </c>
      <c r="O331" s="6" t="inlineStr">
        <is>
          <t>v15</t>
        </is>
      </c>
      <c r="P331" t="n">
        <v>4978686</v>
      </c>
    </row>
    <row r="332">
      <c r="A332" s="32">
        <f>IFERROR(_xlfn.IFNA(INDEX(Sensors_MANU!$E$2:$E$4692,MATCH($D332,Sensors_MANU!$B$2:$B$4692,0)),INDEX(Sensors_MANU!$E$2:$E$4692,MATCH($P332,Sensors_MANU!$A$2:$A$4692,0))),"")</f>
        <v/>
      </c>
      <c r="B332" s="24">
        <f>IFERROR(INDEX(Companies!$A$3:$A$101,MATCH(A332,Companies!$B$3:$B$101,0)),"")</f>
        <v/>
      </c>
      <c r="C332">
        <f>IFERROR(_xlfn.IFNA(INDEX(Sensors_MANU!$F$2:$F$4692,MATCH($D332,Sensors_MANU!$B$2:$B$4692,0)),INDEX(Sensors_MANU!$F$2:$F$4692,MATCH($P332,Sensors_MANU!$A$2:$A$4692,0))),"")</f>
        <v/>
      </c>
      <c r="D332" t="inlineStr">
        <is>
          <t>F20DE0786A40</t>
        </is>
      </c>
      <c r="E332">
        <f>LEFT(D332,2)&amp;":"&amp;MID(D332,3,2)&amp;":"&amp;MID(D332,5,2)&amp;":"&amp;MID(D332,7,2)&amp;":"&amp;MID(D332,9,2)&amp;":"&amp;RIGHT(D332,2)</f>
        <v/>
      </c>
      <c r="H332" t="inlineStr">
        <is>
          <t>A3C8527A70733612</t>
        </is>
      </c>
      <c r="I332">
        <f>IFERROR(_xlfn.IFNA(INDEX(Sensors_MANU!$C$2:$C$4692,MATCH($D332,Sensors_MANU!$B$2:$B$4692,0)),INDEX(Sensors_MANU!$C$2:$C$4692,MATCH($P332,Sensors_MANU!$A$2:$A$4692,0))),"")</f>
        <v/>
      </c>
      <c r="J332">
        <f>IFERROR(_xlfn.IFNA(INDEX(Sensors_MANU!$D$2:$D$4692,MATCH($D332,Sensors_MANU!$B$2:$B$4692,0)),INDEX(Sensors_MANU!$D$2:$D$4692,MATCH($P332,Sensors_MANU!$A$2:$A$4692,0))),"")</f>
        <v/>
      </c>
      <c r="M332" s="27" t="n"/>
      <c r="N332" s="99">
        <f>IFERROR(INDEX(Sensors_MANU!$G$2:$G$4692,MATCH($P332,Sensors_MANU!$A$2:$A$4692,0)),)</f>
        <v/>
      </c>
      <c r="O332" s="6" t="inlineStr">
        <is>
          <t>v16</t>
        </is>
      </c>
      <c r="P332" t="n">
        <v>4978659</v>
      </c>
    </row>
    <row r="333">
      <c r="A333" s="32">
        <f>IFERROR(_xlfn.IFNA(INDEX(Sensors_MANU!$E$2:$E$4692,MATCH($D333,Sensors_MANU!$B$2:$B$4692,0)),INDEX(Sensors_MANU!$E$2:$E$4692,MATCH($P333,Sensors_MANU!$A$2:$A$4692,0))),"")</f>
        <v/>
      </c>
      <c r="B333" s="24">
        <f>IFERROR(INDEX(Companies!$A$3:$A$101,MATCH(A333,Companies!$B$3:$B$101,0)),"")</f>
        <v/>
      </c>
      <c r="C333" t="inlineStr">
        <is>
          <t>cargo</t>
        </is>
      </c>
      <c r="D333" t="inlineStr">
        <is>
          <t>EA7012C9DB6C</t>
        </is>
      </c>
      <c r="E333">
        <f>LEFT(D333,2)&amp;":"&amp;MID(D333,3,2)&amp;":"&amp;MID(D333,5,2)&amp;":"&amp;MID(D333,7,2)&amp;":"&amp;MID(D333,9,2)&amp;":"&amp;RIGHT(D333,2)</f>
        <v/>
      </c>
      <c r="H333" t="inlineStr">
        <is>
          <t>6CA7C9AC53BE9F99</t>
        </is>
      </c>
      <c r="I333">
        <f>IFERROR(_xlfn.IFNA(INDEX(Sensors_MANU!$C$2:$C$4692,MATCH($D333,Sensors_MANU!$B$2:$B$4692,0)),INDEX(Sensors_MANU!$C$2:$C$4692,MATCH($P333,Sensors_MANU!$A$2:$A$4692,0))),"")</f>
        <v/>
      </c>
      <c r="J333">
        <f>IFERROR(_xlfn.IFNA(INDEX(Sensors_MANU!$D$2:$D$4692,MATCH($D333,Sensors_MANU!$B$2:$B$4692,0)),INDEX(Sensors_MANU!$D$2:$D$4692,MATCH($P333,Sensors_MANU!$A$2:$A$4692,0))),"")</f>
        <v/>
      </c>
      <c r="M333" s="27" t="n"/>
      <c r="N333" s="99">
        <f>IFERROR(INDEX(Sensors_MANU!$G$2:$G$4692,MATCH($P333,Sensors_MANU!$A$2:$A$4692,0)),)</f>
        <v/>
      </c>
      <c r="O333" s="6" t="inlineStr">
        <is>
          <t>v15</t>
        </is>
      </c>
      <c r="P333" t="n">
        <v>4978833</v>
      </c>
    </row>
    <row r="334">
      <c r="A334" s="32" t="inlineStr">
        <is>
          <t>CARGONET</t>
        </is>
      </c>
      <c r="B334" s="24">
        <f>IFERROR(INDEX(Companies!$A$3:$A$101,MATCH(A334,Companies!$B$3:$B$101,0)),"")</f>
        <v/>
      </c>
      <c r="C334">
        <f>IFERROR(_xlfn.IFNA(INDEX(Sensors_MANU!$F$2:$F$4692,MATCH($D334,Sensors_MANU!$B$2:$B$4692,0)),INDEX(Sensors_MANU!$F$2:$F$4692,MATCH($P334,Sensors_MANU!$A$2:$A$4692,0))),"")</f>
        <v/>
      </c>
      <c r="D334" t="inlineStr">
        <is>
          <t>F13F8EF5CBF0</t>
        </is>
      </c>
      <c r="E334">
        <f>LEFT(D334,2)&amp;":"&amp;MID(D334,3,2)&amp;":"&amp;MID(D334,5,2)&amp;":"&amp;MID(D334,7,2)&amp;":"&amp;MID(D334,9,2)&amp;":"&amp;RIGHT(D334,2)</f>
        <v/>
      </c>
      <c r="H334" t="inlineStr">
        <is>
          <t>C4DA4E5DD7678E63</t>
        </is>
      </c>
      <c r="I334">
        <f>IFERROR(_xlfn.IFNA(INDEX(Sensors_MANU!$C$2:$C$4692,MATCH($D334,Sensors_MANU!$B$2:$B$4692,0)),INDEX(Sensors_MANU!$C$2:$C$4692,MATCH($P334,Sensors_MANU!$A$2:$A$4692,0))),"")</f>
        <v/>
      </c>
      <c r="J334">
        <f>IFERROR(_xlfn.IFNA(INDEX(Sensors_MANU!$D$2:$D$4692,MATCH($D334,Sensors_MANU!$B$2:$B$4692,0)),INDEX(Sensors_MANU!$D$2:$D$4692,MATCH($P334,Sensors_MANU!$A$2:$A$4692,0))),"")</f>
        <v/>
      </c>
      <c r="K334" s="27" t="inlineStr">
        <is>
          <t>33764955324-1</t>
        </is>
      </c>
      <c r="L334" s="27" t="inlineStr">
        <is>
          <t>6L</t>
        </is>
      </c>
      <c r="M334" s="27" t="n"/>
      <c r="N334" s="99">
        <f>IFERROR(INDEX(Sensors_MANU!$G$2:$G$4692,MATCH($P334,Sensors_MANU!$A$2:$A$4692,0)),)</f>
        <v/>
      </c>
      <c r="O334" s="6" t="inlineStr">
        <is>
          <t>v16</t>
        </is>
      </c>
      <c r="P334" t="n">
        <v>4978801</v>
      </c>
    </row>
    <row r="335">
      <c r="A335" s="32">
        <f>IFERROR(_xlfn.IFNA(INDEX(Sensors_MANU!$E$2:$E$4692,MATCH($D335,Sensors_MANU!$B$2:$B$4692,0)),INDEX(Sensors_MANU!$E$2:$E$4692,MATCH($P335,Sensors_MANU!$A$2:$A$4692,0))),"")</f>
        <v/>
      </c>
      <c r="B335" s="24">
        <f>IFERROR(INDEX(Companies!$A$3:$A$101,MATCH(A335,Companies!$B$3:$B$101,0)),"")</f>
        <v/>
      </c>
      <c r="C335" t="inlineStr">
        <is>
          <t>cargo</t>
        </is>
      </c>
      <c r="D335" t="inlineStr">
        <is>
          <t>FB244320AF42</t>
        </is>
      </c>
      <c r="E335">
        <f>LEFT(D335,2)&amp;":"&amp;MID(D335,3,2)&amp;":"&amp;MID(D335,5,2)&amp;":"&amp;MID(D335,7,2)&amp;":"&amp;MID(D335,9,2)&amp;":"&amp;RIGHT(D335,2)</f>
        <v/>
      </c>
      <c r="H335" t="inlineStr">
        <is>
          <t>990D893D4DABCECB</t>
        </is>
      </c>
      <c r="I335">
        <f>IFERROR(_xlfn.IFNA(INDEX(Sensors_MANU!$C$2:$C$4692,MATCH($D335,Sensors_MANU!$B$2:$B$4692,0)),INDEX(Sensors_MANU!$C$2:$C$4692,MATCH($P335,Sensors_MANU!$A$2:$A$4692,0))),"")</f>
        <v/>
      </c>
      <c r="J335">
        <f>IFERROR(_xlfn.IFNA(INDEX(Sensors_MANU!$D$2:$D$4692,MATCH($D335,Sensors_MANU!$B$2:$B$4692,0)),INDEX(Sensors_MANU!$D$2:$D$4692,MATCH($P335,Sensors_MANU!$A$2:$A$4692,0))),"")</f>
        <v/>
      </c>
      <c r="M335" s="27" t="n"/>
      <c r="N335" s="99">
        <f>IFERROR(INDEX(Sensors_MANU!$G$2:$G$4692,MATCH($P335,Sensors_MANU!$A$2:$A$4692,0)),)</f>
        <v/>
      </c>
      <c r="O335" s="6" t="inlineStr">
        <is>
          <t>v15</t>
        </is>
      </c>
      <c r="P335" t="n">
        <v>4978696</v>
      </c>
    </row>
    <row r="336">
      <c r="A336" s="32">
        <f>IFERROR(_xlfn.IFNA(INDEX(Sensors_MANU!$E$2:$E$4692,MATCH($D336,Sensors_MANU!$B$2:$B$4692,0)),INDEX(Sensors_MANU!$E$2:$E$4692,MATCH($P336,Sensors_MANU!$A$2:$A$4692,0))),"")</f>
        <v/>
      </c>
      <c r="B336" s="24">
        <f>IFERROR(INDEX(Companies!$A$3:$A$101,MATCH(A336,Companies!$B$3:$B$101,0)),"")</f>
        <v/>
      </c>
      <c r="C336">
        <f>IFERROR(_xlfn.IFNA(INDEX(Sensors_MANU!$F$2:$F$4692,MATCH($D336,Sensors_MANU!$B$2:$B$4692,0)),INDEX(Sensors_MANU!$F$2:$F$4692,MATCH($P336,Sensors_MANU!$A$2:$A$4692,0))),"")</f>
        <v/>
      </c>
      <c r="D336" t="inlineStr">
        <is>
          <t>CFDAF007E215</t>
        </is>
      </c>
      <c r="E336">
        <f>LEFT(D336,2)&amp;":"&amp;MID(D336,3,2)&amp;":"&amp;MID(D336,5,2)&amp;":"&amp;MID(D336,7,2)&amp;":"&amp;MID(D336,9,2)&amp;":"&amp;RIGHT(D336,2)</f>
        <v/>
      </c>
      <c r="H336" t="inlineStr">
        <is>
          <t>85FC198FD2AE52DE</t>
        </is>
      </c>
      <c r="I336">
        <f>IFERROR(_xlfn.IFNA(INDEX(Sensors_MANU!$C$2:$C$4692,MATCH($D336,Sensors_MANU!$B$2:$B$4692,0)),INDEX(Sensors_MANU!$C$2:$C$4692,MATCH($P336,Sensors_MANU!$A$2:$A$4692,0))),"")</f>
        <v/>
      </c>
      <c r="J336">
        <f>IFERROR(_xlfn.IFNA(INDEX(Sensors_MANU!$D$2:$D$4692,MATCH($D336,Sensors_MANU!$B$2:$B$4692,0)),INDEX(Sensors_MANU!$D$2:$D$4692,MATCH($P336,Sensors_MANU!$A$2:$A$4692,0))),"")</f>
        <v/>
      </c>
      <c r="M336" s="27" t="n"/>
      <c r="N336" s="99">
        <f>IFERROR(INDEX(Sensors_MANU!$G$2:$G$4692,MATCH($P336,Sensors_MANU!$A$2:$A$4692,0)),)</f>
        <v/>
      </c>
      <c r="O336" s="6" t="inlineStr">
        <is>
          <t>v16</t>
        </is>
      </c>
      <c r="P336" t="n">
        <v>4978631</v>
      </c>
    </row>
    <row r="337">
      <c r="A337" s="32">
        <f>IFERROR(_xlfn.IFNA(INDEX(Sensors_MANU!$E$2:$E$4692,MATCH($D337,Sensors_MANU!$B$2:$B$4692,0)),INDEX(Sensors_MANU!$E$2:$E$4692,MATCH($P337,Sensors_MANU!$A$2:$A$4692,0))),"")</f>
        <v/>
      </c>
      <c r="B337" s="24">
        <f>IFERROR(INDEX(Companies!$A$3:$A$101,MATCH(A337,Companies!$B$3:$B$101,0)),"")</f>
        <v/>
      </c>
      <c r="C337">
        <f>IFERROR(_xlfn.IFNA(INDEX(Sensors_MANU!$F$2:$F$4692,MATCH($D337,Sensors_MANU!$B$2:$B$4692,0)),INDEX(Sensors_MANU!$F$2:$F$4692,MATCH($P337,Sensors_MANU!$A$2:$A$4692,0))),"")</f>
        <v/>
      </c>
      <c r="D337" t="inlineStr">
        <is>
          <t>CD4970E2761F</t>
        </is>
      </c>
      <c r="E337">
        <f>LEFT(D337,2)&amp;":"&amp;MID(D337,3,2)&amp;":"&amp;MID(D337,5,2)&amp;":"&amp;MID(D337,7,2)&amp;":"&amp;MID(D337,9,2)&amp;":"&amp;RIGHT(D337,2)</f>
        <v/>
      </c>
      <c r="H337" t="inlineStr">
        <is>
          <t>C1A4319D7DDAC399</t>
        </is>
      </c>
      <c r="I337">
        <f>IFERROR(_xlfn.IFNA(INDEX(Sensors_MANU!$C$2:$C$4692,MATCH($D337,Sensors_MANU!$B$2:$B$4692,0)),INDEX(Sensors_MANU!$C$2:$C$4692,MATCH($P337,Sensors_MANU!$A$2:$A$4692,0))),"")</f>
        <v/>
      </c>
      <c r="J337">
        <f>IFERROR(_xlfn.IFNA(INDEX(Sensors_MANU!$D$2:$D$4692,MATCH($D337,Sensors_MANU!$B$2:$B$4692,0)),INDEX(Sensors_MANU!$D$2:$D$4692,MATCH($P337,Sensors_MANU!$A$2:$A$4692,0))),"")</f>
        <v/>
      </c>
      <c r="M337" s="27" t="n"/>
      <c r="N337" s="99">
        <f>IFERROR(INDEX(Sensors_MANU!$G$2:$G$4692,MATCH($P337,Sensors_MANU!$A$2:$A$4692,0)),)</f>
        <v/>
      </c>
      <c r="O337" s="6" t="inlineStr">
        <is>
          <t>v16</t>
        </is>
      </c>
      <c r="P337" t="n">
        <v>4978629</v>
      </c>
    </row>
    <row r="338">
      <c r="A338" s="32">
        <f>IFERROR(_xlfn.IFNA(INDEX(Sensors_MANU!$E$2:$E$4692,MATCH($D338,Sensors_MANU!$B$2:$B$4692,0)),INDEX(Sensors_MANU!$E$2:$E$4692,MATCH($P338,Sensors_MANU!$A$2:$A$4692,0))),"")</f>
        <v/>
      </c>
      <c r="B338" s="24">
        <f>IFERROR(INDEX(Companies!$A$3:$A$101,MATCH(A338,Companies!$B$3:$B$101,0)),"")</f>
        <v/>
      </c>
      <c r="C338">
        <f>IFERROR(_xlfn.IFNA(INDEX(Sensors_MANU!$F$2:$F$4692,MATCH($D338,Sensors_MANU!$B$2:$B$4692,0)),INDEX(Sensors_MANU!$F$2:$F$4692,MATCH($P338,Sensors_MANU!$A$2:$A$4692,0))),"")</f>
        <v/>
      </c>
      <c r="D338" t="inlineStr">
        <is>
          <t>DE992049DA31</t>
        </is>
      </c>
      <c r="E338">
        <f>LEFT(D338,2)&amp;":"&amp;MID(D338,3,2)&amp;":"&amp;MID(D338,5,2)&amp;":"&amp;MID(D338,7,2)&amp;":"&amp;MID(D338,9,2)&amp;":"&amp;RIGHT(D338,2)</f>
        <v/>
      </c>
      <c r="H338" t="inlineStr">
        <is>
          <t>30A98048A26B0314</t>
        </is>
      </c>
      <c r="I338">
        <f>IFERROR(_xlfn.IFNA(INDEX(Sensors_MANU!$C$2:$C$4692,MATCH($D338,Sensors_MANU!$B$2:$B$4692,0)),INDEX(Sensors_MANU!$C$2:$C$4692,MATCH($P338,Sensors_MANU!$A$2:$A$4692,0))),"")</f>
        <v/>
      </c>
      <c r="J338">
        <f>IFERROR(_xlfn.IFNA(INDEX(Sensors_MANU!$D$2:$D$4692,MATCH($D338,Sensors_MANU!$B$2:$B$4692,0)),INDEX(Sensors_MANU!$D$2:$D$4692,MATCH($P338,Sensors_MANU!$A$2:$A$4692,0))),"")</f>
        <v/>
      </c>
      <c r="K338" s="32" t="n"/>
      <c r="L338" s="32" t="n"/>
      <c r="M338" s="32" t="n"/>
      <c r="N338" s="99">
        <f>IFERROR(INDEX(Sensors_MANU!$G$2:$G$4692,MATCH($P338,Sensors_MANU!$A$2:$A$4692,0)),)</f>
        <v/>
      </c>
      <c r="O338" s="6" t="inlineStr">
        <is>
          <t>v16</t>
        </is>
      </c>
      <c r="P338" t="n">
        <v>4978623</v>
      </c>
    </row>
    <row r="339">
      <c r="A339" s="32">
        <f>IFERROR(_xlfn.IFNA(INDEX(Sensors_MANU!$E$2:$E$4692,MATCH($D339,Sensors_MANU!$B$2:$B$4692,0)),INDEX(Sensors_MANU!$E$2:$E$4692,MATCH($P339,Sensors_MANU!$A$2:$A$4692,0))),"")</f>
        <v/>
      </c>
      <c r="B339" s="24">
        <f>IFERROR(INDEX(Companies!$A$3:$A$101,MATCH(A339,Companies!$B$3:$B$101,0)),"")</f>
        <v/>
      </c>
      <c r="C339">
        <f>IFERROR(_xlfn.IFNA(INDEX(Sensors_MANU!$F$2:$F$4692,MATCH($D339,Sensors_MANU!$B$2:$B$4692,0)),INDEX(Sensors_MANU!$F$2:$F$4692,MATCH($P339,Sensors_MANU!$A$2:$A$4692,0))),"")</f>
        <v/>
      </c>
      <c r="D339" t="inlineStr">
        <is>
          <t>F832D0082A5E</t>
        </is>
      </c>
      <c r="E339">
        <f>LEFT(D339,2)&amp;":"&amp;MID(D339,3,2)&amp;":"&amp;MID(D339,5,2)&amp;":"&amp;MID(D339,7,2)&amp;":"&amp;MID(D339,9,2)&amp;":"&amp;RIGHT(D339,2)</f>
        <v/>
      </c>
      <c r="F339" s="29" t="n">
        <v>44918</v>
      </c>
      <c r="G339" s="29" t="inlineStr">
        <is>
          <t>Viezo</t>
        </is>
      </c>
      <c r="H339" t="inlineStr">
        <is>
          <t>DACE718978BC343D</t>
        </is>
      </c>
      <c r="I339">
        <f>IFERROR(_xlfn.IFNA(INDEX(Sensors_MANU!$C$2:$C$4692,MATCH($D339,Sensors_MANU!$B$2:$B$4692,0)),INDEX(Sensors_MANU!$C$2:$C$4692,MATCH($P339,Sensors_MANU!$A$2:$A$4692,0))),"")</f>
        <v/>
      </c>
      <c r="J339">
        <f>IFERROR(_xlfn.IFNA(INDEX(Sensors_MANU!$D$2:$D$4692,MATCH($D339,Sensors_MANU!$B$2:$B$4692,0)),INDEX(Sensors_MANU!$D$2:$D$4692,MATCH($P339,Sensors_MANU!$A$2:$A$4692,0))),"")</f>
        <v/>
      </c>
      <c r="K339" s="27" t="inlineStr">
        <is>
          <t>33854668206-7</t>
        </is>
      </c>
      <c r="L339" s="27" t="inlineStr">
        <is>
          <t>2L</t>
        </is>
      </c>
      <c r="M339" s="27" t="n"/>
      <c r="N339" s="99">
        <f>IFERROR(INDEX(Sensors_MANU!$G$2:$G$4692,MATCH($P339,Sensors_MANU!$A$2:$A$4692,0)),)</f>
        <v/>
      </c>
      <c r="O339" s="6" t="inlineStr">
        <is>
          <t>v16</t>
        </is>
      </c>
      <c r="P339" t="n">
        <v>4978669</v>
      </c>
    </row>
    <row r="340">
      <c r="A340" s="26" t="inlineStr">
        <is>
          <t>TANKWAGON</t>
        </is>
      </c>
      <c r="B340" s="24">
        <f>IFERROR(INDEX(Companies!$A$3:$A$101,MATCH(A340,Companies!$B$3:$B$101,0)),"")</f>
        <v/>
      </c>
      <c r="C340">
        <f>IFERROR(_xlfn.IFNA(INDEX(Sensors_MANU!$F$2:$F$4692,MATCH($D340,Sensors_MANU!$B$2:$B$4692,0)),INDEX(Sensors_MANU!$F$2:$F$4692,MATCH($P340,Sensors_MANU!$A$2:$A$4692,0))),"")</f>
        <v/>
      </c>
      <c r="D340" t="inlineStr">
        <is>
          <t>D245F390B6AD</t>
        </is>
      </c>
      <c r="E340">
        <f>LEFT(D340,2)&amp;":"&amp;MID(D340,3,2)&amp;":"&amp;MID(D340,5,2)&amp;":"&amp;MID(D340,7,2)&amp;":"&amp;MID(D340,9,2)&amp;":"&amp;RIGHT(D340,2)</f>
        <v/>
      </c>
      <c r="F340" s="29" t="n">
        <v>45222</v>
      </c>
      <c r="G340" s="29" t="inlineStr">
        <is>
          <t>Tankwagon</t>
        </is>
      </c>
      <c r="H340" s="2" t="inlineStr">
        <is>
          <t>6EAD328BFA9D0B86</t>
        </is>
      </c>
      <c r="I340">
        <f>IFERROR(_xlfn.IFNA(INDEX(Sensors_MANU!$C$2:$C$4692,MATCH($D340,Sensors_MANU!$B$2:$B$4692,0)),INDEX(Sensors_MANU!$C$2:$C$4692,MATCH($P340,Sensors_MANU!$A$2:$A$4692,0))),"")</f>
        <v/>
      </c>
      <c r="J340">
        <f>IFERROR(_xlfn.IFNA(INDEX(Sensors_MANU!$D$2:$D$4692,MATCH($D340,Sensors_MANU!$B$2:$B$4692,0)),INDEX(Sensors_MANU!$D$2:$D$4692,MATCH($P340,Sensors_MANU!$A$2:$A$4692,0))),"")</f>
        <v/>
      </c>
      <c r="K340" s="27" t="inlineStr">
        <is>
          <t>33857929905-2</t>
        </is>
      </c>
      <c r="L340" s="27" t="inlineStr">
        <is>
          <t>1R</t>
        </is>
      </c>
      <c r="M340" s="27" t="n"/>
      <c r="N340" s="99">
        <f>IFERROR(INDEX(Sensors_MANU!$G$2:$G$4692,MATCH($P340,Sensors_MANU!$A$2:$A$4692,0)),)</f>
        <v/>
      </c>
      <c r="O340" s="6" t="inlineStr">
        <is>
          <t>V26</t>
        </is>
      </c>
      <c r="P340" t="n">
        <v>4978809</v>
      </c>
    </row>
    <row r="341">
      <c r="A341" s="32" t="inlineStr">
        <is>
          <t>TRANSWAGGON</t>
        </is>
      </c>
      <c r="B341" s="24">
        <f>IFERROR(INDEX(Companies!$A$3:$A$101,MATCH(A341,Companies!$B$3:$B$101,0)),"")</f>
        <v/>
      </c>
      <c r="C341" t="inlineStr">
        <is>
          <t>cargo</t>
        </is>
      </c>
      <c r="D341" t="inlineStr">
        <is>
          <t>FF1ED14C6B53</t>
        </is>
      </c>
      <c r="E341" s="24">
        <f>LEFT(D341,2)&amp;":"&amp;MID(D341,3,2)&amp;":"&amp;MID(D341,5,2)&amp;":"&amp;MID(D341,7,2)&amp;":"&amp;MID(D341,9,2)&amp;":"&amp;RIGHT(D341,2)</f>
        <v/>
      </c>
      <c r="F341" s="29" t="n">
        <v>45090</v>
      </c>
      <c r="G341" s="29" t="inlineStr">
        <is>
          <t>VIEZO</t>
        </is>
      </c>
      <c r="H341" t="inlineStr">
        <is>
          <t>28C72DD23F67996B</t>
        </is>
      </c>
      <c r="I341">
        <f>IFERROR(_xlfn.IFNA(INDEX(Sensors_MANU!$C$2:$C$4692,MATCH($D341,Sensors_MANU!$B$2:$B$4692,0)),INDEX(Sensors_MANU!$C$2:$C$4692,MATCH($P341,Sensors_MANU!$A$2:$A$4692,0))),"")</f>
        <v/>
      </c>
      <c r="J341" t="inlineStr">
        <is>
          <t>PR2203-064</t>
        </is>
      </c>
      <c r="K341" s="27" t="inlineStr">
        <is>
          <t>33802742608-3</t>
        </is>
      </c>
      <c r="L341" s="27" t="inlineStr">
        <is>
          <t>4R</t>
        </is>
      </c>
    </row>
    <row r="342">
      <c r="A342" s="32">
        <f>IFERROR(_xlfn.IFNA(INDEX(Sensors_MANU!$E$2:$E$4692,MATCH($D342,Sensors_MANU!$B$2:$B$4692,0)),INDEX(Sensors_MANU!$E$2:$E$4692,MATCH($P342,Sensors_MANU!$A$2:$A$4692,0))),"")</f>
        <v/>
      </c>
      <c r="B342" s="24">
        <f>IFERROR(INDEX(Companies!$A$3:$A$101,MATCH(A342,Companies!$B$3:$B$101,0)),"")</f>
        <v/>
      </c>
      <c r="D342" t="inlineStr">
        <is>
          <t>EB8B9E63E6A0</t>
        </is>
      </c>
      <c r="E342">
        <f>LEFT(D342,2)&amp;":"&amp;MID(D342,3,2)&amp;":"&amp;MID(D342,5,2)&amp;":"&amp;MID(D342,7,2)&amp;":"&amp;MID(D342,9,2)&amp;":"&amp;RIGHT(D342,2)</f>
        <v/>
      </c>
      <c r="F342" s="29" t="n">
        <v>44910</v>
      </c>
      <c r="G342" s="29" t="inlineStr">
        <is>
          <t>Viezo</t>
        </is>
      </c>
      <c r="H342" t="inlineStr">
        <is>
          <t>4E40CBCB978AC404</t>
        </is>
      </c>
      <c r="I342">
        <f>IFERROR(_xlfn.IFNA(INDEX(Sensors_MANU!$C$2:$C$4692,MATCH($D342,Sensors_MANU!$B$2:$B$4692,0)),INDEX(Sensors_MANU!$C$2:$C$4692,MATCH($P342,Sensors_MANU!$A$2:$A$4692,0))),"")</f>
        <v/>
      </c>
      <c r="J342">
        <f>IFERROR(_xlfn.IFNA(INDEX(Sensors_MANU!$D$2:$D$4692,MATCH($D342,Sensors_MANU!$B$2:$B$4692,0)),INDEX(Sensors_MANU!$D$2:$D$4692,MATCH($P342,Sensors_MANU!$A$2:$A$4692,0))),"")</f>
        <v/>
      </c>
      <c r="K342" s="27" t="inlineStr">
        <is>
          <t>33854956699-4</t>
        </is>
      </c>
      <c r="L342" s="27" t="inlineStr">
        <is>
          <t>10b</t>
        </is>
      </c>
      <c r="M342" s="61" t="inlineStr">
        <is>
          <t>88220138</t>
        </is>
      </c>
    </row>
    <row r="343">
      <c r="A343" s="32" t="inlineStr">
        <is>
          <t>CARGONET</t>
        </is>
      </c>
      <c r="B343" s="24">
        <f>IFERROR(INDEX(Companies!$A$3:$A$101,MATCH(A343,Companies!$B$3:$B$101,0)),"")</f>
        <v/>
      </c>
      <c r="D343" t="inlineStr">
        <is>
          <t>C279E37ABBD2</t>
        </is>
      </c>
      <c r="E343">
        <f>LEFT(D343,2)&amp;":"&amp;MID(D343,3,2)&amp;":"&amp;MID(D343,5,2)&amp;":"&amp;MID(D343,7,2)&amp;":"&amp;MID(D343,9,2)&amp;":"&amp;RIGHT(D343,2)</f>
        <v/>
      </c>
      <c r="H343" t="inlineStr">
        <is>
          <t>27E4C6207475DD9F</t>
        </is>
      </c>
      <c r="I343">
        <f>IFERROR(_xlfn.IFNA(INDEX(Sensors_MANU!$C$2:$C$4692,MATCH($D343,Sensors_MANU!$B$2:$B$4692,0)),INDEX(Sensors_MANU!$C$2:$C$4692,MATCH($P343,Sensors_MANU!$A$2:$A$4692,0))),"")</f>
        <v/>
      </c>
      <c r="J343" t="inlineStr">
        <is>
          <t>PR2203-067</t>
        </is>
      </c>
      <c r="K343" s="27" t="inlineStr">
        <is>
          <t>33764955305-0</t>
        </is>
      </c>
      <c r="L343" s="27" t="inlineStr">
        <is>
          <t>6L</t>
        </is>
      </c>
    </row>
    <row r="344">
      <c r="A344" s="32">
        <f>IFERROR(_xlfn.IFNA(INDEX(Sensors_MANU!$E$2:$E$4692,MATCH($D344,Sensors_MANU!$B$2:$B$4692,0)),INDEX(Sensors_MANU!$E$2:$E$4692,MATCH($P344,Sensors_MANU!$A$2:$A$4692,0))),"")</f>
        <v/>
      </c>
      <c r="B344" s="24">
        <f>IFERROR(INDEX(Companies!$A$3:$A$101,MATCH(A344,Companies!$B$3:$B$101,0)),"")</f>
        <v/>
      </c>
      <c r="C344">
        <f>IFERROR(_xlfn.IFNA(INDEX(Sensors_MANU!$F$2:$F$4692,MATCH($D344,Sensors_MANU!$B$2:$B$4692,0)),INDEX(Sensors_MANU!$F$2:$F$4692,MATCH($P344,Sensors_MANU!$A$2:$A$4692,0))),"")</f>
        <v/>
      </c>
      <c r="D344" t="inlineStr">
        <is>
          <t>F341A2C19DC2</t>
        </is>
      </c>
      <c r="E344" s="24">
        <f>LEFT(D344,2)&amp;":"&amp;MID(D344,3,2)&amp;":"&amp;MID(D344,5,2)&amp;":"&amp;MID(D344,7,2)&amp;":"&amp;MID(D344,9,2)&amp;":"&amp;RIGHT(D344,2)</f>
        <v/>
      </c>
      <c r="F344" s="29" t="n">
        <v>44918</v>
      </c>
      <c r="G344" s="29" t="inlineStr">
        <is>
          <t>Viezo</t>
        </is>
      </c>
      <c r="H344" t="inlineStr">
        <is>
          <t>4F0A7F8F518E389F</t>
        </is>
      </c>
      <c r="I344">
        <f>IFERROR(_xlfn.IFNA(INDEX(Sensors_MANU!$C$2:$C$4692,MATCH($D344,Sensors_MANU!$B$2:$B$4692,0)),INDEX(Sensors_MANU!$C$2:$C$4692,MATCH($P344,Sensors_MANU!$A$2:$A$4692,0))),"")</f>
        <v/>
      </c>
      <c r="J344">
        <f>IFERROR(_xlfn.IFNA(INDEX(Sensors_MANU!$D$2:$D$4692,MATCH($D344,Sensors_MANU!$B$2:$B$4692,0)),INDEX(Sensors_MANU!$D$2:$D$4692,MATCH($P344,Sensors_MANU!$A$2:$A$4692,0))),"")</f>
        <v/>
      </c>
      <c r="K344" s="27" t="inlineStr">
        <is>
          <t>33854668206-7</t>
        </is>
      </c>
      <c r="L344" s="27" t="inlineStr">
        <is>
          <t>3R</t>
        </is>
      </c>
      <c r="N344" s="99">
        <f>IFERROR(INDEX(Sensors_MANU!$G$2:$G$4692,MATCH($P344,Sensors_MANU!$A$2:$A$4692,0)),)</f>
        <v/>
      </c>
      <c r="O344" s="6" t="inlineStr">
        <is>
          <t>v17</t>
        </is>
      </c>
      <c r="P344" t="n">
        <v>4978547</v>
      </c>
    </row>
    <row r="345">
      <c r="A345" s="32">
        <f>IFERROR(_xlfn.IFNA(INDEX(Sensors_MANU!$E$2:$E$4692,MATCH($D345,Sensors_MANU!$B$2:$B$4692,0)),INDEX(Sensors_MANU!$E$2:$E$4692,MATCH($P345,Sensors_MANU!$A$2:$A$4692,0))),"")</f>
        <v/>
      </c>
      <c r="B345" s="24">
        <f>IFERROR(INDEX(Companies!$A$3:$A$101,MATCH(A345,Companies!$B$3:$B$101,0)),"")</f>
        <v/>
      </c>
      <c r="C345">
        <f>IFERROR(_xlfn.IFNA(INDEX(Sensors_MANU!$F$2:$F$4692,MATCH($D345,Sensors_MANU!$B$2:$B$4692,0)),INDEX(Sensors_MANU!$F$2:$F$4692,MATCH($P345,Sensors_MANU!$A$2:$A$4692,0))),"")</f>
        <v/>
      </c>
      <c r="D345" t="inlineStr">
        <is>
          <t>EC18F78F8BAA</t>
        </is>
      </c>
      <c r="E345">
        <f>LEFT(D345,2)&amp;":"&amp;MID(D345,3,2)&amp;":"&amp;MID(D345,5,2)&amp;":"&amp;MID(D345,7,2)&amp;":"&amp;MID(D345,9,2)&amp;":"&amp;RIGHT(D345,2)</f>
        <v/>
      </c>
      <c r="F345" s="29" t="n">
        <v>44910</v>
      </c>
      <c r="G345" s="29" t="inlineStr">
        <is>
          <t>Viezo</t>
        </is>
      </c>
      <c r="H345" t="inlineStr">
        <is>
          <t>A2C1FDAD6CB02923</t>
        </is>
      </c>
      <c r="I345">
        <f>IFERROR(_xlfn.IFNA(INDEX(Sensors_MANU!$C$2:$C$4692,MATCH($D345,Sensors_MANU!$B$2:$B$4692,0)),INDEX(Sensors_MANU!$C$2:$C$4692,MATCH($P345,Sensors_MANU!$A$2:$A$4692,0))),"")</f>
        <v/>
      </c>
      <c r="J345" s="7">
        <f>IFERROR(_xlfn.IFNA(INDEX(Sensors_MANU!$D$2:$D$4692,MATCH($D345,Sensors_MANU!$B$2:$B$4692,0)),INDEX(Sensors_MANU!$D$2:$D$4692,MATCH($P345,Sensors_MANU!$A$2:$A$4692,0))),"")</f>
        <v/>
      </c>
      <c r="K345" s="27" t="inlineStr">
        <is>
          <t>31835377921-4</t>
        </is>
      </c>
      <c r="L345" s="27" t="inlineStr">
        <is>
          <t>1R</t>
        </is>
      </c>
      <c r="M345" s="27" t="n"/>
      <c r="N345" s="99">
        <f>IFERROR(INDEX(Sensors_MANU!$G$2:$G$4692,MATCH($P345,Sensors_MANU!$A$2:$A$4692,0)),)</f>
        <v/>
      </c>
      <c r="O345" s="6" t="inlineStr">
        <is>
          <t>v16</t>
        </is>
      </c>
      <c r="P345" t="n">
        <v>4978765</v>
      </c>
    </row>
    <row r="346">
      <c r="A346" s="32">
        <f>IFERROR(_xlfn.IFNA(INDEX(Sensors_MANU!$E$2:$E$4692,MATCH($D346,Sensors_MANU!$B$2:$B$4692,0)),INDEX(Sensors_MANU!$E$2:$E$4692,MATCH($P346,Sensors_MANU!$A$2:$A$4692,0))),"")</f>
        <v/>
      </c>
      <c r="B346" s="24">
        <f>IFERROR(INDEX(Companies!$A$3:$A$101,MATCH(A346,Companies!$B$3:$B$101,0)),"")</f>
        <v/>
      </c>
      <c r="C346" t="inlineStr">
        <is>
          <t>cargo</t>
        </is>
      </c>
      <c r="D346" t="inlineStr">
        <is>
          <t>C3D6BFFEE589</t>
        </is>
      </c>
      <c r="E346">
        <f>LEFT(D346,2)&amp;":"&amp;MID(D346,3,2)&amp;":"&amp;MID(D346,5,2)&amp;":"&amp;MID(D346,7,2)&amp;":"&amp;MID(D346,9,2)&amp;":"&amp;RIGHT(D346,2)</f>
        <v/>
      </c>
      <c r="H346" t="inlineStr">
        <is>
          <t>190A9366C2C63E54</t>
        </is>
      </c>
      <c r="I346">
        <f>IFERROR(_xlfn.IFNA(INDEX(Sensors_MANU!$C$2:$C$4692,MATCH($D346,Sensors_MANU!$B$2:$B$4692,0)),INDEX(Sensors_MANU!$C$2:$C$4692,MATCH($P346,Sensors_MANU!$A$2:$A$4692,0))),"")</f>
        <v/>
      </c>
      <c r="J346">
        <f>IFERROR(_xlfn.IFNA(INDEX(Sensors_MANU!$D$2:$D$4692,MATCH($D346,Sensors_MANU!$B$2:$B$4692,0)),INDEX(Sensors_MANU!$D$2:$D$4692,MATCH($P346,Sensors_MANU!$A$2:$A$4692,0))),"")</f>
        <v/>
      </c>
      <c r="M346" s="27" t="n"/>
      <c r="N346" s="99">
        <f>IFERROR(INDEX(Sensors_MANU!$G$2:$G$4692,MATCH($P346,Sensors_MANU!$A$2:$A$4692,0)),)</f>
        <v/>
      </c>
      <c r="O346" s="6" t="inlineStr">
        <is>
          <t>v15</t>
        </is>
      </c>
      <c r="P346" t="n">
        <v>4978514</v>
      </c>
    </row>
    <row r="347">
      <c r="B347" s="24">
        <f>IFERROR(INDEX(Companies!$A$3:$A$101,MATCH(A347,Companies!$B$3:$B$101,0)),"")</f>
        <v/>
      </c>
      <c r="C347">
        <f>IFERROR(_xlfn.IFNA(INDEX(Sensors_MANU!$F$2:$F$4692,MATCH($D347,Sensors_MANU!$B$2:$B$4692,0)),INDEX(Sensors_MANU!$F$2:$F$4692,MATCH($P347,Sensors_MANU!$A$2:$A$4692,0))),"")</f>
        <v/>
      </c>
      <c r="D347" t="inlineStr">
        <is>
          <t>F84588EA58AC</t>
        </is>
      </c>
      <c r="E347" s="24">
        <f>LEFT(D347,2)&amp;":"&amp;MID(D347,3,2)&amp;":"&amp;MID(D347,5,2)&amp;":"&amp;MID(D347,7,2)&amp;":"&amp;MID(D347,9,2)&amp;":"&amp;RIGHT(D347,2)</f>
        <v/>
      </c>
      <c r="H347" t="inlineStr">
        <is>
          <t>C4CA4FE5258AA958</t>
        </is>
      </c>
      <c r="I347">
        <f>IFERROR(_xlfn.IFNA(INDEX(Sensors_MANU!$C$2:$C$4692,MATCH($D347,Sensors_MANU!$B$2:$B$4692,0)),INDEX(Sensors_MANU!$C$2:$C$4692,MATCH($P347,Sensors_MANU!$A$2:$A$4692,0))),"")</f>
        <v/>
      </c>
      <c r="J347">
        <f>IFERROR(_xlfn.IFNA(INDEX(Sensors_MANU!$D$2:$D$4692,MATCH($D347,Sensors_MANU!$B$2:$B$4692,0)),INDEX(Sensors_MANU!$D$2:$D$4692,MATCH($P347,Sensors_MANU!$A$2:$A$4692,0))),"")</f>
        <v/>
      </c>
      <c r="N347" s="99">
        <f>IFERROR(INDEX(Sensors_MANU!$G$2:$G$4692,MATCH($P347,Sensors_MANU!$A$2:$A$4692,0)),)</f>
        <v/>
      </c>
      <c r="O347" s="6" t="inlineStr">
        <is>
          <t>v17</t>
        </is>
      </c>
      <c r="P347" t="n">
        <v>4978519</v>
      </c>
    </row>
    <row r="348">
      <c r="A348" s="32">
        <f>IFERROR(_xlfn.IFNA(INDEX(Sensors_MANU!$E$2:$E$4692,MATCH($D348,Sensors_MANU!$B$2:$B$4692,0)),INDEX(Sensors_MANU!$E$2:$E$4692,MATCH($P348,Sensors_MANU!$A$2:$A$4692,0))),"")</f>
        <v/>
      </c>
      <c r="B348" s="24">
        <f>IFERROR(INDEX(Companies!$A$3:$A$101,MATCH(A348,Companies!$B$3:$B$101,0)),"")</f>
        <v/>
      </c>
      <c r="C348" t="inlineStr">
        <is>
          <t>cargo</t>
        </is>
      </c>
      <c r="D348" t="inlineStr">
        <is>
          <t>EB6EA310DC08</t>
        </is>
      </c>
      <c r="E348">
        <f>LEFT(D348,2)&amp;":"&amp;MID(D348,3,2)&amp;":"&amp;MID(D348,5,2)&amp;":"&amp;MID(D348,7,2)&amp;":"&amp;MID(D348,9,2)&amp;":"&amp;RIGHT(D348,2)</f>
        <v/>
      </c>
      <c r="H348" t="inlineStr">
        <is>
          <t>BC9EBD26FD0A88D6</t>
        </is>
      </c>
      <c r="I348">
        <f>IFERROR(_xlfn.IFNA(INDEX(Sensors_MANU!$C$2:$C$4692,MATCH($D348,Sensors_MANU!$B$2:$B$4692,0)),INDEX(Sensors_MANU!$C$2:$C$4692,MATCH($P348,Sensors_MANU!$A$2:$A$4692,0))),"")</f>
        <v/>
      </c>
      <c r="J348">
        <f>IFERROR(_xlfn.IFNA(INDEX(Sensors_MANU!$D$2:$D$4692,MATCH($D348,Sensors_MANU!$B$2:$B$4692,0)),INDEX(Sensors_MANU!$D$2:$D$4692,MATCH($P348,Sensors_MANU!$A$2:$A$4692,0))),"")</f>
        <v/>
      </c>
      <c r="M348" s="27" t="n"/>
      <c r="N348" s="99">
        <f>IFERROR(INDEX(Sensors_MANU!$G$2:$G$4692,MATCH($P348,Sensors_MANU!$A$2:$A$4692,0)),)</f>
        <v/>
      </c>
      <c r="O348" s="6" t="inlineStr">
        <is>
          <t>v15</t>
        </is>
      </c>
      <c r="P348" t="n">
        <v>4978548</v>
      </c>
    </row>
    <row r="349">
      <c r="A349" s="32">
        <f>IFERROR(_xlfn.IFNA(INDEX(Sensors_MANU!$E$2:$E$4692,MATCH($D349,Sensors_MANU!$B$2:$B$4692,0)),INDEX(Sensors_MANU!$E$2:$E$4692,MATCH($P349,Sensors_MANU!$A$2:$A$4692,0))),"")</f>
        <v/>
      </c>
      <c r="B349" s="24">
        <f>IFERROR(INDEX(Companies!$A$3:$A$101,MATCH(A349,Companies!$B$3:$B$101,0)),"")</f>
        <v/>
      </c>
      <c r="C349" t="inlineStr">
        <is>
          <t>cargo</t>
        </is>
      </c>
      <c r="D349" t="inlineStr">
        <is>
          <t>F4E5EFCF97DE</t>
        </is>
      </c>
      <c r="E349">
        <f>LEFT(D349,2)&amp;":"&amp;MID(D349,3,2)&amp;":"&amp;MID(D349,5,2)&amp;":"&amp;MID(D349,7,2)&amp;":"&amp;MID(D349,9,2)&amp;":"&amp;RIGHT(D349,2)</f>
        <v/>
      </c>
      <c r="H349" t="inlineStr">
        <is>
          <t>A135DF2EE5B777F2</t>
        </is>
      </c>
      <c r="I349">
        <f>IFERROR(_xlfn.IFNA(INDEX(Sensors_MANU!$C$2:$C$4692,MATCH($D349,Sensors_MANU!$B$2:$B$4692,0)),INDEX(Sensors_MANU!$C$2:$C$4692,MATCH($P349,Sensors_MANU!$A$2:$A$4692,0))),"")</f>
        <v/>
      </c>
      <c r="J349">
        <f>IFERROR(_xlfn.IFNA(INDEX(Sensors_MANU!$D$2:$D$4692,MATCH($D349,Sensors_MANU!$B$2:$B$4692,0)),INDEX(Sensors_MANU!$D$2:$D$4692,MATCH($P349,Sensors_MANU!$A$2:$A$4692,0))),"")</f>
        <v/>
      </c>
      <c r="M349" s="27" t="n"/>
      <c r="N349" s="99">
        <f>IFERROR(INDEX(Sensors_MANU!$G$2:$G$4692,MATCH($P349,Sensors_MANU!$A$2:$A$4692,0)),)</f>
        <v/>
      </c>
      <c r="O349" s="6" t="inlineStr">
        <is>
          <t>v15</t>
        </is>
      </c>
      <c r="P349" t="n">
        <v>4978888</v>
      </c>
    </row>
    <row r="350">
      <c r="A350" s="32" t="inlineStr">
        <is>
          <t>TANKWAGON</t>
        </is>
      </c>
      <c r="B350" s="24">
        <f>IFERROR(INDEX(Companies!$A$3:$A$101,MATCH(A350,Companies!$B$3:$B$101,0)),"")</f>
        <v/>
      </c>
      <c r="C350">
        <f>IFERROR(_xlfn.IFNA(INDEX(Sensors_MANU!$F$2:$F$4692,MATCH($D350,Sensors_MANU!$B$2:$B$4692,0)),INDEX(Sensors_MANU!$F$2:$F$4692,MATCH($P350,Sensors_MANU!$A$2:$A$4692,0))),"")</f>
        <v/>
      </c>
      <c r="D350" t="inlineStr">
        <is>
          <t>D1DFDEE4F255</t>
        </is>
      </c>
      <c r="E350">
        <f>LEFT(D350,2)&amp;":"&amp;MID(D350,3,2)&amp;":"&amp;MID(D350,5,2)&amp;":"&amp;MID(D350,7,2)&amp;":"&amp;MID(D350,9,2)&amp;":"&amp;RIGHT(D350,2)</f>
        <v/>
      </c>
      <c r="H350" s="2" t="inlineStr">
        <is>
          <t>D533C76760AB5134</t>
        </is>
      </c>
      <c r="I350">
        <f>IFERROR(_xlfn.IFNA(INDEX(Sensors_MANU!$C$2:$C$4692,MATCH($D350,Sensors_MANU!$B$2:$B$4692,0)),INDEX(Sensors_MANU!$C$2:$C$4692,MATCH($P350,Sensors_MANU!$A$2:$A$4692,0))),"")</f>
        <v/>
      </c>
      <c r="J350" s="109" t="inlineStr">
        <is>
          <t>PR2203-072</t>
        </is>
      </c>
      <c r="M350" s="27" t="n"/>
      <c r="N350" s="99">
        <f>IFERROR(INDEX(Sensors_MANU!$G$2:$G$4692,MATCH($P350,Sensors_MANU!$A$2:$A$4692,0)),)</f>
        <v/>
      </c>
      <c r="O350" s="6" t="inlineStr">
        <is>
          <t>V26</t>
        </is>
      </c>
      <c r="P350" t="n">
        <v>4978420</v>
      </c>
    </row>
    <row r="351">
      <c r="A351" s="32">
        <f>IFERROR(_xlfn.IFNA(INDEX(Sensors_MANU!$E$2:$E$4692,MATCH($D351,Sensors_MANU!$B$2:$B$4692,0)),INDEX(Sensors_MANU!$E$2:$E$4692,MATCH($P351,Sensors_MANU!$A$2:$A$4692,0))),"")</f>
        <v/>
      </c>
      <c r="B351" s="24">
        <f>IFERROR(INDEX(Companies!$A$3:$A$101,MATCH(A351,Companies!$B$3:$B$101,0)),"")</f>
        <v/>
      </c>
      <c r="C351" t="inlineStr">
        <is>
          <t>cargo</t>
        </is>
      </c>
      <c r="D351" t="inlineStr">
        <is>
          <t>E55E6279C98F</t>
        </is>
      </c>
      <c r="E351">
        <f>LEFT(D351,2)&amp;":"&amp;MID(D351,3,2)&amp;":"&amp;MID(D351,5,2)&amp;":"&amp;MID(D351,7,2)&amp;":"&amp;MID(D351,9,2)&amp;":"&amp;RIGHT(D351,2)</f>
        <v/>
      </c>
      <c r="H351" t="inlineStr">
        <is>
          <t>03CC64843954B065</t>
        </is>
      </c>
      <c r="I351">
        <f>IFERROR(_xlfn.IFNA(INDEX(Sensors_MANU!$C$2:$C$4692,MATCH($D351,Sensors_MANU!$B$2:$B$4692,0)),INDEX(Sensors_MANU!$C$2:$C$4692,MATCH($P351,Sensors_MANU!$A$2:$A$4692,0))),"")</f>
        <v/>
      </c>
      <c r="J351">
        <f>IFERROR(_xlfn.IFNA(INDEX(Sensors_MANU!$D$2:$D$4692,MATCH($D351,Sensors_MANU!$B$2:$B$4692,0)),INDEX(Sensors_MANU!$D$2:$D$4692,MATCH($P351,Sensors_MANU!$A$2:$A$4692,0))),"")</f>
        <v/>
      </c>
      <c r="M351" s="27" t="n"/>
      <c r="N351" s="99">
        <f>IFERROR(INDEX(Sensors_MANU!$G$2:$G$4692,MATCH($P351,Sensors_MANU!$A$2:$A$4692,0)),)</f>
        <v/>
      </c>
      <c r="O351" s="6" t="inlineStr">
        <is>
          <t>v15</t>
        </is>
      </c>
      <c r="P351" t="n">
        <v>4978618</v>
      </c>
    </row>
    <row r="352">
      <c r="A352" s="32">
        <f>IFERROR(_xlfn.IFNA(INDEX(Sensors_MANU!$E$2:$E$4692,MATCH($D352,Sensors_MANU!$B$2:$B$4692,0)),INDEX(Sensors_MANU!$E$2:$E$4692,MATCH($P352,Sensors_MANU!$A$2:$A$4692,0))),"")</f>
        <v/>
      </c>
      <c r="B352" s="24">
        <f>IFERROR(INDEX(Companies!$A$3:$A$101,MATCH(A352,Companies!$B$3:$B$101,0)),"")</f>
        <v/>
      </c>
      <c r="C352" t="inlineStr">
        <is>
          <t>cargo</t>
        </is>
      </c>
      <c r="D352" t="inlineStr">
        <is>
          <t>FB38C968A026</t>
        </is>
      </c>
      <c r="E352">
        <f>LEFT(D352,2)&amp;":"&amp;MID(D352,3,2)&amp;":"&amp;MID(D352,5,2)&amp;":"&amp;MID(D352,7,2)&amp;":"&amp;MID(D352,9,2)&amp;":"&amp;RIGHT(D352,2)</f>
        <v/>
      </c>
      <c r="H352" t="inlineStr">
        <is>
          <t>54635EEA79EC28ED</t>
        </is>
      </c>
      <c r="I352">
        <f>IFERROR(_xlfn.IFNA(INDEX(Sensors_MANU!$C$2:$C$4692,MATCH($D352,Sensors_MANU!$B$2:$B$4692,0)),INDEX(Sensors_MANU!$C$2:$C$4692,MATCH($P352,Sensors_MANU!$A$2:$A$4692,0))),"")</f>
        <v/>
      </c>
      <c r="J352">
        <f>IFERROR(_xlfn.IFNA(INDEX(Sensors_MANU!$D$2:$D$4692,MATCH($D352,Sensors_MANU!$B$2:$B$4692,0)),INDEX(Sensors_MANU!$D$2:$D$4692,MATCH($P352,Sensors_MANU!$A$2:$A$4692,0))),"")</f>
        <v/>
      </c>
      <c r="M352" s="27" t="n"/>
      <c r="N352" s="99">
        <f>IFERROR(INDEX(Sensors_MANU!$G$2:$G$4692,MATCH($P352,Sensors_MANU!$A$2:$A$4692,0)),)</f>
        <v/>
      </c>
      <c r="O352" s="6" t="inlineStr">
        <is>
          <t>v15</t>
        </is>
      </c>
      <c r="P352" t="n">
        <v>4978530</v>
      </c>
    </row>
    <row r="353">
      <c r="A353" s="32">
        <f>IFERROR(_xlfn.IFNA(INDEX(Sensors_MANU!$E$2:$E$4692,MATCH($D353,Sensors_MANU!$B$2:$B$4692,0)),INDEX(Sensors_MANU!$E$2:$E$4692,MATCH($P353,Sensors_MANU!$A$2:$A$4692,0))),"")</f>
        <v/>
      </c>
      <c r="B353" s="24">
        <f>IFERROR(INDEX(Companies!$A$3:$A$101,MATCH(A353,Companies!$B$3:$B$101,0)),"")</f>
        <v/>
      </c>
      <c r="C353" t="inlineStr">
        <is>
          <t>cargo</t>
        </is>
      </c>
      <c r="D353" t="inlineStr">
        <is>
          <t>C722764DACDF</t>
        </is>
      </c>
      <c r="E353">
        <f>LEFT(D353,2)&amp;":"&amp;MID(D353,3,2)&amp;":"&amp;MID(D353,5,2)&amp;":"&amp;MID(D353,7,2)&amp;":"&amp;MID(D353,9,2)&amp;":"&amp;RIGHT(D353,2)</f>
        <v/>
      </c>
      <c r="H353" t="inlineStr">
        <is>
          <t>B7391642F6851CFB</t>
        </is>
      </c>
      <c r="I353">
        <f>IFERROR(_xlfn.IFNA(INDEX(Sensors_MANU!$C$2:$C$4692,MATCH($D353,Sensors_MANU!$B$2:$B$4692,0)),INDEX(Sensors_MANU!$C$2:$C$4692,MATCH($P353,Sensors_MANU!$A$2:$A$4692,0))),"")</f>
        <v/>
      </c>
      <c r="J353">
        <f>IFERROR(_xlfn.IFNA(INDEX(Sensors_MANU!$D$2:$D$4692,MATCH($D353,Sensors_MANU!$B$2:$B$4692,0)),INDEX(Sensors_MANU!$D$2:$D$4692,MATCH($P353,Sensors_MANU!$A$2:$A$4692,0))),"")</f>
        <v/>
      </c>
      <c r="M353" s="27" t="n"/>
      <c r="N353" s="99">
        <f>IFERROR(INDEX(Sensors_MANU!$G$2:$G$4692,MATCH($P353,Sensors_MANU!$A$2:$A$4692,0)),)</f>
        <v/>
      </c>
      <c r="O353" s="6" t="inlineStr">
        <is>
          <t>v15</t>
        </is>
      </c>
      <c r="P353" t="n">
        <v>4978554</v>
      </c>
    </row>
    <row r="354">
      <c r="A354" s="32">
        <f>IFERROR(_xlfn.IFNA(INDEX(Sensors_MANU!$E$2:$E$4692,MATCH($D354,Sensors_MANU!$B$2:$B$4692,0)),INDEX(Sensors_MANU!$E$2:$E$4692,MATCH($P354,Sensors_MANU!$A$2:$A$4692,0))),"")</f>
        <v/>
      </c>
      <c r="B354" s="24">
        <f>IFERROR(INDEX(Companies!$A$3:$A$101,MATCH(A354,Companies!$B$3:$B$101,0)),"")</f>
        <v/>
      </c>
      <c r="C354" t="inlineStr">
        <is>
          <t>cargo</t>
        </is>
      </c>
      <c r="D354" t="inlineStr">
        <is>
          <t>C017B14626D9</t>
        </is>
      </c>
      <c r="E354">
        <f>LEFT(D354,2)&amp;":"&amp;MID(D354,3,2)&amp;":"&amp;MID(D354,5,2)&amp;":"&amp;MID(D354,7,2)&amp;":"&amp;MID(D354,9,2)&amp;":"&amp;RIGHT(D354,2)</f>
        <v/>
      </c>
      <c r="H354" t="inlineStr">
        <is>
          <t>B623515DC06E8B8F</t>
        </is>
      </c>
      <c r="I354">
        <f>IFERROR(_xlfn.IFNA(INDEX(Sensors_MANU!$C$2:$C$4692,MATCH($D354,Sensors_MANU!$B$2:$B$4692,0)),INDEX(Sensors_MANU!$C$2:$C$4692,MATCH($P354,Sensors_MANU!$A$2:$A$4692,0))),"")</f>
        <v/>
      </c>
      <c r="J354">
        <f>IFERROR(_xlfn.IFNA(INDEX(Sensors_MANU!$D$2:$D$4692,MATCH($D354,Sensors_MANU!$B$2:$B$4692,0)),INDEX(Sensors_MANU!$D$2:$D$4692,MATCH($P354,Sensors_MANU!$A$2:$A$4692,0))),"")</f>
        <v/>
      </c>
      <c r="M354" s="27" t="n"/>
      <c r="N354" s="99">
        <f>IFERROR(INDEX(Sensors_MANU!$G$2:$G$4692,MATCH($P354,Sensors_MANU!$A$2:$A$4692,0)),)</f>
        <v/>
      </c>
      <c r="O354" s="6" t="inlineStr">
        <is>
          <t>v15</t>
        </is>
      </c>
      <c r="P354" t="n">
        <v>4978768</v>
      </c>
    </row>
    <row r="355">
      <c r="A355" s="32">
        <f>IFERROR(_xlfn.IFNA(INDEX(Sensors_MANU!$E$2:$E$4692,MATCH($D355,Sensors_MANU!$B$2:$B$4692,0)),INDEX(Sensors_MANU!$E$2:$E$4692,MATCH($P355,Sensors_MANU!$A$2:$A$4692,0))),"")</f>
        <v/>
      </c>
      <c r="B355" s="24">
        <f>IFERROR(INDEX(Companies!$A$3:$A$101,MATCH(A355,Companies!$B$3:$B$101,0)),"")</f>
        <v/>
      </c>
      <c r="C355" t="inlineStr">
        <is>
          <t>cargo</t>
        </is>
      </c>
      <c r="D355" t="inlineStr">
        <is>
          <t>D95434D78AF8</t>
        </is>
      </c>
      <c r="E355">
        <f>LEFT(D355,2)&amp;":"&amp;MID(D355,3,2)&amp;":"&amp;MID(D355,5,2)&amp;":"&amp;MID(D355,7,2)&amp;":"&amp;MID(D355,9,2)&amp;":"&amp;RIGHT(D355,2)</f>
        <v/>
      </c>
      <c r="H355" t="inlineStr">
        <is>
          <t>AF806B327BB0C6BC</t>
        </is>
      </c>
      <c r="I355">
        <f>IFERROR(_xlfn.IFNA(INDEX(Sensors_MANU!$C$2:$C$4692,MATCH($D355,Sensors_MANU!$B$2:$B$4692,0)),INDEX(Sensors_MANU!$C$2:$C$4692,MATCH($P355,Sensors_MANU!$A$2:$A$4692,0))),"")</f>
        <v/>
      </c>
      <c r="J355">
        <f>IFERROR(_xlfn.IFNA(INDEX(Sensors_MANU!$D$2:$D$4692,MATCH($D355,Sensors_MANU!$B$2:$B$4692,0)),INDEX(Sensors_MANU!$D$2:$D$4692,MATCH($P355,Sensors_MANU!$A$2:$A$4692,0))),"")</f>
        <v/>
      </c>
      <c r="M355" s="27" t="n"/>
      <c r="N355" s="99">
        <f>IFERROR(INDEX(Sensors_MANU!$G$2:$G$4692,MATCH($P355,Sensors_MANU!$A$2:$A$4692,0)),)</f>
        <v/>
      </c>
      <c r="O355" s="6" t="inlineStr">
        <is>
          <t>v15</t>
        </is>
      </c>
      <c r="P355" t="n">
        <v>4978753</v>
      </c>
    </row>
    <row r="356">
      <c r="A356" s="32">
        <f>IFERROR(_xlfn.IFNA(INDEX(Sensors_MANU!$E$2:$E$4692,MATCH($D356,Sensors_MANU!$B$2:$B$4692,0)),INDEX(Sensors_MANU!$E$2:$E$4692,MATCH($P356,Sensors_MANU!$A$2:$A$4692,0))),"")</f>
        <v/>
      </c>
      <c r="B356" s="24">
        <f>IFERROR(INDEX(Companies!$A$3:$A$101,MATCH(A356,Companies!$B$3:$B$101,0)),"")</f>
        <v/>
      </c>
      <c r="C356" t="inlineStr">
        <is>
          <t>cargo</t>
        </is>
      </c>
      <c r="D356" t="inlineStr">
        <is>
          <t>E1C57BE8C96C</t>
        </is>
      </c>
      <c r="E356">
        <f>LEFT(D356,2)&amp;":"&amp;MID(D356,3,2)&amp;":"&amp;MID(D356,5,2)&amp;":"&amp;MID(D356,7,2)&amp;":"&amp;MID(D356,9,2)&amp;":"&amp;RIGHT(D356,2)</f>
        <v/>
      </c>
      <c r="H356" t="inlineStr">
        <is>
          <t>EFC8A040CA832046</t>
        </is>
      </c>
      <c r="I356">
        <f>IFERROR(_xlfn.IFNA(INDEX(Sensors_MANU!$C$2:$C$4692,MATCH($D356,Sensors_MANU!$B$2:$B$4692,0)),INDEX(Sensors_MANU!$C$2:$C$4692,MATCH($P356,Sensors_MANU!$A$2:$A$4692,0))),"")</f>
        <v/>
      </c>
      <c r="J356">
        <f>IFERROR(_xlfn.IFNA(INDEX(Sensors_MANU!$D$2:$D$4692,MATCH($D356,Sensors_MANU!$B$2:$B$4692,0)),INDEX(Sensors_MANU!$D$2:$D$4692,MATCH($P356,Sensors_MANU!$A$2:$A$4692,0))),"")</f>
        <v/>
      </c>
      <c r="M356" s="27" t="n"/>
      <c r="N356" s="99">
        <f>IFERROR(INDEX(Sensors_MANU!$G$2:$G$4692,MATCH($P356,Sensors_MANU!$A$2:$A$4692,0)),)</f>
        <v/>
      </c>
      <c r="O356" s="6" t="inlineStr">
        <is>
          <t>v15</t>
        </is>
      </c>
      <c r="P356" t="n">
        <v>4978638</v>
      </c>
    </row>
    <row r="357">
      <c r="A357" s="32">
        <f>IFERROR(_xlfn.IFNA(INDEX(Sensors_MANU!$E$2:$E$4692,MATCH($D357,Sensors_MANU!$B$2:$B$4692,0)),INDEX(Sensors_MANU!$E$2:$E$4692,MATCH($P357,Sensors_MANU!$A$2:$A$4692,0))),"")</f>
        <v/>
      </c>
      <c r="B357" s="24">
        <f>IFERROR(INDEX(Companies!$A$3:$A$101,MATCH(A357,Companies!$B$3:$B$101,0)),"")</f>
        <v/>
      </c>
      <c r="C357">
        <f>IFERROR(_xlfn.IFNA(INDEX(Sensors_MANU!$F$2:$F$4692,MATCH($D357,Sensors_MANU!$B$2:$B$4692,0)),INDEX(Sensors_MANU!$F$2:$F$4692,MATCH($P357,Sensors_MANU!$A$2:$A$4692,0))),"")</f>
        <v/>
      </c>
      <c r="D357" t="inlineStr">
        <is>
          <t>DBD7800A36BE</t>
        </is>
      </c>
      <c r="E357">
        <f>LEFT(D357,2)&amp;":"&amp;MID(D357,3,2)&amp;":"&amp;MID(D357,5,2)&amp;":"&amp;MID(D357,7,2)&amp;":"&amp;MID(D357,9,2)&amp;":"&amp;RIGHT(D357,2)</f>
        <v/>
      </c>
      <c r="F357" s="29" t="n">
        <v>44910</v>
      </c>
      <c r="G357" s="29" t="inlineStr">
        <is>
          <t>Viezo</t>
        </is>
      </c>
      <c r="H357" t="inlineStr">
        <is>
          <t>9D0C80C5DC3FE83B</t>
        </is>
      </c>
      <c r="I357">
        <f>IFERROR(_xlfn.IFNA(INDEX(Sensors_MANU!$C$2:$C$4692,MATCH($D357,Sensors_MANU!$B$2:$B$4692,0)),INDEX(Sensors_MANU!$C$2:$C$4692,MATCH($P357,Sensors_MANU!$A$2:$A$4692,0))),"")</f>
        <v/>
      </c>
      <c r="J357">
        <f>IFERROR(_xlfn.IFNA(INDEX(Sensors_MANU!$D$2:$D$4692,MATCH($D357,Sensors_MANU!$B$2:$B$4692,0)),INDEX(Sensors_MANU!$D$2:$D$4692,MATCH($P357,Sensors_MANU!$A$2:$A$4692,0))),"")</f>
        <v/>
      </c>
      <c r="K357" s="27" t="inlineStr">
        <is>
          <t>31834589939-3</t>
        </is>
      </c>
      <c r="L357" s="27" t="inlineStr">
        <is>
          <t>4L</t>
        </is>
      </c>
      <c r="M357" s="27" t="n"/>
      <c r="N357" s="99">
        <f>IFERROR(INDEX(Sensors_MANU!$G$2:$G$4692,MATCH($P357,Sensors_MANU!$A$2:$A$4692,0)),)</f>
        <v/>
      </c>
      <c r="O357" s="6" t="inlineStr">
        <is>
          <t>v16</t>
        </is>
      </c>
      <c r="P357" t="n">
        <v>4978804</v>
      </c>
    </row>
    <row r="358">
      <c r="A358" s="32">
        <f>IFERROR(_xlfn.IFNA(INDEX(Sensors_MANU!$E$2:$E$4692,MATCH($D358,Sensors_MANU!$B$2:$B$4692,0)),INDEX(Sensors_MANU!$E$2:$E$4692,MATCH($P358,Sensors_MANU!$A$2:$A$4692,0))),"")</f>
        <v/>
      </c>
      <c r="B358" s="24">
        <f>IFERROR(INDEX(Companies!$A$3:$A$101,MATCH(A358,Companies!$B$3:$B$101,0)),"")</f>
        <v/>
      </c>
      <c r="C358" t="inlineStr">
        <is>
          <t>cargo</t>
        </is>
      </c>
      <c r="D358" t="inlineStr">
        <is>
          <t>E5DB8F185F8B</t>
        </is>
      </c>
      <c r="E358">
        <f>LEFT(D358,2)&amp;":"&amp;MID(D358,3,2)&amp;":"&amp;MID(D358,5,2)&amp;":"&amp;MID(D358,7,2)&amp;":"&amp;MID(D358,9,2)&amp;":"&amp;RIGHT(D358,2)</f>
        <v/>
      </c>
      <c r="H358" t="inlineStr">
        <is>
          <t>22EDD38BE78C8FE9</t>
        </is>
      </c>
      <c r="I358">
        <f>IFERROR(_xlfn.IFNA(INDEX(Sensors_MANU!$C$2:$C$4692,MATCH($D358,Sensors_MANU!$B$2:$B$4692,0)),INDEX(Sensors_MANU!$C$2:$C$4692,MATCH($P358,Sensors_MANU!$A$2:$A$4692,0))),"")</f>
        <v/>
      </c>
      <c r="J358">
        <f>IFERROR(_xlfn.IFNA(INDEX(Sensors_MANU!$D$2:$D$4692,MATCH($D358,Sensors_MANU!$B$2:$B$4692,0)),INDEX(Sensors_MANU!$D$2:$D$4692,MATCH($P358,Sensors_MANU!$A$2:$A$4692,0))),"")</f>
        <v/>
      </c>
      <c r="M358" s="27" t="n"/>
      <c r="N358" s="99">
        <f>IFERROR(INDEX(Sensors_MANU!$G$2:$G$4692,MATCH($P358,Sensors_MANU!$A$2:$A$4692,0)),)</f>
        <v/>
      </c>
      <c r="O358" s="6" t="inlineStr">
        <is>
          <t>v15</t>
        </is>
      </c>
      <c r="P358" t="n">
        <v>4978704</v>
      </c>
    </row>
    <row r="359">
      <c r="A359" s="32">
        <f>IFERROR(_xlfn.IFNA(INDEX(Sensors_MANU!$E$2:$E$4692,MATCH($D359,Sensors_MANU!$B$2:$B$4692,0)),INDEX(Sensors_MANU!$E$2:$E$4692,MATCH($P359,Sensors_MANU!$A$2:$A$4692,0))),"")</f>
        <v/>
      </c>
      <c r="B359" s="24">
        <f>IFERROR(INDEX(Companies!$A$3:$A$101,MATCH(A359,Companies!$B$3:$B$101,0)),"")</f>
        <v/>
      </c>
      <c r="C359">
        <f>IFERROR(_xlfn.IFNA(INDEX(Sensors_MANU!$F$2:$F$4692,MATCH($D359,Sensors_MANU!$B$2:$B$4692,0)),INDEX(Sensors_MANU!$F$2:$F$4692,MATCH($P359,Sensors_MANU!$A$2:$A$4692,0))),"")</f>
        <v/>
      </c>
      <c r="D359" t="inlineStr">
        <is>
          <t>D5D761256088</t>
        </is>
      </c>
      <c r="E359" s="24">
        <f>LEFT(D359,2)&amp;":"&amp;MID(D359,3,2)&amp;":"&amp;MID(D359,5,2)&amp;":"&amp;MID(D359,7,2)&amp;":"&amp;MID(D359,9,2)&amp;":"&amp;RIGHT(D359,2)</f>
        <v/>
      </c>
      <c r="H359" t="inlineStr">
        <is>
          <t>F2CA241571C21AD6</t>
        </is>
      </c>
      <c r="I359">
        <f>IFERROR(_xlfn.IFNA(INDEX(Sensors_MANU!$C$2:$C$4692,MATCH($D359,Sensors_MANU!$B$2:$B$4692,0)),INDEX(Sensors_MANU!$C$2:$C$4692,MATCH($P359,Sensors_MANU!$A$2:$A$4692,0))),"")</f>
        <v/>
      </c>
      <c r="J359" s="64">
        <f>IFERROR(_xlfn.IFNA(INDEX(Sensors_MANU!$D$2:$D$4692,MATCH($D359,Sensors_MANU!$B$2:$B$4692,0)),INDEX(Sensors_MANU!$D$2:$D$4692,MATCH($P359,Sensors_MANU!$A$2:$A$4692,0))),"")</f>
        <v/>
      </c>
      <c r="K359" s="27" t="inlineStr">
        <is>
          <t>24714450036-7</t>
        </is>
      </c>
      <c r="L359" s="27" t="inlineStr">
        <is>
          <t>4R</t>
        </is>
      </c>
      <c r="N359" s="99">
        <f>IFERROR(INDEX(Sensors_MANU!$G$2:$G$4692,MATCH($P359,Sensors_MANU!$A$2:$A$4692,0)),)</f>
        <v/>
      </c>
      <c r="O359" s="6" t="inlineStr">
        <is>
          <t>v17</t>
        </is>
      </c>
      <c r="P359" t="n">
        <v>4978457</v>
      </c>
    </row>
    <row r="360">
      <c r="A360" s="32">
        <f>IFERROR(_xlfn.IFNA(INDEX(Sensors_MANU!$E$2:$E$4692,MATCH($D360,Sensors_MANU!$B$2:$B$4692,0)),INDEX(Sensors_MANU!$E$2:$E$4692,MATCH($P360,Sensors_MANU!$A$2:$A$4692,0))),"")</f>
        <v/>
      </c>
      <c r="B360" s="24">
        <f>IFERROR(INDEX(Companies!$A$3:$A$101,MATCH(A360,Companies!$B$3:$B$101,0)),"")</f>
        <v/>
      </c>
      <c r="C360" t="inlineStr">
        <is>
          <t>cargo</t>
        </is>
      </c>
      <c r="D360" t="inlineStr">
        <is>
          <t>C6910FB5C53B</t>
        </is>
      </c>
      <c r="E360">
        <f>LEFT(D360,2)&amp;":"&amp;MID(D360,3,2)&amp;":"&amp;MID(D360,5,2)&amp;":"&amp;MID(D360,7,2)&amp;":"&amp;MID(D360,9,2)&amp;":"&amp;RIGHT(D360,2)</f>
        <v/>
      </c>
      <c r="H360" t="inlineStr">
        <is>
          <t>55AB59E63F19B1DA</t>
        </is>
      </c>
      <c r="I360">
        <f>IFERROR(_xlfn.IFNA(INDEX(Sensors_MANU!$C$2:$C$4692,MATCH($D360,Sensors_MANU!$B$2:$B$4692,0)),INDEX(Sensors_MANU!$C$2:$C$4692,MATCH($P360,Sensors_MANU!$A$2:$A$4692,0))),"")</f>
        <v/>
      </c>
      <c r="J360">
        <f>IFERROR(_xlfn.IFNA(INDEX(Sensors_MANU!$D$2:$D$4692,MATCH($D360,Sensors_MANU!$B$2:$B$4692,0)),INDEX(Sensors_MANU!$D$2:$D$4692,MATCH($P360,Sensors_MANU!$A$2:$A$4692,0))),"")</f>
        <v/>
      </c>
      <c r="M360" s="27" t="n"/>
      <c r="N360" s="99">
        <f>IFERROR(INDEX(Sensors_MANU!$G$2:$G$4692,MATCH($P360,Sensors_MANU!$A$2:$A$4692,0)),)</f>
        <v/>
      </c>
      <c r="O360" s="6" t="inlineStr">
        <is>
          <t>v15</t>
        </is>
      </c>
      <c r="P360" t="n">
        <v>4978707</v>
      </c>
    </row>
    <row r="361">
      <c r="A361" s="32">
        <f>IFERROR(_xlfn.IFNA(INDEX(Sensors_MANU!$E$2:$E$4692,MATCH($D361,Sensors_MANU!$B$2:$B$4692,0)),INDEX(Sensors_MANU!$E$2:$E$4692,MATCH($P361,Sensors_MANU!$A$2:$A$4692,0))),"")</f>
        <v/>
      </c>
      <c r="B361" s="24">
        <f>IFERROR(INDEX(Companies!$A$3:$A$101,MATCH(A361,Companies!$B$3:$B$101,0)),"")</f>
        <v/>
      </c>
      <c r="C361" t="inlineStr">
        <is>
          <t>cargo</t>
        </is>
      </c>
      <c r="D361" t="inlineStr">
        <is>
          <t>EC7B0381D4AE</t>
        </is>
      </c>
      <c r="E361">
        <f>LEFT(D361,2)&amp;":"&amp;MID(D361,3,2)&amp;":"&amp;MID(D361,5,2)&amp;":"&amp;MID(D361,7,2)&amp;":"&amp;MID(D361,9,2)&amp;":"&amp;RIGHT(D361,2)</f>
        <v/>
      </c>
      <c r="H361" t="inlineStr">
        <is>
          <t>8135F8180CC92B0B</t>
        </is>
      </c>
      <c r="I361">
        <f>IFERROR(_xlfn.IFNA(INDEX(Sensors_MANU!$C$2:$C$4692,MATCH($D361,Sensors_MANU!$B$2:$B$4692,0)),INDEX(Sensors_MANU!$C$2:$C$4692,MATCH($P361,Sensors_MANU!$A$2:$A$4692,0))),"")</f>
        <v/>
      </c>
      <c r="J361">
        <f>IFERROR(_xlfn.IFNA(INDEX(Sensors_MANU!$D$2:$D$4692,MATCH($D361,Sensors_MANU!$B$2:$B$4692,0)),INDEX(Sensors_MANU!$D$2:$D$4692,MATCH($P361,Sensors_MANU!$A$2:$A$4692,0))),"")</f>
        <v/>
      </c>
      <c r="M361" s="27" t="n"/>
      <c r="N361" s="99">
        <f>IFERROR(INDEX(Sensors_MANU!$G$2:$G$4692,MATCH($P361,Sensors_MANU!$A$2:$A$4692,0)),)</f>
        <v/>
      </c>
      <c r="O361" s="6" t="inlineStr">
        <is>
          <t>v15</t>
        </is>
      </c>
      <c r="P361" t="n">
        <v>4978883</v>
      </c>
    </row>
    <row r="362">
      <c r="A362" s="32">
        <f>IFERROR(_xlfn.IFNA(INDEX(Sensors_MANU!$E$2:$E$4692,MATCH($D362,Sensors_MANU!$B$2:$B$4692,0)),INDEX(Sensors_MANU!$E$2:$E$4692,MATCH($P362,Sensors_MANU!$A$2:$A$4692,0))),"")</f>
        <v/>
      </c>
      <c r="B362" s="24">
        <f>IFERROR(INDEX(Companies!$A$3:$A$101,MATCH(A362,Companies!$B$3:$B$101,0)),"")</f>
        <v/>
      </c>
      <c r="C362" t="inlineStr">
        <is>
          <t>cargo</t>
        </is>
      </c>
      <c r="D362" t="inlineStr">
        <is>
          <t>FB6E07B2BE8C</t>
        </is>
      </c>
      <c r="E362">
        <f>LEFT(D362,2)&amp;":"&amp;MID(D362,3,2)&amp;":"&amp;MID(D362,5,2)&amp;":"&amp;MID(D362,7,2)&amp;":"&amp;MID(D362,9,2)&amp;":"&amp;RIGHT(D362,2)</f>
        <v/>
      </c>
      <c r="H362" t="inlineStr">
        <is>
          <t>9A260671D973B4EB</t>
        </is>
      </c>
      <c r="I362">
        <f>IFERROR(_xlfn.IFNA(INDEX(Sensors_MANU!$C$2:$C$4692,MATCH($D362,Sensors_MANU!$B$2:$B$4692,0)),INDEX(Sensors_MANU!$C$2:$C$4692,MATCH($P362,Sensors_MANU!$A$2:$A$4692,0))),"")</f>
        <v/>
      </c>
      <c r="J362">
        <f>IFERROR(_xlfn.IFNA(INDEX(Sensors_MANU!$D$2:$D$4692,MATCH($D362,Sensors_MANU!$B$2:$B$4692,0)),INDEX(Sensors_MANU!$D$2:$D$4692,MATCH($P362,Sensors_MANU!$A$2:$A$4692,0))),"")</f>
        <v/>
      </c>
      <c r="M362" s="27" t="n"/>
      <c r="N362" s="99">
        <f>IFERROR(INDEX(Sensors_MANU!$G$2:$G$4692,MATCH($P362,Sensors_MANU!$A$2:$A$4692,0)),)</f>
        <v/>
      </c>
      <c r="O362" s="6" t="inlineStr">
        <is>
          <t>v15</t>
        </is>
      </c>
      <c r="P362" t="n">
        <v>4978556</v>
      </c>
    </row>
    <row r="363">
      <c r="A363" s="32">
        <f>IFERROR(_xlfn.IFNA(INDEX(Sensors_MANU!$E$2:$E$4692,MATCH($D363,Sensors_MANU!$B$2:$B$4692,0)),INDEX(Sensors_MANU!$E$2:$E$4692,MATCH($P363,Sensors_MANU!$A$2:$A$4692,0))),"")</f>
        <v/>
      </c>
      <c r="B363" s="24">
        <f>IFERROR(INDEX(Companies!$A$3:$A$101,MATCH(A363,Companies!$B$3:$B$101,0)),"")</f>
        <v/>
      </c>
      <c r="C363">
        <f>IFERROR(_xlfn.IFNA(INDEX(Sensors_MANU!$F$2:$F$4692,MATCH($D363,Sensors_MANU!$B$2:$B$4692,0)),INDEX(Sensors_MANU!$F$2:$F$4692,MATCH($P363,Sensors_MANU!$A$2:$A$4692,0))),"")</f>
        <v/>
      </c>
      <c r="D363" t="inlineStr">
        <is>
          <t>C355011AB729</t>
        </is>
      </c>
      <c r="E363" s="24">
        <f>LEFT(D363,2)&amp;":"&amp;MID(D363,3,2)&amp;":"&amp;MID(D363,5,2)&amp;":"&amp;MID(D363,7,2)&amp;":"&amp;MID(D363,9,2)&amp;":"&amp;RIGHT(D363,2)</f>
        <v/>
      </c>
      <c r="F363" s="29" t="n">
        <v>44964</v>
      </c>
      <c r="G363" s="29" t="inlineStr">
        <is>
          <t>Renfe</t>
        </is>
      </c>
      <c r="H363" t="inlineStr">
        <is>
          <t>96C61F3906EB3F13</t>
        </is>
      </c>
      <c r="I363">
        <f>IFERROR(_xlfn.IFNA(INDEX(Sensors_MANU!$C$2:$C$4692,MATCH($D363,Sensors_MANU!$B$2:$B$4692,0)),INDEX(Sensors_MANU!$C$2:$C$4692,MATCH($P363,Sensors_MANU!$A$2:$A$4692,0))),"")</f>
        <v/>
      </c>
      <c r="J363" s="68">
        <f>IFERROR(_xlfn.IFNA(INDEX(Sensors_MANU!$D$2:$D$4692,MATCH($D363,Sensors_MANU!$B$2:$B$4692,0)),INDEX(Sensors_MANU!$D$2:$D$4692,MATCH($P363,Sensors_MANU!$A$2:$A$4692,0))),"")</f>
        <v/>
      </c>
      <c r="K363" s="27" t="n">
        <v>529004</v>
      </c>
      <c r="L363" s="27" t="inlineStr">
        <is>
          <t>2R</t>
        </is>
      </c>
      <c r="O363" s="6" t="inlineStr">
        <is>
          <t>v17</t>
        </is>
      </c>
      <c r="P363" t="n">
        <v>4978645</v>
      </c>
    </row>
    <row r="364">
      <c r="A364" s="32">
        <f>IFERROR(_xlfn.IFNA(INDEX(Sensors_MANU!$E$2:$E$4692,MATCH($D364,Sensors_MANU!$B$2:$B$4692,0)),INDEX(Sensors_MANU!$E$2:$E$4692,MATCH($P364,Sensors_MANU!$A$2:$A$4692,0))),"")</f>
        <v/>
      </c>
      <c r="B364" s="24">
        <f>IFERROR(INDEX(Companies!$A$3:$A$101,MATCH(A364,Companies!$B$3:$B$101,0)),"")</f>
        <v/>
      </c>
      <c r="C364" t="inlineStr">
        <is>
          <t>cargo</t>
        </is>
      </c>
      <c r="D364" t="inlineStr">
        <is>
          <t>DFC2012EE5FE</t>
        </is>
      </c>
      <c r="E364">
        <f>LEFT(D364,2)&amp;":"&amp;MID(D364,3,2)&amp;":"&amp;MID(D364,5,2)&amp;":"&amp;MID(D364,7,2)&amp;":"&amp;MID(D364,9,2)&amp;":"&amp;RIGHT(D364,2)</f>
        <v/>
      </c>
      <c r="H364" t="inlineStr">
        <is>
          <t>40BF5393725B5375</t>
        </is>
      </c>
      <c r="I364">
        <f>IFERROR(_xlfn.IFNA(INDEX(Sensors_MANU!$C$2:$C$4692,MATCH($D364,Sensors_MANU!$B$2:$B$4692,0)),INDEX(Sensors_MANU!$C$2:$C$4692,MATCH($P364,Sensors_MANU!$A$2:$A$4692,0))),"")</f>
        <v/>
      </c>
      <c r="J364">
        <f>IFERROR(_xlfn.IFNA(INDEX(Sensors_MANU!$D$2:$D$4692,MATCH($D364,Sensors_MANU!$B$2:$B$4692,0)),INDEX(Sensors_MANU!$D$2:$D$4692,MATCH($P364,Sensors_MANU!$A$2:$A$4692,0))),"")</f>
        <v/>
      </c>
      <c r="M364" s="27" t="n"/>
      <c r="N364" s="99">
        <f>IFERROR(INDEX(Sensors_MANU!$G$2:$G$4692,MATCH($P364,Sensors_MANU!$A$2:$A$4692,0)),)</f>
        <v/>
      </c>
      <c r="O364" s="6" t="inlineStr">
        <is>
          <t>v15</t>
        </is>
      </c>
      <c r="P364" t="n">
        <v>4978899</v>
      </c>
    </row>
    <row r="365">
      <c r="A365" s="32">
        <f>IFERROR(_xlfn.IFNA(INDEX(Sensors_MANU!$E$2:$E$4692,MATCH($D365,Sensors_MANU!$B$2:$B$4692,0)),INDEX(Sensors_MANU!$E$2:$E$4692,MATCH($P365,Sensors_MANU!$A$2:$A$4692,0))),"")</f>
        <v/>
      </c>
      <c r="B365" s="24">
        <f>IFERROR(INDEX(Companies!$A$3:$A$101,MATCH(A365,Companies!$B$3:$B$101,0)),"")</f>
        <v/>
      </c>
      <c r="C365">
        <f>IFERROR(_xlfn.IFNA(INDEX(Sensors_MANU!$F$2:$F$4692,MATCH($D365,Sensors_MANU!$B$2:$B$4692,0)),INDEX(Sensors_MANU!$F$2:$F$4692,MATCH($P365,Sensors_MANU!$A$2:$A$4692,0))),"")</f>
        <v/>
      </c>
      <c r="D365" t="inlineStr">
        <is>
          <t>ED8B88EEED0A</t>
        </is>
      </c>
      <c r="E365">
        <f>LEFT(D365,2)&amp;":"&amp;MID(D365,3,2)&amp;":"&amp;MID(D365,5,2)&amp;":"&amp;MID(D365,7,2)&amp;":"&amp;MID(D365,9,2)&amp;":"&amp;RIGHT(D365,2)</f>
        <v/>
      </c>
      <c r="H365" t="inlineStr">
        <is>
          <t>4AED595421E5EF13</t>
        </is>
      </c>
      <c r="I365">
        <f>IFERROR(_xlfn.IFNA(INDEX(Sensors_MANU!$C$2:$C$4692,MATCH($D365,Sensors_MANU!$B$2:$B$4692,0)),INDEX(Sensors_MANU!$C$2:$C$4692,MATCH($P365,Sensors_MANU!$A$2:$A$4692,0))),"")</f>
        <v/>
      </c>
      <c r="J365" s="64">
        <f>IFERROR(_xlfn.IFNA(INDEX(Sensors_MANU!$D$2:$D$4692,MATCH($D365,Sensors_MANU!$B$2:$B$4692,0)),INDEX(Sensors_MANU!$D$2:$D$4692,MATCH($P365,Sensors_MANU!$A$2:$A$4692,0))),"")</f>
        <v/>
      </c>
      <c r="K365" s="27" t="inlineStr">
        <is>
          <t>24714450036-7</t>
        </is>
      </c>
      <c r="L365" s="27" t="inlineStr">
        <is>
          <t>1R</t>
        </is>
      </c>
      <c r="M365" s="27" t="n"/>
      <c r="N365" s="99">
        <f>IFERROR(INDEX(Sensors_MANU!$G$2:$G$4692,MATCH($P365,Sensors_MANU!$A$2:$A$4692,0)),)</f>
        <v/>
      </c>
      <c r="O365" s="6" t="inlineStr">
        <is>
          <t>v16</t>
        </is>
      </c>
      <c r="P365" t="n">
        <v>4978509</v>
      </c>
    </row>
    <row r="366">
      <c r="A366" s="32">
        <f>IFERROR(_xlfn.IFNA(INDEX(Sensors_MANU!$E$2:$E$4692,MATCH($D366,Sensors_MANU!$B$2:$B$4692,0)),INDEX(Sensors_MANU!$E$2:$E$4692,MATCH($P366,Sensors_MANU!$A$2:$A$4692,0))),"")</f>
        <v/>
      </c>
      <c r="B366" s="24">
        <f>IFERROR(INDEX(Companies!$A$3:$A$101,MATCH(A366,Companies!$B$3:$B$101,0)),"")</f>
        <v/>
      </c>
      <c r="C366" t="inlineStr">
        <is>
          <t>cargo</t>
        </is>
      </c>
      <c r="D366" t="inlineStr">
        <is>
          <t>C515B8717A0A</t>
        </is>
      </c>
      <c r="E366">
        <f>LEFT(D366,2)&amp;":"&amp;MID(D366,3,2)&amp;":"&amp;MID(D366,5,2)&amp;":"&amp;MID(D366,7,2)&amp;":"&amp;MID(D366,9,2)&amp;":"&amp;RIGHT(D366,2)</f>
        <v/>
      </c>
      <c r="H366" t="inlineStr">
        <is>
          <t>8C2606AFAA99611F</t>
        </is>
      </c>
      <c r="I366">
        <f>IFERROR(_xlfn.IFNA(INDEX(Sensors_MANU!$C$2:$C$4692,MATCH($D366,Sensors_MANU!$B$2:$B$4692,0)),INDEX(Sensors_MANU!$C$2:$C$4692,MATCH($P366,Sensors_MANU!$A$2:$A$4692,0))),"")</f>
        <v/>
      </c>
      <c r="J366">
        <f>IFERROR(_xlfn.IFNA(INDEX(Sensors_MANU!$D$2:$D$4692,MATCH($D366,Sensors_MANU!$B$2:$B$4692,0)),INDEX(Sensors_MANU!$D$2:$D$4692,MATCH($P366,Sensors_MANU!$A$2:$A$4692,0))),"")</f>
        <v/>
      </c>
      <c r="M366" s="27" t="n"/>
      <c r="N366" s="99">
        <f>IFERROR(INDEX(Sensors_MANU!$G$2:$G$4692,MATCH($P366,Sensors_MANU!$A$2:$A$4692,0)),)</f>
        <v/>
      </c>
      <c r="O366" s="6" t="inlineStr">
        <is>
          <t>v15</t>
        </is>
      </c>
      <c r="P366" t="n">
        <v>4978900</v>
      </c>
    </row>
    <row r="367">
      <c r="A367" s="32">
        <f>IFERROR(_xlfn.IFNA(INDEX(Sensors_MANU!$E$2:$E$4692,MATCH($D367,Sensors_MANU!$B$2:$B$4692,0)),INDEX(Sensors_MANU!$E$2:$E$4692,MATCH($P367,Sensors_MANU!$A$2:$A$4692,0))),"")</f>
        <v/>
      </c>
      <c r="B367" s="24">
        <f>IFERROR(INDEX(Companies!$A$3:$A$101,MATCH(A367,Companies!$B$3:$B$101,0)),"")</f>
        <v/>
      </c>
      <c r="C367">
        <f>IFERROR(_xlfn.IFNA(INDEX(Sensors_MANU!$F$2:$F$4692,MATCH($D367,Sensors_MANU!$B$2:$B$4692,0)),INDEX(Sensors_MANU!$F$2:$F$4692,MATCH($P367,Sensors_MANU!$A$2:$A$4692,0))),"")</f>
        <v/>
      </c>
      <c r="D367" t="inlineStr">
        <is>
          <t>F001AD47E4B6</t>
        </is>
      </c>
      <c r="E367">
        <f>LEFT(D367,2)&amp;":"&amp;MID(D367,3,2)&amp;":"&amp;MID(D367,5,2)&amp;":"&amp;MID(D367,7,2)&amp;":"&amp;MID(D367,9,2)&amp;":"&amp;RIGHT(D367,2)</f>
        <v/>
      </c>
      <c r="F367" s="29" t="n">
        <v>44910</v>
      </c>
      <c r="G367" s="29" t="inlineStr">
        <is>
          <t>Viezo</t>
        </is>
      </c>
      <c r="H367" t="inlineStr">
        <is>
          <t>E7990DB2FD8E9A90</t>
        </is>
      </c>
      <c r="I367">
        <f>IFERROR(_xlfn.IFNA(INDEX(Sensors_MANU!$C$2:$C$4692,MATCH($D367,Sensors_MANU!$B$2:$B$4692,0)),INDEX(Sensors_MANU!$C$2:$C$4692,MATCH($P367,Sensors_MANU!$A$2:$A$4692,0))),"")</f>
        <v/>
      </c>
      <c r="J367">
        <f>IFERROR(_xlfn.IFNA(INDEX(Sensors_MANU!$D$2:$D$4692,MATCH($D367,Sensors_MANU!$B$2:$B$4692,0)),INDEX(Sensors_MANU!$D$2:$D$4692,MATCH($P367,Sensors_MANU!$A$2:$A$4692,0))),"")</f>
        <v/>
      </c>
      <c r="K367" s="27" t="inlineStr">
        <is>
          <t>31833936025-3</t>
        </is>
      </c>
      <c r="L367" s="27" t="inlineStr">
        <is>
          <t>2L</t>
        </is>
      </c>
      <c r="M367" s="27" t="n"/>
      <c r="N367" s="99">
        <f>IFERROR(INDEX(Sensors_MANU!$G$2:$G$4692,MATCH($P367,Sensors_MANU!$A$2:$A$4692,0)),)</f>
        <v/>
      </c>
      <c r="O367" s="6" t="inlineStr">
        <is>
          <t>v16</t>
        </is>
      </c>
      <c r="P367" t="n">
        <v>4978895</v>
      </c>
    </row>
    <row r="368">
      <c r="A368" s="32">
        <f>IFERROR(_xlfn.IFNA(INDEX(Sensors_MANU!$E$2:$E$4692,MATCH($D368,Sensors_MANU!$B$2:$B$4692,0)),INDEX(Sensors_MANU!$E$2:$E$4692,MATCH($P368,Sensors_MANU!$A$2:$A$4692,0))),"")</f>
        <v/>
      </c>
      <c r="B368" s="24">
        <f>IFERROR(INDEX(Companies!$A$3:$A$101,MATCH(A368,Companies!$B$3:$B$101,0)),"")</f>
        <v/>
      </c>
      <c r="C368" t="inlineStr">
        <is>
          <t>cargo</t>
        </is>
      </c>
      <c r="D368" t="inlineStr">
        <is>
          <t>DFD8789A365F</t>
        </is>
      </c>
      <c r="E368">
        <f>LEFT(D368,2)&amp;":"&amp;MID(D368,3,2)&amp;":"&amp;MID(D368,5,2)&amp;":"&amp;MID(D368,7,2)&amp;":"&amp;MID(D368,9,2)&amp;":"&amp;RIGHT(D368,2)</f>
        <v/>
      </c>
      <c r="H368" t="inlineStr">
        <is>
          <t>B35D18BA42BB7F8A</t>
        </is>
      </c>
      <c r="I368">
        <f>IFERROR(_xlfn.IFNA(INDEX(Sensors_MANU!$C$2:$C$4692,MATCH($D368,Sensors_MANU!$B$2:$B$4692,0)),INDEX(Sensors_MANU!$C$2:$C$4692,MATCH($P368,Sensors_MANU!$A$2:$A$4692,0))),"")</f>
        <v/>
      </c>
      <c r="J368">
        <f>IFERROR(_xlfn.IFNA(INDEX(Sensors_MANU!$D$2:$D$4692,MATCH($D368,Sensors_MANU!$B$2:$B$4692,0)),INDEX(Sensors_MANU!$D$2:$D$4692,MATCH($P368,Sensors_MANU!$A$2:$A$4692,0))),"")</f>
        <v/>
      </c>
      <c r="M368" s="27" t="n"/>
      <c r="N368" s="99">
        <f>IFERROR(INDEX(Sensors_MANU!$G$2:$G$4692,MATCH($P368,Sensors_MANU!$A$2:$A$4692,0)),)</f>
        <v/>
      </c>
      <c r="O368" s="6" t="inlineStr">
        <is>
          <t>v15</t>
        </is>
      </c>
      <c r="P368" t="n">
        <v>4978748</v>
      </c>
    </row>
    <row r="369">
      <c r="A369" s="32" t="inlineStr">
        <is>
          <t>RAILRELEASE</t>
        </is>
      </c>
      <c r="B369" s="24">
        <f>IFERROR(INDEX(Companies!$A$3:$A$101,MATCH(A369,Companies!$B$3:$B$101,0)),"")</f>
        <v/>
      </c>
      <c r="D369" t="inlineStr">
        <is>
          <t>F38FC4DB3212</t>
        </is>
      </c>
      <c r="E369" s="24">
        <f>LEFT(D369,2)&amp;":"&amp;MID(D369,3,2)&amp;":"&amp;MID(D369,5,2)&amp;":"&amp;MID(D369,7,2)&amp;":"&amp;MID(D369,9,2)&amp;":"&amp;RIGHT(D369,2)</f>
        <v/>
      </c>
      <c r="F369" s="29" t="n">
        <v>45064</v>
      </c>
      <c r="G369" s="29" t="inlineStr">
        <is>
          <t>Viezo</t>
        </is>
      </c>
      <c r="H369" t="inlineStr">
        <is>
          <t>3E4F0D6FFC96CB92</t>
        </is>
      </c>
      <c r="J369" s="71" t="inlineStr">
        <is>
          <t>PR2203-086</t>
        </is>
      </c>
      <c r="K369" s="27" t="inlineStr">
        <is>
          <t>37844576158-8</t>
        </is>
      </c>
      <c r="L369" s="27" t="inlineStr">
        <is>
          <t>4R</t>
        </is>
      </c>
      <c r="N369" s="99">
        <f>IFERROR(INDEX(Sensors_MANU!$G$2:$G$4692,MATCH($P369,Sensors_MANU!$A$2:$A$4692,0)),)</f>
        <v/>
      </c>
      <c r="O369" s="6" t="inlineStr">
        <is>
          <t>v17</t>
        </is>
      </c>
      <c r="P369" t="n">
        <v>4978495</v>
      </c>
    </row>
    <row r="370">
      <c r="A370" s="32">
        <f>IFERROR(_xlfn.IFNA(INDEX(Sensors_MANU!$E$2:$E$4692,MATCH($D370,Sensors_MANU!$B$2:$B$4692,0)),INDEX(Sensors_MANU!$E$2:$E$4692,MATCH($P370,Sensors_MANU!$A$2:$A$4692,0))),"")</f>
        <v/>
      </c>
      <c r="B370" s="24">
        <f>IFERROR(INDEX(Companies!$A$3:$A$101,MATCH(A370,Companies!$B$3:$B$101,0)),"")</f>
        <v/>
      </c>
      <c r="C370">
        <f>IFERROR(_xlfn.IFNA(INDEX(Sensors_MANU!$F$2:$F$4692,MATCH($D370,Sensors_MANU!$B$2:$B$4692,0)),INDEX(Sensors_MANU!$F$2:$F$4692,MATCH($P370,Sensors_MANU!$A$2:$A$4692,0))),"")</f>
        <v/>
      </c>
      <c r="D370" t="inlineStr">
        <is>
          <t>FEC457A887B4</t>
        </is>
      </c>
      <c r="E370" s="24">
        <f>LEFT(D370,2)&amp;":"&amp;MID(D370,3,2)&amp;":"&amp;MID(D370,5,2)&amp;":"&amp;MID(D370,7,2)&amp;":"&amp;MID(D370,9,2)&amp;":"&amp;RIGHT(D370,2)</f>
        <v/>
      </c>
      <c r="F370" s="29" t="n">
        <v>44910</v>
      </c>
      <c r="G370" s="29" t="inlineStr">
        <is>
          <t>Viezo</t>
        </is>
      </c>
      <c r="H370" t="inlineStr">
        <is>
          <t>2F996480597B6297</t>
        </is>
      </c>
      <c r="I370">
        <f>IFERROR(_xlfn.IFNA(INDEX(Sensors_MANU!$C$2:$C$4692,MATCH($D370,Sensors_MANU!$B$2:$B$4692,0)),INDEX(Sensors_MANU!$C$2:$C$4692,MATCH($P370,Sensors_MANU!$A$2:$A$4692,0))),"")</f>
        <v/>
      </c>
      <c r="J370">
        <f>IFERROR(_xlfn.IFNA(INDEX(Sensors_MANU!$D$2:$D$4692,MATCH($D370,Sensors_MANU!$B$2:$B$4692,0)),INDEX(Sensors_MANU!$D$2:$D$4692,MATCH($P370,Sensors_MANU!$A$2:$A$4692,0))),"")</f>
        <v/>
      </c>
      <c r="K370" s="27" t="inlineStr">
        <is>
          <t>31835377921-4</t>
        </is>
      </c>
      <c r="L370" s="27" t="inlineStr">
        <is>
          <t>4R</t>
        </is>
      </c>
      <c r="O370" s="6" t="inlineStr">
        <is>
          <t>V25</t>
        </is>
      </c>
    </row>
    <row r="371">
      <c r="A371" s="32">
        <f>IFERROR(_xlfn.IFNA(INDEX(Sensors_MANU!$E$2:$E$4692,MATCH($D371,Sensors_MANU!$B$2:$B$4692,0)),INDEX(Sensors_MANU!$E$2:$E$4692,MATCH($P371,Sensors_MANU!$A$2:$A$4692,0))),"")</f>
        <v/>
      </c>
      <c r="B371" s="24">
        <f>IFERROR(INDEX(Companies!$A$3:$A$101,MATCH(A371,Companies!$B$3:$B$101,0)),"")</f>
        <v/>
      </c>
      <c r="C371" t="inlineStr">
        <is>
          <t>cargo</t>
        </is>
      </c>
      <c r="D371" t="inlineStr">
        <is>
          <t>DAD55C846CDC</t>
        </is>
      </c>
      <c r="E371">
        <f>LEFT(D371,2)&amp;":"&amp;MID(D371,3,2)&amp;":"&amp;MID(D371,5,2)&amp;":"&amp;MID(D371,7,2)&amp;":"&amp;MID(D371,9,2)&amp;":"&amp;RIGHT(D371,2)</f>
        <v/>
      </c>
      <c r="H371" t="inlineStr">
        <is>
          <t>2C3AD4E0D451417A</t>
        </is>
      </c>
      <c r="I371">
        <f>IFERROR(_xlfn.IFNA(INDEX(Sensors_MANU!$C$2:$C$4692,MATCH($D371,Sensors_MANU!$B$2:$B$4692,0)),INDEX(Sensors_MANU!$C$2:$C$4692,MATCH($P371,Sensors_MANU!$A$2:$A$4692,0))),"")</f>
        <v/>
      </c>
      <c r="J371">
        <f>IFERROR(_xlfn.IFNA(INDEX(Sensors_MANU!$D$2:$D$4692,MATCH($D371,Sensors_MANU!$B$2:$B$4692,0)),INDEX(Sensors_MANU!$D$2:$D$4692,MATCH($P371,Sensors_MANU!$A$2:$A$4692,0))),"")</f>
        <v/>
      </c>
      <c r="M371" s="27" t="n"/>
      <c r="N371" s="99">
        <f>IFERROR(INDEX(Sensors_MANU!$G$2:$G$4692,MATCH($P371,Sensors_MANU!$A$2:$A$4692,0)),)</f>
        <v/>
      </c>
      <c r="O371" s="6" t="inlineStr">
        <is>
          <t>v15</t>
        </is>
      </c>
      <c r="P371" t="n">
        <v>4978681</v>
      </c>
    </row>
    <row r="372">
      <c r="A372" s="32">
        <f>IFERROR(_xlfn.IFNA(INDEX(Sensors_MANU!$E$2:$E$4692,MATCH($D372,Sensors_MANU!$B$2:$B$4692,0)),INDEX(Sensors_MANU!$E$2:$E$4692,MATCH($P372,Sensors_MANU!$A$2:$A$4692,0))),"")</f>
        <v/>
      </c>
      <c r="B372" s="24">
        <f>IFERROR(INDEX(Companies!$A$3:$A$101,MATCH(A372,Companies!$B$3:$B$101,0)),"")</f>
        <v/>
      </c>
      <c r="C372">
        <f>IFERROR(_xlfn.IFNA(INDEX(Sensors_MANU!$F$2:$F$4692,MATCH($D372,Sensors_MANU!$B$2:$B$4692,0)),INDEX(Sensors_MANU!$F$2:$F$4692,MATCH($P372,Sensors_MANU!$A$2:$A$4692,0))),"")</f>
        <v/>
      </c>
      <c r="D372" t="inlineStr">
        <is>
          <t>C7AE2AEED9F5</t>
        </is>
      </c>
      <c r="E372">
        <f>LEFT(D372,2)&amp;":"&amp;MID(D372,3,2)&amp;":"&amp;MID(D372,5,2)&amp;":"&amp;MID(D372,7,2)&amp;":"&amp;MID(D372,9,2)&amp;":"&amp;RIGHT(D372,2)</f>
        <v/>
      </c>
      <c r="F372" s="29" t="n">
        <v>44910</v>
      </c>
      <c r="G372" s="29" t="inlineStr">
        <is>
          <t>Viezo</t>
        </is>
      </c>
      <c r="H372" s="25" t="inlineStr">
        <is>
          <t>2DC0862B375AC8C0</t>
        </is>
      </c>
      <c r="I372">
        <f>IFERROR(_xlfn.IFNA(INDEX(Sensors_MANU!$C$2:$C$4692,MATCH($D372,Sensors_MANU!$B$2:$B$4692,0)),INDEX(Sensors_MANU!$C$2:$C$4692,MATCH($P372,Sensors_MANU!$A$2:$A$4692,0))),"")</f>
        <v/>
      </c>
      <c r="J372">
        <f>IFERROR(_xlfn.IFNA(INDEX(Sensors_MANU!$D$2:$D$4692,MATCH($D372,Sensors_MANU!$B$2:$B$4692,0)),INDEX(Sensors_MANU!$D$2:$D$4692,MATCH($P372,Sensors_MANU!$A$2:$A$4692,0))),"")</f>
        <v/>
      </c>
      <c r="K372" s="27" t="inlineStr">
        <is>
          <t>31833919338-1</t>
        </is>
      </c>
      <c r="L372" s="27" t="inlineStr">
        <is>
          <t>4R</t>
        </is>
      </c>
      <c r="M372" s="27" t="n"/>
      <c r="N372" s="99" t="inlineStr">
        <is>
          <t>was registered 354. Real marking is 338</t>
        </is>
      </c>
      <c r="O372" s="6" t="inlineStr">
        <is>
          <t>v16</t>
        </is>
      </c>
      <c r="P372" t="n">
        <v>4978605</v>
      </c>
    </row>
    <row r="373">
      <c r="A373" s="32">
        <f>IFERROR(_xlfn.IFNA(INDEX(Sensors_MANU!$E$2:$E$4692,MATCH($D373,Sensors_MANU!$B$2:$B$4692,0)),INDEX(Sensors_MANU!$E$2:$E$4692,MATCH($P373,Sensors_MANU!$A$2:$A$4692,0))),"")</f>
        <v/>
      </c>
      <c r="B373" s="24">
        <f>IFERROR(INDEX(Companies!$A$3:$A$101,MATCH(A373,Companies!$B$3:$B$101,0)),"")</f>
        <v/>
      </c>
      <c r="C373">
        <f>IFERROR(_xlfn.IFNA(INDEX(Sensors_MANU!$F$2:$F$4692,MATCH($D373,Sensors_MANU!$B$2:$B$4692,0)),INDEX(Sensors_MANU!$F$2:$F$4692,MATCH($P373,Sensors_MANU!$A$2:$A$4692,0))),"")</f>
        <v/>
      </c>
      <c r="D373" t="inlineStr">
        <is>
          <t>F3830BEEA3B7</t>
        </is>
      </c>
      <c r="E373">
        <f>LEFT(D373,2)&amp;":"&amp;MID(D373,3,2)&amp;":"&amp;MID(D373,5,2)&amp;":"&amp;MID(D373,7,2)&amp;":"&amp;MID(D373,9,2)&amp;":"&amp;RIGHT(D373,2)</f>
        <v/>
      </c>
      <c r="F373" s="29" t="n">
        <v>44910</v>
      </c>
      <c r="G373" s="29" t="inlineStr">
        <is>
          <t>Viezo</t>
        </is>
      </c>
      <c r="H373" t="inlineStr">
        <is>
          <t>A4D3A686845C2CDC</t>
        </is>
      </c>
      <c r="I373">
        <f>IFERROR(_xlfn.IFNA(INDEX(Sensors_MANU!$C$2:$C$4692,MATCH($D373,Sensors_MANU!$B$2:$B$4692,0)),INDEX(Sensors_MANU!$C$2:$C$4692,MATCH($P373,Sensors_MANU!$A$2:$A$4692,0))),"")</f>
        <v/>
      </c>
      <c r="J373">
        <f>IFERROR(_xlfn.IFNA(INDEX(Sensors_MANU!$D$2:$D$4692,MATCH($D373,Sensors_MANU!$B$2:$B$4692,0)),INDEX(Sensors_MANU!$D$2:$D$4692,MATCH($P373,Sensors_MANU!$A$2:$A$4692,0))),"")</f>
        <v/>
      </c>
      <c r="K373" s="27" t="inlineStr">
        <is>
          <t>31833936025-3</t>
        </is>
      </c>
      <c r="L373" s="27" t="inlineStr">
        <is>
          <t>1L</t>
        </is>
      </c>
      <c r="M373" s="27" t="n"/>
      <c r="N373" s="99">
        <f>IFERROR(INDEX(Sensors_MANU!$G$2:$G$4692,MATCH($P373,Sensors_MANU!$A$2:$A$4692,0)),)</f>
        <v/>
      </c>
      <c r="O373" s="6" t="inlineStr">
        <is>
          <t>v16</t>
        </is>
      </c>
      <c r="P373" t="n">
        <v>4978817</v>
      </c>
    </row>
    <row r="374">
      <c r="A374" s="32">
        <f>IFERROR(_xlfn.IFNA(INDEX(Sensors_MANU!$E$2:$E$4692,MATCH($D374,Sensors_MANU!$B$2:$B$4692,0)),INDEX(Sensors_MANU!$E$2:$E$4692,MATCH($P374,Sensors_MANU!$A$2:$A$4692,0))),"")</f>
        <v/>
      </c>
      <c r="B374" s="24">
        <f>IFERROR(INDEX(Companies!$A$3:$A$101,MATCH(A374,Companies!$B$3:$B$101,0)),"")</f>
        <v/>
      </c>
      <c r="C374" t="inlineStr">
        <is>
          <t>cargo</t>
        </is>
      </c>
      <c r="D374" t="inlineStr">
        <is>
          <t>F8633E8CF049</t>
        </is>
      </c>
      <c r="E374">
        <f>LEFT(D374,2)&amp;":"&amp;MID(D374,3,2)&amp;":"&amp;MID(D374,5,2)&amp;":"&amp;MID(D374,7,2)&amp;":"&amp;MID(D374,9,2)&amp;":"&amp;RIGHT(D374,2)</f>
        <v/>
      </c>
      <c r="H374" t="inlineStr">
        <is>
          <t>7A7B9056513C2049</t>
        </is>
      </c>
      <c r="I374">
        <f>IFERROR(_xlfn.IFNA(INDEX(Sensors_MANU!$C$2:$C$4692,MATCH($D374,Sensors_MANU!$B$2:$B$4692,0)),INDEX(Sensors_MANU!$C$2:$C$4692,MATCH($P374,Sensors_MANU!$A$2:$A$4692,0))),"")</f>
        <v/>
      </c>
      <c r="J374">
        <f>IFERROR(_xlfn.IFNA(INDEX(Sensors_MANU!$D$2:$D$4692,MATCH($D374,Sensors_MANU!$B$2:$B$4692,0)),INDEX(Sensors_MANU!$D$2:$D$4692,MATCH($P374,Sensors_MANU!$A$2:$A$4692,0))),"")</f>
        <v/>
      </c>
      <c r="M374" s="27" t="n"/>
      <c r="N374" s="99">
        <f>IFERROR(INDEX(Sensors_MANU!$G$2:$G$4692,MATCH($P374,Sensors_MANU!$A$2:$A$4692,0)),)</f>
        <v/>
      </c>
      <c r="O374" s="6" t="inlineStr">
        <is>
          <t>v15</t>
        </is>
      </c>
      <c r="P374" t="n">
        <v>4978643</v>
      </c>
    </row>
    <row r="375">
      <c r="A375" s="32">
        <f>IFERROR(_xlfn.IFNA(INDEX(Sensors_MANU!$E$2:$E$4692,MATCH($D375,Sensors_MANU!$B$2:$B$4692,0)),INDEX(Sensors_MANU!$E$2:$E$4692,MATCH($P375,Sensors_MANU!$A$2:$A$4692,0))),"")</f>
        <v/>
      </c>
      <c r="B375" s="24">
        <f>IFERROR(INDEX(Companies!$A$3:$A$101,MATCH(A375,Companies!$B$3:$B$101,0)),"")</f>
        <v/>
      </c>
      <c r="C375">
        <f>IFERROR(_xlfn.IFNA(INDEX(Sensors_MANU!$F$2:$F$4692,MATCH($D375,Sensors_MANU!$B$2:$B$4692,0)),INDEX(Sensors_MANU!$F$2:$F$4692,MATCH($P375,Sensors_MANU!$A$2:$A$4692,0))),"")</f>
        <v/>
      </c>
      <c r="D375" t="inlineStr">
        <is>
          <t>CE100B87A353</t>
        </is>
      </c>
      <c r="E375">
        <f>LEFT(D375,2)&amp;":"&amp;MID(D375,3,2)&amp;":"&amp;MID(D375,5,2)&amp;":"&amp;MID(D375,7,2)&amp;":"&amp;MID(D375,9,2)&amp;":"&amp;RIGHT(D375,2)</f>
        <v/>
      </c>
      <c r="H375" t="inlineStr">
        <is>
          <t>719A6BD4C2D1AB3B</t>
        </is>
      </c>
      <c r="I375">
        <f>IFERROR(_xlfn.IFNA(INDEX(Sensors_MANU!$C$2:$C$4692,MATCH($D375,Sensors_MANU!$B$2:$B$4692,0)),INDEX(Sensors_MANU!$C$2:$C$4692,MATCH($P375,Sensors_MANU!$A$2:$A$4692,0))),"")</f>
        <v/>
      </c>
      <c r="J375" s="25">
        <f>IFERROR(_xlfn.IFNA(INDEX(Sensors_MANU!$D$2:$D$4692,MATCH($D375,Sensors_MANU!$B$2:$B$4692,0)),INDEX(Sensors_MANU!$D$2:$D$4692,MATCH($P375,Sensors_MANU!$A$2:$A$4692,0))),"")</f>
        <v/>
      </c>
      <c r="M375" s="27" t="n"/>
      <c r="N375" s="99">
        <f>IFERROR(INDEX(Sensors_MANU!$G$2:$G$4692,MATCH($P375,Sensors_MANU!$A$2:$A$4692,0)),)</f>
        <v/>
      </c>
      <c r="O375" s="6" t="inlineStr">
        <is>
          <t>v16</t>
        </is>
      </c>
      <c r="P375" t="n">
        <v>4978425</v>
      </c>
    </row>
    <row r="376">
      <c r="A376" s="32">
        <f>IFERROR(_xlfn.IFNA(INDEX(Sensors_MANU!$E$2:$E$4692,MATCH($D376,Sensors_MANU!$B$2:$B$4692,0)),INDEX(Sensors_MANU!$E$2:$E$4692,MATCH($P376,Sensors_MANU!$A$2:$A$4692,0))),"")</f>
        <v/>
      </c>
      <c r="B376" s="24">
        <f>IFERROR(INDEX(Companies!$A$3:$A$101,MATCH(A376,Companies!$B$3:$B$101,0)),"")</f>
        <v/>
      </c>
      <c r="C376" t="inlineStr">
        <is>
          <t>cargo</t>
        </is>
      </c>
      <c r="D376" t="inlineStr">
        <is>
          <t>D34D8D09EF1A</t>
        </is>
      </c>
      <c r="E376">
        <f>LEFT(D376,2)&amp;":"&amp;MID(D376,3,2)&amp;":"&amp;MID(D376,5,2)&amp;":"&amp;MID(D376,7,2)&amp;":"&amp;MID(D376,9,2)&amp;":"&amp;RIGHT(D376,2)</f>
        <v/>
      </c>
      <c r="H376" t="inlineStr">
        <is>
          <t>10703C99D905F41C</t>
        </is>
      </c>
      <c r="I376">
        <f>IFERROR(_xlfn.IFNA(INDEX(Sensors_MANU!$C$2:$C$4692,MATCH($D376,Sensors_MANU!$B$2:$B$4692,0)),INDEX(Sensors_MANU!$C$2:$C$4692,MATCH($P376,Sensors_MANU!$A$2:$A$4692,0))),"")</f>
        <v/>
      </c>
      <c r="J376">
        <f>IFERROR(_xlfn.IFNA(INDEX(Sensors_MANU!$D$2:$D$4692,MATCH($D376,Sensors_MANU!$B$2:$B$4692,0)),INDEX(Sensors_MANU!$D$2:$D$4692,MATCH($P376,Sensors_MANU!$A$2:$A$4692,0))),"")</f>
        <v/>
      </c>
      <c r="M376" s="27" t="n"/>
      <c r="N376" s="99">
        <f>IFERROR(INDEX(Sensors_MANU!$G$2:$G$4692,MATCH($P376,Sensors_MANU!$A$2:$A$4692,0)),)</f>
        <v/>
      </c>
      <c r="O376" s="6" t="inlineStr">
        <is>
          <t>v15</t>
        </is>
      </c>
      <c r="P376" t="n">
        <v>4978685</v>
      </c>
    </row>
    <row r="377">
      <c r="A377" s="32">
        <f>IFERROR(_xlfn.IFNA(INDEX(Sensors_MANU!$E$2:$E$4692,MATCH($D377,Sensors_MANU!$B$2:$B$4692,0)),INDEX(Sensors_MANU!$E$2:$E$4692,MATCH($P377,Sensors_MANU!$A$2:$A$4692,0))),"")</f>
        <v/>
      </c>
      <c r="B377" s="24">
        <f>IFERROR(INDEX(Companies!$A$3:$A$101,MATCH(A377,Companies!$B$3:$B$101,0)),"")</f>
        <v/>
      </c>
      <c r="C377" t="inlineStr">
        <is>
          <t>cargo</t>
        </is>
      </c>
      <c r="D377" t="inlineStr">
        <is>
          <t>D687D4B35C26</t>
        </is>
      </c>
      <c r="E377">
        <f>LEFT(D377,2)&amp;":"&amp;MID(D377,3,2)&amp;":"&amp;MID(D377,5,2)&amp;":"&amp;MID(D377,7,2)&amp;":"&amp;MID(D377,9,2)&amp;":"&amp;RIGHT(D377,2)</f>
        <v/>
      </c>
      <c r="H377" t="inlineStr">
        <is>
          <t>FC5C369B2031D044</t>
        </is>
      </c>
      <c r="I377">
        <f>IFERROR(_xlfn.IFNA(INDEX(Sensors_MANU!$C$2:$C$4692,MATCH($D377,Sensors_MANU!$B$2:$B$4692,0)),INDEX(Sensors_MANU!$C$2:$C$4692,MATCH($P377,Sensors_MANU!$A$2:$A$4692,0))),"")</f>
        <v/>
      </c>
      <c r="J377">
        <f>IFERROR(_xlfn.IFNA(INDEX(Sensors_MANU!$D$2:$D$4692,MATCH($D377,Sensors_MANU!$B$2:$B$4692,0)),INDEX(Sensors_MANU!$D$2:$D$4692,MATCH($P377,Sensors_MANU!$A$2:$A$4692,0))),"")</f>
        <v/>
      </c>
      <c r="M377" s="27" t="n"/>
      <c r="N377" s="99">
        <f>IFERROR(INDEX(Sensors_MANU!$G$2:$G$4692,MATCH($P377,Sensors_MANU!$A$2:$A$4692,0)),)</f>
        <v/>
      </c>
      <c r="O377" s="6" t="inlineStr">
        <is>
          <t>v15</t>
        </is>
      </c>
      <c r="P377" t="n">
        <v>4978532</v>
      </c>
    </row>
    <row r="378">
      <c r="A378" s="32" t="inlineStr">
        <is>
          <t>RAILRELEASE</t>
        </is>
      </c>
      <c r="B378" s="24">
        <f>IFERROR(INDEX(Companies!$A$3:$A$101,MATCH(A378,Companies!$B$3:$B$101,0)),"")</f>
        <v/>
      </c>
      <c r="D378" t="inlineStr">
        <is>
          <t>C649B3C6854E</t>
        </is>
      </c>
      <c r="E378" s="24">
        <f>LEFT(D378,2)&amp;":"&amp;MID(D378,3,2)&amp;":"&amp;MID(D378,5,2)&amp;":"&amp;MID(D378,7,2)&amp;":"&amp;MID(D378,9,2)&amp;":"&amp;RIGHT(D378,2)</f>
        <v/>
      </c>
      <c r="F378" s="29" t="n">
        <v>45064</v>
      </c>
      <c r="G378" s="29" t="inlineStr">
        <is>
          <t>Viezo</t>
        </is>
      </c>
      <c r="H378" t="inlineStr">
        <is>
          <t>B2978B3B4699EEC7</t>
        </is>
      </c>
      <c r="J378" s="71" t="inlineStr">
        <is>
          <t>PR2203-093</t>
        </is>
      </c>
      <c r="K378" s="27" t="inlineStr">
        <is>
          <t>37844576159-6</t>
        </is>
      </c>
      <c r="L378" s="27" t="inlineStr">
        <is>
          <t>2L</t>
        </is>
      </c>
      <c r="N378" s="99">
        <f>IFERROR(INDEX(Sensors_MANU!$G$2:$G$4692,MATCH($P378,Sensors_MANU!$A$2:$A$4692,0)),)</f>
        <v/>
      </c>
      <c r="O378" s="6" t="inlineStr">
        <is>
          <t>v17</t>
        </is>
      </c>
      <c r="P378" t="n">
        <v>4978481</v>
      </c>
    </row>
    <row r="379">
      <c r="A379" s="32">
        <f>IFERROR(_xlfn.IFNA(INDEX(Sensors_MANU!$E$2:$E$4692,MATCH($D379,Sensors_MANU!$B$2:$B$4692,0)),INDEX(Sensors_MANU!$E$2:$E$4692,MATCH($P379,Sensors_MANU!$A$2:$A$4692,0))),"")</f>
        <v/>
      </c>
      <c r="B379" s="24">
        <f>IFERROR(INDEX(Companies!$A$3:$A$101,MATCH(A379,Companies!$B$3:$B$101,0)),"")</f>
        <v/>
      </c>
      <c r="C379">
        <f>IFERROR(_xlfn.IFNA(INDEX(Sensors_MANU!$F$2:$F$4692,MATCH($D379,Sensors_MANU!$B$2:$B$4692,0)),INDEX(Sensors_MANU!$F$2:$F$4692,MATCH($P379,Sensors_MANU!$A$2:$A$4692,0))),"")</f>
        <v/>
      </c>
      <c r="D379" t="inlineStr">
        <is>
          <t>F2955BD0328E</t>
        </is>
      </c>
      <c r="E379">
        <f>LEFT(D379,2)&amp;":"&amp;MID(D379,3,2)&amp;":"&amp;MID(D379,5,2)&amp;":"&amp;MID(D379,7,2)&amp;":"&amp;MID(D379,9,2)&amp;":"&amp;RIGHT(D379,2)</f>
        <v/>
      </c>
      <c r="H379" t="inlineStr">
        <is>
          <t>6DCAC24D7504A4D8</t>
        </is>
      </c>
      <c r="I379">
        <f>IFERROR(_xlfn.IFNA(INDEX(Sensors_MANU!$C$2:$C$4692,MATCH($D379,Sensors_MANU!$B$2:$B$4692,0)),INDEX(Sensors_MANU!$C$2:$C$4692,MATCH($P379,Sensors_MANU!$A$2:$A$4692,0))),"")</f>
        <v/>
      </c>
      <c r="J379">
        <f>IFERROR(_xlfn.IFNA(INDEX(Sensors_MANU!$D$2:$D$4692,MATCH($D379,Sensors_MANU!$B$2:$B$4692,0)),INDEX(Sensors_MANU!$D$2:$D$4692,MATCH($P379,Sensors_MANU!$A$2:$A$4692,0))),"")</f>
        <v/>
      </c>
      <c r="K379" s="32" t="n"/>
      <c r="L379" s="32" t="n"/>
      <c r="M379" s="32" t="n"/>
      <c r="N379" s="97" t="n"/>
      <c r="O379" s="6" t="inlineStr">
        <is>
          <t>v15</t>
        </is>
      </c>
      <c r="P379" t="n">
        <v>4978449</v>
      </c>
    </row>
    <row r="380">
      <c r="A380" s="32">
        <f>IFERROR(_xlfn.IFNA(INDEX(Sensors_MANU!$E$2:$E$4692,MATCH($D380,Sensors_MANU!$B$2:$B$4692,0)),INDEX(Sensors_MANU!$E$2:$E$4692,MATCH($P380,Sensors_MANU!$A$2:$A$4692,0))),"")</f>
        <v/>
      </c>
      <c r="B380" s="24">
        <f>IFERROR(INDEX(Companies!$A$3:$A$101,MATCH(A380,Companies!$B$3:$B$101,0)),"")</f>
        <v/>
      </c>
      <c r="C380">
        <f>IFERROR(_xlfn.IFNA(INDEX(Sensors_MANU!$F$2:$F$4692,MATCH($D380,Sensors_MANU!$B$2:$B$4692,0)),INDEX(Sensors_MANU!$F$2:$F$4692,MATCH($P380,Sensors_MANU!$A$2:$A$4692,0))),"")</f>
        <v/>
      </c>
      <c r="D380" t="inlineStr">
        <is>
          <t>E72B5D6BD92F</t>
        </is>
      </c>
      <c r="E380">
        <f>LEFT(D380,2)&amp;":"&amp;MID(D380,3,2)&amp;":"&amp;MID(D380,5,2)&amp;":"&amp;MID(D380,7,2)&amp;":"&amp;MID(D380,9,2)&amp;":"&amp;RIGHT(D380,2)</f>
        <v/>
      </c>
      <c r="F380" s="29" t="n">
        <v>44910</v>
      </c>
      <c r="G380" s="29" t="inlineStr">
        <is>
          <t>Viezo</t>
        </is>
      </c>
      <c r="H380" t="inlineStr">
        <is>
          <t>98DED9714FC1E0C2</t>
        </is>
      </c>
      <c r="I380">
        <f>IFERROR(_xlfn.IFNA(INDEX(Sensors_MANU!$C$2:$C$4692,MATCH($D380,Sensors_MANU!$B$2:$B$4692,0)),INDEX(Sensors_MANU!$C$2:$C$4692,MATCH($P380,Sensors_MANU!$A$2:$A$4692,0))),"")</f>
        <v/>
      </c>
      <c r="J380" s="7">
        <f>IFERROR(_xlfn.IFNA(INDEX(Sensors_MANU!$D$2:$D$4692,MATCH($D380,Sensors_MANU!$B$2:$B$4692,0)),INDEX(Sensors_MANU!$D$2:$D$4692,MATCH($P380,Sensors_MANU!$A$2:$A$4692,0))),"")</f>
        <v/>
      </c>
      <c r="K380" s="27" t="inlineStr">
        <is>
          <t>31833919338-1</t>
        </is>
      </c>
      <c r="L380" s="27" t="inlineStr">
        <is>
          <t>3R</t>
        </is>
      </c>
      <c r="M380" s="27" t="n"/>
      <c r="N380" s="99">
        <f>IFERROR(INDEX(Sensors_MANU!$G$2:$G$4692,MATCH($P380,Sensors_MANU!$A$2:$A$4692,0)),)</f>
        <v/>
      </c>
      <c r="O380" s="6" t="inlineStr">
        <is>
          <t>v16</t>
        </is>
      </c>
      <c r="P380" t="n">
        <v>4978838</v>
      </c>
    </row>
    <row r="381">
      <c r="A381" s="32">
        <f>IFERROR(_xlfn.IFNA(INDEX(Sensors_MANU!$E$2:$E$4692,MATCH($D381,Sensors_MANU!$B$2:$B$4692,0)),INDEX(Sensors_MANU!$E$2:$E$4692,MATCH($P381,Sensors_MANU!$A$2:$A$4692,0))),"")</f>
        <v/>
      </c>
      <c r="B381" s="24">
        <f>IFERROR(INDEX(Companies!$A$3:$A$101,MATCH(A381,Companies!$B$3:$B$101,0)),"")</f>
        <v/>
      </c>
      <c r="C381" t="inlineStr">
        <is>
          <t>cargo</t>
        </is>
      </c>
      <c r="D381" t="inlineStr">
        <is>
          <t>E19A7D3297DA</t>
        </is>
      </c>
      <c r="E381">
        <f>LEFT(D381,2)&amp;":"&amp;MID(D381,3,2)&amp;":"&amp;MID(D381,5,2)&amp;":"&amp;MID(D381,7,2)&amp;":"&amp;MID(D381,9,2)&amp;":"&amp;RIGHT(D381,2)</f>
        <v/>
      </c>
      <c r="H381" t="inlineStr">
        <is>
          <t>402DB4697EBA94FC</t>
        </is>
      </c>
      <c r="I381">
        <f>IFERROR(_xlfn.IFNA(INDEX(Sensors_MANU!$C$2:$C$4692,MATCH($D381,Sensors_MANU!$B$2:$B$4692,0)),INDEX(Sensors_MANU!$C$2:$C$4692,MATCH($P381,Sensors_MANU!$A$2:$A$4692,0))),"")</f>
        <v/>
      </c>
      <c r="J381">
        <f>IFERROR(_xlfn.IFNA(INDEX(Sensors_MANU!$D$2:$D$4692,MATCH($D381,Sensors_MANU!$B$2:$B$4692,0)),INDEX(Sensors_MANU!$D$2:$D$4692,MATCH($P381,Sensors_MANU!$A$2:$A$4692,0))),"")</f>
        <v/>
      </c>
      <c r="M381" s="27" t="n"/>
      <c r="N381" s="99">
        <f>IFERROR(INDEX(Sensors_MANU!$G$2:$G$4692,MATCH($P381,Sensors_MANU!$A$2:$A$4692,0)),)</f>
        <v/>
      </c>
      <c r="O381" s="6" t="inlineStr">
        <is>
          <t>v15</t>
        </is>
      </c>
      <c r="P381" t="n">
        <v>4978756</v>
      </c>
    </row>
    <row r="382">
      <c r="A382" s="32">
        <f>IFERROR(_xlfn.IFNA(INDEX(Sensors_MANU!$E$2:$E$4692,MATCH($D382,Sensors_MANU!$B$2:$B$4692,0)),INDEX(Sensors_MANU!$E$2:$E$4692,MATCH($P382,Sensors_MANU!$A$2:$A$4692,0))),"")</f>
        <v/>
      </c>
      <c r="B382" s="24">
        <f>IFERROR(INDEX(Companies!$A$3:$A$101,MATCH(A382,Companies!$B$3:$B$101,0)),"")</f>
        <v/>
      </c>
      <c r="C382">
        <f>IFERROR(_xlfn.IFNA(INDEX(Sensors_MANU!$F$2:$F$4692,MATCH($D382,Sensors_MANU!$B$2:$B$4692,0)),INDEX(Sensors_MANU!$F$2:$F$4692,MATCH($P382,Sensors_MANU!$A$2:$A$4692,0))),"")</f>
        <v/>
      </c>
      <c r="D382" t="inlineStr">
        <is>
          <t>C6A223443607</t>
        </is>
      </c>
      <c r="E382">
        <f>LEFT(D382,2)&amp;":"&amp;MID(D382,3,2)&amp;":"&amp;MID(D382,5,2)&amp;":"&amp;MID(D382,7,2)&amp;":"&amp;MID(D382,9,2)&amp;":"&amp;RIGHT(D382,2)</f>
        <v/>
      </c>
      <c r="F382" s="29" t="n">
        <v>44910</v>
      </c>
      <c r="G382" s="29" t="inlineStr">
        <is>
          <t>Viezo</t>
        </is>
      </c>
      <c r="H382" t="inlineStr">
        <is>
          <t>9B3E8CEDB9A6C842</t>
        </is>
      </c>
      <c r="I382">
        <f>IFERROR(_xlfn.IFNA(INDEX(Sensors_MANU!$C$2:$C$4692,MATCH($D382,Sensors_MANU!$B$2:$B$4692,0)),INDEX(Sensors_MANU!$C$2:$C$4692,MATCH($P382,Sensors_MANU!$A$2:$A$4692,0))),"")</f>
        <v/>
      </c>
      <c r="J382">
        <f>IFERROR(_xlfn.IFNA(INDEX(Sensors_MANU!$D$2:$D$4692,MATCH($D382,Sensors_MANU!$B$2:$B$4692,0)),INDEX(Sensors_MANU!$D$2:$D$4692,MATCH($P382,Sensors_MANU!$A$2:$A$4692,0))),"")</f>
        <v/>
      </c>
      <c r="K382" s="27" t="inlineStr">
        <is>
          <t>31835377921-4</t>
        </is>
      </c>
      <c r="L382" s="27" t="inlineStr">
        <is>
          <t>2R</t>
        </is>
      </c>
      <c r="M382" s="27" t="n"/>
      <c r="N382" s="99">
        <f>IFERROR(INDEX(Sensors_MANU!$G$2:$G$4692,MATCH($P382,Sensors_MANU!$A$2:$A$4692,0)),)</f>
        <v/>
      </c>
      <c r="O382" s="6" t="inlineStr">
        <is>
          <t>v16</t>
        </is>
      </c>
      <c r="P382" t="n">
        <v>4978574</v>
      </c>
    </row>
    <row r="383">
      <c r="A383" s="32">
        <f>IFERROR(_xlfn.IFNA(INDEX(Sensors_MANU!$E$2:$E$4692,MATCH($D383,Sensors_MANU!$B$2:$B$4692,0)),INDEX(Sensors_MANU!$E$2:$E$4692,MATCH($P383,Sensors_MANU!$A$2:$A$4692,0))),"")</f>
        <v/>
      </c>
      <c r="B383" s="24">
        <f>IFERROR(INDEX(Companies!$A$3:$A$101,MATCH(A383,Companies!$B$3:$B$101,0)),"")</f>
        <v/>
      </c>
      <c r="C383" t="inlineStr">
        <is>
          <t>cargo</t>
        </is>
      </c>
      <c r="D383" t="inlineStr">
        <is>
          <t>E48197D0B7C5</t>
        </is>
      </c>
      <c r="E383">
        <f>LEFT(D383,2)&amp;":"&amp;MID(D383,3,2)&amp;":"&amp;MID(D383,5,2)&amp;":"&amp;MID(D383,7,2)&amp;":"&amp;MID(D383,9,2)&amp;":"&amp;RIGHT(D383,2)</f>
        <v/>
      </c>
      <c r="H383" t="inlineStr">
        <is>
          <t>E93A54DC8475F502</t>
        </is>
      </c>
      <c r="I383">
        <f>IFERROR(_xlfn.IFNA(INDEX(Sensors_MANU!$C$2:$C$4692,MATCH($D383,Sensors_MANU!$B$2:$B$4692,0)),INDEX(Sensors_MANU!$C$2:$C$4692,MATCH($P383,Sensors_MANU!$A$2:$A$4692,0))),"")</f>
        <v/>
      </c>
      <c r="J383">
        <f>IFERROR(_xlfn.IFNA(INDEX(Sensors_MANU!$D$2:$D$4692,MATCH($D383,Sensors_MANU!$B$2:$B$4692,0)),INDEX(Sensors_MANU!$D$2:$D$4692,MATCH($P383,Sensors_MANU!$A$2:$A$4692,0))),"")</f>
        <v/>
      </c>
      <c r="M383" s="27" t="n"/>
      <c r="N383" s="99">
        <f>IFERROR(INDEX(Sensors_MANU!$G$2:$G$4692,MATCH($P383,Sensors_MANU!$A$2:$A$4692,0)),)</f>
        <v/>
      </c>
      <c r="O383" s="6" t="inlineStr">
        <is>
          <t>v15</t>
        </is>
      </c>
      <c r="P383" t="n">
        <v>4978757</v>
      </c>
    </row>
    <row r="384">
      <c r="B384" s="24">
        <f>IFERROR(INDEX(Companies!$A$3:$A$101,MATCH(A384,Companies!$B$3:$B$101,0)),"")</f>
        <v/>
      </c>
      <c r="C384">
        <f>IFERROR(_xlfn.IFNA(INDEX(Sensors_MANU!$F$2:$F$4692,MATCH($D384,Sensors_MANU!$B$2:$B$4692,0)),INDEX(Sensors_MANU!$F$2:$F$4692,MATCH($P384,Sensors_MANU!$A$2:$A$4692,0))),"")</f>
        <v/>
      </c>
      <c r="D384" t="inlineStr">
        <is>
          <t>DE72CAB26DC1</t>
        </is>
      </c>
      <c r="E384" s="24">
        <f>LEFT(D384,2)&amp;":"&amp;MID(D384,3,2)&amp;":"&amp;MID(D384,5,2)&amp;":"&amp;MID(D384,7,2)&amp;":"&amp;MID(D384,9,2)&amp;":"&amp;RIGHT(D384,2)</f>
        <v/>
      </c>
      <c r="H384" t="inlineStr">
        <is>
          <t>DA98ADA6EE8F7AAE</t>
        </is>
      </c>
      <c r="I384">
        <f>IFERROR(_xlfn.IFNA(INDEX(Sensors_MANU!$C$2:$C$4692,MATCH($D384,Sensors_MANU!$B$2:$B$4692,0)),INDEX(Sensors_MANU!$C$2:$C$4692,MATCH($P384,Sensors_MANU!$A$2:$A$4692,0))),"")</f>
        <v/>
      </c>
      <c r="J384">
        <f>IFERROR(_xlfn.IFNA(INDEX(Sensors_MANU!$D$2:$D$4692,MATCH($D384,Sensors_MANU!$B$2:$B$4692,0)),INDEX(Sensors_MANU!$D$2:$D$4692,MATCH($P384,Sensors_MANU!$A$2:$A$4692,0))),"")</f>
        <v/>
      </c>
      <c r="O384" s="6" t="inlineStr">
        <is>
          <t>V25</t>
        </is>
      </c>
    </row>
    <row r="385">
      <c r="A385" s="32">
        <f>IFERROR(_xlfn.IFNA(INDEX(Sensors_MANU!$E$2:$E$4692,MATCH($D385,Sensors_MANU!$B$2:$B$4692,0)),INDEX(Sensors_MANU!$E$2:$E$4692,MATCH($P385,Sensors_MANU!$A$2:$A$4692,0))),"")</f>
        <v/>
      </c>
      <c r="B385" s="24">
        <f>IFERROR(INDEX(Companies!$A$3:$A$101,MATCH(A385,Companies!$B$3:$B$101,0)),"")</f>
        <v/>
      </c>
      <c r="C385" t="inlineStr">
        <is>
          <t>cargo</t>
        </is>
      </c>
      <c r="D385" t="inlineStr">
        <is>
          <t>CECCF209FCFB</t>
        </is>
      </c>
      <c r="E385">
        <f>LEFT(D385,2)&amp;":"&amp;MID(D385,3,2)&amp;":"&amp;MID(D385,5,2)&amp;":"&amp;MID(D385,7,2)&amp;":"&amp;MID(D385,9,2)&amp;":"&amp;RIGHT(D385,2)</f>
        <v/>
      </c>
      <c r="H385" t="inlineStr">
        <is>
          <t>EDC521BFBAB063D4</t>
        </is>
      </c>
      <c r="I385">
        <f>IFERROR(_xlfn.IFNA(INDEX(Sensors_MANU!$C$2:$C$4692,MATCH($D385,Sensors_MANU!$B$2:$B$4692,0)),INDEX(Sensors_MANU!$C$2:$C$4692,MATCH($P385,Sensors_MANU!$A$2:$A$4692,0))),"")</f>
        <v/>
      </c>
      <c r="J385">
        <f>IFERROR(_xlfn.IFNA(INDEX(Sensors_MANU!$D$2:$D$4692,MATCH($D385,Sensors_MANU!$B$2:$B$4692,0)),INDEX(Sensors_MANU!$D$2:$D$4692,MATCH($P385,Sensors_MANU!$A$2:$A$4692,0))),"")</f>
        <v/>
      </c>
      <c r="M385" s="27" t="n"/>
      <c r="N385" s="99">
        <f>IFERROR(INDEX(Sensors_MANU!$G$2:$G$4692,MATCH($P385,Sensors_MANU!$A$2:$A$4692,0)),)</f>
        <v/>
      </c>
      <c r="O385" s="6" t="inlineStr">
        <is>
          <t>v15</t>
        </is>
      </c>
      <c r="P385" t="n">
        <v>4978706</v>
      </c>
    </row>
    <row r="386">
      <c r="A386" s="32">
        <f>IFERROR(_xlfn.IFNA(INDEX(Sensors_MANU!$E$2:$E$4692,MATCH($D386,Sensors_MANU!$B$2:$B$4692,0)),INDEX(Sensors_MANU!$E$2:$E$4692,MATCH($P386,Sensors_MANU!$A$2:$A$4692,0))),"")</f>
        <v/>
      </c>
      <c r="B386" s="24">
        <f>IFERROR(INDEX(Companies!$A$3:$A$101,MATCH(A386,Companies!$B$3:$B$101,0)),"")</f>
        <v/>
      </c>
      <c r="C386" t="inlineStr">
        <is>
          <t>cargo</t>
        </is>
      </c>
      <c r="D386" t="inlineStr">
        <is>
          <t>F231CF02891F</t>
        </is>
      </c>
      <c r="E386">
        <f>LEFT(D386,2)&amp;":"&amp;MID(D386,3,2)&amp;":"&amp;MID(D386,5,2)&amp;":"&amp;MID(D386,7,2)&amp;":"&amp;MID(D386,9,2)&amp;":"&amp;RIGHT(D386,2)</f>
        <v/>
      </c>
      <c r="H386" t="inlineStr">
        <is>
          <t>972064DEC2668739</t>
        </is>
      </c>
      <c r="I386">
        <f>IFERROR(_xlfn.IFNA(INDEX(Sensors_MANU!$C$2:$C$4692,MATCH($D386,Sensors_MANU!$B$2:$B$4692,0)),INDEX(Sensors_MANU!$C$2:$C$4692,MATCH($P386,Sensors_MANU!$A$2:$A$4692,0))),"")</f>
        <v/>
      </c>
      <c r="J386">
        <f>IFERROR(_xlfn.IFNA(INDEX(Sensors_MANU!$D$2:$D$4692,MATCH($D386,Sensors_MANU!$B$2:$B$4692,0)),INDEX(Sensors_MANU!$D$2:$D$4692,MATCH($P386,Sensors_MANU!$A$2:$A$4692,0))),"")</f>
        <v/>
      </c>
      <c r="M386" s="27" t="n"/>
      <c r="N386" s="99">
        <f>IFERROR(INDEX(Sensors_MANU!$G$2:$G$4692,MATCH($P386,Sensors_MANU!$A$2:$A$4692,0)),)</f>
        <v/>
      </c>
      <c r="O386" s="6" t="inlineStr">
        <is>
          <t>v15</t>
        </is>
      </c>
      <c r="P386" t="n">
        <v>4978689</v>
      </c>
    </row>
    <row r="387">
      <c r="A387" s="32">
        <f>IFERROR(_xlfn.IFNA(INDEX(Sensors_MANU!$E$2:$E$4692,MATCH($D387,Sensors_MANU!$B$2:$B$4692,0)),INDEX(Sensors_MANU!$E$2:$E$4692,MATCH($P387,Sensors_MANU!$A$2:$A$4692,0))),"")</f>
        <v/>
      </c>
      <c r="B387" s="24">
        <f>IFERROR(INDEX(Companies!$A$3:$A$101,MATCH(A387,Companies!$B$3:$B$101,0)),"")</f>
        <v/>
      </c>
      <c r="C387">
        <f>IFERROR(_xlfn.IFNA(INDEX(Sensors_MANU!$F$2:$F$4692,MATCH($D387,Sensors_MANU!$B$2:$B$4692,0)),INDEX(Sensors_MANU!$F$2:$F$4692,MATCH($P387,Sensors_MANU!$A$2:$A$4692,0))),"")</f>
        <v/>
      </c>
      <c r="D387" t="inlineStr">
        <is>
          <t>D3F3F3B01C31</t>
        </is>
      </c>
      <c r="E387">
        <f>LEFT(D387,2)&amp;":"&amp;MID(D387,3,2)&amp;":"&amp;MID(D387,5,2)&amp;":"&amp;MID(D387,7,2)&amp;":"&amp;MID(D387,9,2)&amp;":"&amp;RIGHT(D387,2)</f>
        <v/>
      </c>
      <c r="H387" t="inlineStr">
        <is>
          <t>A2053A94FAC5207D</t>
        </is>
      </c>
      <c r="I387">
        <f>IFERROR(_xlfn.IFNA(INDEX(Sensors_MANU!$C$2:$C$4692,MATCH($D387,Sensors_MANU!$B$2:$B$4692,0)),INDEX(Sensors_MANU!$C$2:$C$4692,MATCH($P387,Sensors_MANU!$A$2:$A$4692,0))),"")</f>
        <v/>
      </c>
      <c r="J387">
        <f>IFERROR(_xlfn.IFNA(INDEX(Sensors_MANU!$D$2:$D$4692,MATCH($D387,Sensors_MANU!$B$2:$B$4692,0)),INDEX(Sensors_MANU!$D$2:$D$4692,MATCH($P387,Sensors_MANU!$A$2:$A$4692,0))),"")</f>
        <v/>
      </c>
      <c r="M387" s="27" t="n"/>
      <c r="N387" s="99">
        <f>IFERROR(INDEX(Sensors_MANU!$G$2:$G$4692,MATCH($P387,Sensors_MANU!$A$2:$A$4692,0)),)</f>
        <v/>
      </c>
      <c r="O387" s="6" t="inlineStr">
        <is>
          <t>v16</t>
        </is>
      </c>
      <c r="P387" t="n">
        <v>4978735</v>
      </c>
    </row>
    <row r="388">
      <c r="B388" s="24">
        <f>IFERROR(INDEX(Companies!$A$3:$A$101,MATCH(A388,Companies!$B$3:$B$101,0)),"")</f>
        <v/>
      </c>
      <c r="C388">
        <f>IFERROR(_xlfn.IFNA(INDEX(Sensors_MANU!$F$2:$F$4692,MATCH($D388,Sensors_MANU!$B$2:$B$4692,0)),INDEX(Sensors_MANU!$F$2:$F$4692,MATCH($P388,Sensors_MANU!$A$2:$A$4692,0))),"")</f>
        <v/>
      </c>
      <c r="D388" t="inlineStr">
        <is>
          <t>D1FA1E9C3AF5</t>
        </is>
      </c>
      <c r="E388" s="24">
        <f>LEFT(D388,2)&amp;":"&amp;MID(D388,3,2)&amp;":"&amp;MID(D388,5,2)&amp;":"&amp;MID(D388,7,2)&amp;":"&amp;MID(D388,9,2)&amp;":"&amp;RIGHT(D388,2)</f>
        <v/>
      </c>
      <c r="H388" t="inlineStr">
        <is>
          <t>2B677E7769BE779F</t>
        </is>
      </c>
      <c r="I388">
        <f>IFERROR(_xlfn.IFNA(INDEX(Sensors_MANU!$C$2:$C$4692,MATCH($D388,Sensors_MANU!$B$2:$B$4692,0)),INDEX(Sensors_MANU!$C$2:$C$4692,MATCH($P388,Sensors_MANU!$A$2:$A$4692,0))),"")</f>
        <v/>
      </c>
      <c r="J388">
        <f>IFERROR(_xlfn.IFNA(INDEX(Sensors_MANU!$D$2:$D$4692,MATCH($D388,Sensors_MANU!$B$2:$B$4692,0)),INDEX(Sensors_MANU!$D$2:$D$4692,MATCH($P388,Sensors_MANU!$A$2:$A$4692,0))),"")</f>
        <v/>
      </c>
      <c r="N388" s="99">
        <f>IFERROR(INDEX(Sensors_MANU!$G$2:$G$4692,MATCH($P388,Sensors_MANU!$A$2:$A$4692,0)),)</f>
        <v/>
      </c>
      <c r="O388" s="6" t="inlineStr">
        <is>
          <t>v17</t>
        </is>
      </c>
      <c r="P388" t="n">
        <v>4978524</v>
      </c>
    </row>
    <row r="389">
      <c r="A389" s="32">
        <f>IFERROR(_xlfn.IFNA(INDEX(Sensors_MANU!$E$2:$E$4692,MATCH($D389,Sensors_MANU!$B$2:$B$4692,0)),INDEX(Sensors_MANU!$E$2:$E$4692,MATCH($P389,Sensors_MANU!$A$2:$A$4692,0))),"")</f>
        <v/>
      </c>
      <c r="B389" s="24">
        <f>IFERROR(INDEX(Companies!$A$3:$A$101,MATCH(A389,Companies!$B$3:$B$101,0)),"")</f>
        <v/>
      </c>
      <c r="C389" t="inlineStr">
        <is>
          <t>cargo</t>
        </is>
      </c>
      <c r="D389" t="inlineStr">
        <is>
          <t>CD156DF7FEE6</t>
        </is>
      </c>
      <c r="E389">
        <f>LEFT(D389,2)&amp;":"&amp;MID(D389,3,2)&amp;":"&amp;MID(D389,5,2)&amp;":"&amp;MID(D389,7,2)&amp;":"&amp;MID(D389,9,2)&amp;":"&amp;RIGHT(D389,2)</f>
        <v/>
      </c>
      <c r="H389" t="inlineStr">
        <is>
          <t>38A4A85C29CB0120</t>
        </is>
      </c>
      <c r="I389">
        <f>IFERROR(_xlfn.IFNA(INDEX(Sensors_MANU!$C$2:$C$4692,MATCH($D389,Sensors_MANU!$B$2:$B$4692,0)),INDEX(Sensors_MANU!$C$2:$C$4692,MATCH($P389,Sensors_MANU!$A$2:$A$4692,0))),"")</f>
        <v/>
      </c>
      <c r="J389">
        <f>IFERROR(_xlfn.IFNA(INDEX(Sensors_MANU!$D$2:$D$4692,MATCH($D389,Sensors_MANU!$B$2:$B$4692,0)),INDEX(Sensors_MANU!$D$2:$D$4692,MATCH($P389,Sensors_MANU!$A$2:$A$4692,0))),"")</f>
        <v/>
      </c>
      <c r="M389" s="27" t="n"/>
      <c r="N389" s="99">
        <f>IFERROR(INDEX(Sensors_MANU!$G$2:$G$4692,MATCH($P389,Sensors_MANU!$A$2:$A$4692,0)),)</f>
        <v/>
      </c>
      <c r="O389" s="6" t="inlineStr">
        <is>
          <t>v15</t>
        </is>
      </c>
      <c r="P389" t="n">
        <v>4978644</v>
      </c>
    </row>
    <row r="390">
      <c r="A390" s="32">
        <f>IFERROR(_xlfn.IFNA(INDEX(Sensors_MANU!$E$2:$E$4692,MATCH($D390,Sensors_MANU!$B$2:$B$4692,0)),INDEX(Sensors_MANU!$E$2:$E$4692,MATCH($P390,Sensors_MANU!$A$2:$A$4692,0))),"")</f>
        <v/>
      </c>
      <c r="B390" s="24">
        <f>IFERROR(INDEX(Companies!$A$3:$A$101,MATCH(A390,Companies!$B$3:$B$101,0)),"")</f>
        <v/>
      </c>
      <c r="C390" t="inlineStr">
        <is>
          <t>cargo</t>
        </is>
      </c>
      <c r="D390" t="inlineStr">
        <is>
          <t>F1D8FE735025</t>
        </is>
      </c>
      <c r="E390">
        <f>LEFT(D390,2)&amp;":"&amp;MID(D390,3,2)&amp;":"&amp;MID(D390,5,2)&amp;":"&amp;MID(D390,7,2)&amp;":"&amp;MID(D390,9,2)&amp;":"&amp;RIGHT(D390,2)</f>
        <v/>
      </c>
      <c r="H390" t="inlineStr">
        <is>
          <t>80B0864173F17224</t>
        </is>
      </c>
      <c r="I390">
        <f>IFERROR(_xlfn.IFNA(INDEX(Sensors_MANU!$C$2:$C$4692,MATCH($D390,Sensors_MANU!$B$2:$B$4692,0)),INDEX(Sensors_MANU!$C$2:$C$4692,MATCH($P390,Sensors_MANU!$A$2:$A$4692,0))),"")</f>
        <v/>
      </c>
      <c r="J390">
        <f>IFERROR(_xlfn.IFNA(INDEX(Sensors_MANU!$D$2:$D$4692,MATCH($D390,Sensors_MANU!$B$2:$B$4692,0)),INDEX(Sensors_MANU!$D$2:$D$4692,MATCH($P390,Sensors_MANU!$A$2:$A$4692,0))),"")</f>
        <v/>
      </c>
      <c r="M390" s="27" t="n"/>
      <c r="N390" s="99">
        <f>IFERROR(INDEX(Sensors_MANU!$G$2:$G$4692,MATCH($P390,Sensors_MANU!$A$2:$A$4692,0)),)</f>
        <v/>
      </c>
      <c r="O390" s="6" t="inlineStr">
        <is>
          <t>v15</t>
        </is>
      </c>
      <c r="P390" t="n">
        <v>4978620</v>
      </c>
    </row>
    <row r="391">
      <c r="A391" s="32">
        <f>IFERROR(_xlfn.IFNA(INDEX(Sensors_MANU!$E$2:$E$4692,MATCH($D391,Sensors_MANU!$B$2:$B$4692,0)),INDEX(Sensors_MANU!$E$2:$E$4692,MATCH($P391,Sensors_MANU!$A$2:$A$4692,0))),"")</f>
        <v/>
      </c>
      <c r="B391" s="24">
        <f>IFERROR(INDEX(Companies!$A$3:$A$101,MATCH(A391,Companies!$B$3:$B$101,0)),"")</f>
        <v/>
      </c>
      <c r="C391" t="inlineStr">
        <is>
          <t>cargo</t>
        </is>
      </c>
      <c r="D391" t="inlineStr">
        <is>
          <t>C00D26F88732</t>
        </is>
      </c>
      <c r="E391">
        <f>LEFT(D391,2)&amp;":"&amp;MID(D391,3,2)&amp;":"&amp;MID(D391,5,2)&amp;":"&amp;MID(D391,7,2)&amp;":"&amp;MID(D391,9,2)&amp;":"&amp;RIGHT(D391,2)</f>
        <v/>
      </c>
      <c r="H391" t="inlineStr">
        <is>
          <t>4181CA7C36E3FD97</t>
        </is>
      </c>
      <c r="I391">
        <f>IFERROR(_xlfn.IFNA(INDEX(Sensors_MANU!$C$2:$C$4692,MATCH($D391,Sensors_MANU!$B$2:$B$4692,0)),INDEX(Sensors_MANU!$C$2:$C$4692,MATCH($P391,Sensors_MANU!$A$2:$A$4692,0))),"")</f>
        <v/>
      </c>
      <c r="J391">
        <f>IFERROR(_xlfn.IFNA(INDEX(Sensors_MANU!$D$2:$D$4692,MATCH($D391,Sensors_MANU!$B$2:$B$4692,0)),INDEX(Sensors_MANU!$D$2:$D$4692,MATCH($P391,Sensors_MANU!$A$2:$A$4692,0))),"")</f>
        <v/>
      </c>
      <c r="M391" s="27" t="n"/>
      <c r="N391" s="99">
        <f>IFERROR(INDEX(Sensors_MANU!$G$2:$G$4692,MATCH($P391,Sensors_MANU!$A$2:$A$4692,0)),)</f>
        <v/>
      </c>
      <c r="O391" s="6" t="inlineStr">
        <is>
          <t>v15</t>
        </is>
      </c>
      <c r="P391" t="n">
        <v>4978694</v>
      </c>
    </row>
    <row r="392">
      <c r="A392" s="32">
        <f>IFERROR(_xlfn.IFNA(INDEX(Sensors_MANU!$E$2:$E$4692,MATCH($D392,Sensors_MANU!$B$2:$B$4692,0)),INDEX(Sensors_MANU!$E$2:$E$4692,MATCH($P392,Sensors_MANU!$A$2:$A$4692,0))),"")</f>
        <v/>
      </c>
      <c r="B392" s="24">
        <f>IFERROR(INDEX(Companies!$A$3:$A$101,MATCH(A392,Companies!$B$3:$B$101,0)),"")</f>
        <v/>
      </c>
      <c r="C392">
        <f>IFERROR(_xlfn.IFNA(INDEX(Sensors_MANU!$F$2:$F$4692,MATCH($D392,Sensors_MANU!$B$2:$B$4692,0)),INDEX(Sensors_MANU!$F$2:$F$4692,MATCH($P392,Sensors_MANU!$A$2:$A$4692,0))),"")</f>
        <v/>
      </c>
      <c r="D392" t="inlineStr">
        <is>
          <t>C2DCB319B93D</t>
        </is>
      </c>
      <c r="E392">
        <f>LEFT(D392,2)&amp;":"&amp;MID(D392,3,2)&amp;":"&amp;MID(D392,5,2)&amp;":"&amp;MID(D392,7,2)&amp;":"&amp;MID(D392,9,2)&amp;":"&amp;RIGHT(D392,2)</f>
        <v/>
      </c>
      <c r="F392" s="29" t="n">
        <v>44910</v>
      </c>
      <c r="G392" s="29" t="inlineStr">
        <is>
          <t>Viezo</t>
        </is>
      </c>
      <c r="H392" t="inlineStr">
        <is>
          <t>80878D27B38237FA</t>
        </is>
      </c>
      <c r="I392">
        <f>IFERROR(_xlfn.IFNA(INDEX(Sensors_MANU!$C$2:$C$4692,MATCH($D392,Sensors_MANU!$B$2:$B$4692,0)),INDEX(Sensors_MANU!$C$2:$C$4692,MATCH($P392,Sensors_MANU!$A$2:$A$4692,0))),"")</f>
        <v/>
      </c>
      <c r="J392">
        <f>IFERROR(_xlfn.IFNA(INDEX(Sensors_MANU!$D$2:$D$4692,MATCH($D392,Sensors_MANU!$B$2:$B$4692,0)),INDEX(Sensors_MANU!$D$2:$D$4692,MATCH($P392,Sensors_MANU!$A$2:$A$4692,0))),"")</f>
        <v/>
      </c>
      <c r="K392" s="27" t="inlineStr">
        <is>
          <t>31835376007-3</t>
        </is>
      </c>
      <c r="L392" s="27" t="inlineStr">
        <is>
          <t>3L</t>
        </is>
      </c>
      <c r="M392" s="27" t="n"/>
      <c r="N392" s="99">
        <f>IFERROR(INDEX(Sensors_MANU!$G$2:$G$4692,MATCH($P392,Sensors_MANU!$A$2:$A$4692,0)),)</f>
        <v/>
      </c>
      <c r="O392" s="6" t="inlineStr">
        <is>
          <t>v16</t>
        </is>
      </c>
      <c r="P392" t="n">
        <v>4978867</v>
      </c>
    </row>
    <row r="393">
      <c r="A393" s="32">
        <f>IFERROR(_xlfn.IFNA(INDEX(Sensors_MANU!$E$2:$E$4692,MATCH($D393,Sensors_MANU!$B$2:$B$4692,0)),INDEX(Sensors_MANU!$E$2:$E$4692,MATCH($P393,Sensors_MANU!$A$2:$A$4692,0))),"")</f>
        <v/>
      </c>
      <c r="B393" s="24">
        <f>IFERROR(INDEX(Companies!$A$3:$A$101,MATCH(A393,Companies!$B$3:$B$101,0)),"")</f>
        <v/>
      </c>
      <c r="C393" t="inlineStr">
        <is>
          <t>cargo</t>
        </is>
      </c>
      <c r="D393" t="inlineStr">
        <is>
          <t>C37357D6CEBC</t>
        </is>
      </c>
      <c r="E393">
        <f>LEFT(D393,2)&amp;":"&amp;MID(D393,3,2)&amp;":"&amp;MID(D393,5,2)&amp;":"&amp;MID(D393,7,2)&amp;":"&amp;MID(D393,9,2)&amp;":"&amp;RIGHT(D393,2)</f>
        <v/>
      </c>
      <c r="H393" t="inlineStr">
        <is>
          <t>D8542CA3E00A590A</t>
        </is>
      </c>
      <c r="I393">
        <f>IFERROR(_xlfn.IFNA(INDEX(Sensors_MANU!$C$2:$C$4692,MATCH($D393,Sensors_MANU!$B$2:$B$4692,0)),INDEX(Sensors_MANU!$C$2:$C$4692,MATCH($P393,Sensors_MANU!$A$2:$A$4692,0))),"")</f>
        <v/>
      </c>
      <c r="J393">
        <f>IFERROR(_xlfn.IFNA(INDEX(Sensors_MANU!$D$2:$D$4692,MATCH($D393,Sensors_MANU!$B$2:$B$4692,0)),INDEX(Sensors_MANU!$D$2:$D$4692,MATCH($P393,Sensors_MANU!$A$2:$A$4692,0))),"")</f>
        <v/>
      </c>
      <c r="M393" s="27" t="n"/>
      <c r="N393" s="99">
        <f>IFERROR(INDEX(Sensors_MANU!$G$2:$G$4692,MATCH($P393,Sensors_MANU!$A$2:$A$4692,0)),)</f>
        <v/>
      </c>
      <c r="O393" s="6" t="inlineStr">
        <is>
          <t>v15</t>
        </is>
      </c>
      <c r="P393" t="n">
        <v>4978642</v>
      </c>
    </row>
    <row r="394">
      <c r="A394" s="32">
        <f>IFERROR(_xlfn.IFNA(INDEX(Sensors_MANU!$E$2:$E$4692,MATCH($D394,Sensors_MANU!$B$2:$B$4692,0)),INDEX(Sensors_MANU!$E$2:$E$4692,MATCH($P394,Sensors_MANU!$A$2:$A$4692,0))),"")</f>
        <v/>
      </c>
      <c r="B394" s="24">
        <f>IFERROR(INDEX(Companies!$A$3:$A$101,MATCH(A394,Companies!$B$3:$B$101,0)),"")</f>
        <v/>
      </c>
      <c r="C394" t="inlineStr">
        <is>
          <t>cargo</t>
        </is>
      </c>
      <c r="D394" t="inlineStr">
        <is>
          <t>F4D06721DBF1</t>
        </is>
      </c>
      <c r="E394">
        <f>LEFT(D394,2)&amp;":"&amp;MID(D394,3,2)&amp;":"&amp;MID(D394,5,2)&amp;":"&amp;MID(D394,7,2)&amp;":"&amp;MID(D394,9,2)&amp;":"&amp;RIGHT(D394,2)</f>
        <v/>
      </c>
      <c r="H394" t="inlineStr">
        <is>
          <t>FDA8299C6449D5F3</t>
        </is>
      </c>
      <c r="I394">
        <f>IFERROR(_xlfn.IFNA(INDEX(Sensors_MANU!$C$2:$C$4692,MATCH($D394,Sensors_MANU!$B$2:$B$4692,0)),INDEX(Sensors_MANU!$C$2:$C$4692,MATCH($P394,Sensors_MANU!$A$2:$A$4692,0))),"")</f>
        <v/>
      </c>
      <c r="J394">
        <f>IFERROR(_xlfn.IFNA(INDEX(Sensors_MANU!$D$2:$D$4692,MATCH($D394,Sensors_MANU!$B$2:$B$4692,0)),INDEX(Sensors_MANU!$D$2:$D$4692,MATCH($P394,Sensors_MANU!$A$2:$A$4692,0))),"")</f>
        <v/>
      </c>
      <c r="M394" s="27" t="n"/>
      <c r="N394" s="99">
        <f>IFERROR(INDEX(Sensors_MANU!$G$2:$G$4692,MATCH($P394,Sensors_MANU!$A$2:$A$4692,0)),)</f>
        <v/>
      </c>
      <c r="O394" s="6" t="inlineStr">
        <is>
          <t>v15</t>
        </is>
      </c>
      <c r="P394" t="n">
        <v>4978561</v>
      </c>
    </row>
    <row r="395">
      <c r="B395" s="24">
        <f>IFERROR(INDEX(Companies!$A$3:$A$101,MATCH(A395,Companies!$B$3:$B$101,0)),"")</f>
        <v/>
      </c>
      <c r="C395">
        <f>IFERROR(_xlfn.IFNA(INDEX(Sensors_MANU!$F$2:$F$4692,MATCH($D395,Sensors_MANU!$B$2:$B$4692,0)),INDEX(Sensors_MANU!$F$2:$F$4692,MATCH($P395,Sensors_MANU!$A$2:$A$4692,0))),"")</f>
        <v/>
      </c>
      <c r="D395" t="inlineStr">
        <is>
          <t>F635FA43F3B8</t>
        </is>
      </c>
      <c r="E395">
        <f>LEFT(D395,2)&amp;":"&amp;MID(D395,3,2)&amp;":"&amp;MID(D395,5,2)&amp;":"&amp;MID(D395,7,2)&amp;":"&amp;MID(D395,9,2)&amp;":"&amp;RIGHT(D395,2)</f>
        <v/>
      </c>
      <c r="H395" t="inlineStr">
        <is>
          <t>42538F38D51C1F5A</t>
        </is>
      </c>
      <c r="I395">
        <f>IFERROR(_xlfn.IFNA(INDEX(Sensors_MANU!$C$2:$C$4692,MATCH($D395,Sensors_MANU!$B$2:$B$4692,0)),INDEX(Sensors_MANU!$C$2:$C$4692,MATCH($P395,Sensors_MANU!$A$2:$A$4692,0))),"")</f>
        <v/>
      </c>
      <c r="J395">
        <f>IFERROR(_xlfn.IFNA(INDEX(Sensors_MANU!$D$2:$D$4692,MATCH($D395,Sensors_MANU!$B$2:$B$4692,0)),INDEX(Sensors_MANU!$D$2:$D$4692,MATCH($P395,Sensors_MANU!$A$2:$A$4692,0))),"")</f>
        <v/>
      </c>
      <c r="M395" s="27" t="n"/>
      <c r="N395" s="99">
        <f>IFERROR(INDEX(Sensors_MANU!$G$2:$G$4692,MATCH($P395,Sensors_MANU!$A$2:$A$4692,0)),)</f>
        <v/>
      </c>
      <c r="O395" s="6" t="inlineStr">
        <is>
          <t>v16</t>
        </is>
      </c>
      <c r="P395" t="n">
        <v>4978475</v>
      </c>
    </row>
    <row r="396">
      <c r="A396" s="32">
        <f>IFERROR(_xlfn.IFNA(INDEX(Sensors_MANU!$E$2:$E$4692,MATCH($D396,Sensors_MANU!$B$2:$B$4692,0)),INDEX(Sensors_MANU!$E$2:$E$4692,MATCH($P396,Sensors_MANU!$A$2:$A$4692,0))),"")</f>
        <v/>
      </c>
      <c r="B396" s="24">
        <f>IFERROR(INDEX(Companies!$A$3:$A$101,MATCH(A396,Companies!$B$3:$B$101,0)),"")</f>
        <v/>
      </c>
      <c r="C396">
        <f>IFERROR(_xlfn.IFNA(INDEX(Sensors_MANU!$F$2:$F$4692,MATCH($D396,Sensors_MANU!$B$2:$B$4692,0)),INDEX(Sensors_MANU!$F$2:$F$4692,MATCH($P396,Sensors_MANU!$A$2:$A$4692,0))),"")</f>
        <v/>
      </c>
      <c r="D396" t="inlineStr">
        <is>
          <t>C633CAAA0F10</t>
        </is>
      </c>
      <c r="E396" s="24">
        <f>LEFT(D396,2)&amp;":"&amp;MID(D396,3,2)&amp;":"&amp;MID(D396,5,2)&amp;":"&amp;MID(D396,7,2)&amp;":"&amp;MID(D396,9,2)&amp;":"&amp;RIGHT(D396,2)</f>
        <v/>
      </c>
      <c r="F396" s="29" t="n">
        <v>44964</v>
      </c>
      <c r="G396" s="29" t="inlineStr">
        <is>
          <t>Renfe</t>
        </is>
      </c>
      <c r="H396" t="inlineStr">
        <is>
          <t>AA0AACC29F560E2D</t>
        </is>
      </c>
      <c r="I396">
        <f>IFERROR(_xlfn.IFNA(INDEX(Sensors_MANU!$C$2:$C$4692,MATCH($D396,Sensors_MANU!$B$2:$B$4692,0)),INDEX(Sensors_MANU!$C$2:$C$4692,MATCH($P396,Sensors_MANU!$A$2:$A$4692,0))),"")</f>
        <v/>
      </c>
      <c r="J396" s="25">
        <f>IFERROR(_xlfn.IFNA(INDEX(Sensors_MANU!$D$2:$D$4692,MATCH($D396,Sensors_MANU!$B$2:$B$4692,0)),INDEX(Sensors_MANU!$D$2:$D$4692,MATCH($P396,Sensors_MANU!$A$2:$A$4692,0))),"")</f>
        <v/>
      </c>
      <c r="K396" s="27" t="n">
        <v>529004</v>
      </c>
      <c r="L396" s="27" t="inlineStr">
        <is>
          <t>3R</t>
        </is>
      </c>
      <c r="N396" s="99" t="inlineStr">
        <is>
          <t>dead and deleted from ubidots, but on the wagon</t>
        </is>
      </c>
      <c r="O396" s="6" t="inlineStr">
        <is>
          <t>v17</t>
        </is>
      </c>
      <c r="P396" t="n">
        <v>4978762</v>
      </c>
    </row>
    <row r="397">
      <c r="A397" s="32">
        <f>IFERROR(_xlfn.IFNA(INDEX(Sensors_MANU!$E$2:$E$4692,MATCH($D397,Sensors_MANU!$B$2:$B$4692,0)),INDEX(Sensors_MANU!$E$2:$E$4692,MATCH($P397,Sensors_MANU!$A$2:$A$4692,0))),"")</f>
        <v/>
      </c>
      <c r="B397" s="24">
        <f>IFERROR(INDEX(Companies!$A$3:$A$101,MATCH(A397,Companies!$B$3:$B$101,0)),"")</f>
        <v/>
      </c>
      <c r="C397" t="inlineStr">
        <is>
          <t>cargo</t>
        </is>
      </c>
      <c r="D397" t="inlineStr">
        <is>
          <t>FB110A05D412</t>
        </is>
      </c>
      <c r="E397">
        <f>LEFT(D397,2)&amp;":"&amp;MID(D397,3,2)&amp;":"&amp;MID(D397,5,2)&amp;":"&amp;MID(D397,7,2)&amp;":"&amp;MID(D397,9,2)&amp;":"&amp;RIGHT(D397,2)</f>
        <v/>
      </c>
      <c r="H397" t="inlineStr">
        <is>
          <t>3B3E592BF54D614C</t>
        </is>
      </c>
      <c r="I397">
        <f>IFERROR(_xlfn.IFNA(INDEX(Sensors_MANU!$C$2:$C$4692,MATCH($D397,Sensors_MANU!$B$2:$B$4692,0)),INDEX(Sensors_MANU!$C$2:$C$4692,MATCH($P397,Sensors_MANU!$A$2:$A$4692,0))),"")</f>
        <v/>
      </c>
      <c r="J397">
        <f>IFERROR(_xlfn.IFNA(INDEX(Sensors_MANU!$D$2:$D$4692,MATCH($D397,Sensors_MANU!$B$2:$B$4692,0)),INDEX(Sensors_MANU!$D$2:$D$4692,MATCH($P397,Sensors_MANU!$A$2:$A$4692,0))),"")</f>
        <v/>
      </c>
      <c r="M397" s="27" t="n"/>
      <c r="N397" s="99">
        <f>IFERROR(INDEX(Sensors_MANU!$G$2:$G$4692,MATCH($P397,Sensors_MANU!$A$2:$A$4692,0)),)</f>
        <v/>
      </c>
      <c r="O397" s="6" t="inlineStr">
        <is>
          <t>v15</t>
        </is>
      </c>
      <c r="P397" t="n">
        <v>4978676</v>
      </c>
    </row>
    <row r="398">
      <c r="A398" s="32">
        <f>IFERROR(_xlfn.IFNA(INDEX(Sensors_MANU!$E$2:$E$4692,MATCH($D398,Sensors_MANU!$B$2:$B$4692,0)),INDEX(Sensors_MANU!$E$2:$E$4692,MATCH($P398,Sensors_MANU!$A$2:$A$4692,0))),"")</f>
        <v/>
      </c>
      <c r="B398" s="24">
        <f>IFERROR(INDEX(Companies!$A$3:$A$101,MATCH(A398,Companies!$B$3:$B$101,0)),"")</f>
        <v/>
      </c>
      <c r="C398">
        <f>IFERROR(_xlfn.IFNA(INDEX(Sensors_MANU!$F$2:$F$4692,MATCH($D398,Sensors_MANU!$B$2:$B$4692,0)),INDEX(Sensors_MANU!$F$2:$F$4692,MATCH($P398,Sensors_MANU!$A$2:$A$4692,0))),"")</f>
        <v/>
      </c>
      <c r="D398" t="inlineStr">
        <is>
          <t>F1EA98DD36B4</t>
        </is>
      </c>
      <c r="E398">
        <f>LEFT(D398,2)&amp;":"&amp;MID(D398,3,2)&amp;":"&amp;MID(D398,5,2)&amp;":"&amp;MID(D398,7,2)&amp;":"&amp;MID(D398,9,2)&amp;":"&amp;RIGHT(D398,2)</f>
        <v/>
      </c>
      <c r="F398" s="29" t="n">
        <v>44910</v>
      </c>
      <c r="G398" s="29" t="inlineStr">
        <is>
          <t>Viezo</t>
        </is>
      </c>
      <c r="H398" t="inlineStr">
        <is>
          <t>BB12F99B2E7D0DF6</t>
        </is>
      </c>
      <c r="I398">
        <f>IFERROR(_xlfn.IFNA(INDEX(Sensors_MANU!$C$2:$C$4692,MATCH($D398,Sensors_MANU!$B$2:$B$4692,0)),INDEX(Sensors_MANU!$C$2:$C$4692,MATCH($P398,Sensors_MANU!$A$2:$A$4692,0))),"")</f>
        <v/>
      </c>
      <c r="J398">
        <f>IFERROR(_xlfn.IFNA(INDEX(Sensors_MANU!$D$2:$D$4692,MATCH($D398,Sensors_MANU!$B$2:$B$4692,0)),INDEX(Sensors_MANU!$D$2:$D$4692,MATCH($P398,Sensors_MANU!$A$2:$A$4692,0))),"")</f>
        <v/>
      </c>
      <c r="K398" s="27" t="inlineStr">
        <is>
          <t>31834589939-3</t>
        </is>
      </c>
      <c r="L398" s="27" t="inlineStr">
        <is>
          <t>1L</t>
        </is>
      </c>
      <c r="M398" s="27" t="n"/>
      <c r="N398" s="99">
        <f>IFERROR(INDEX(Sensors_MANU!$G$2:$G$4692,MATCH($P398,Sensors_MANU!$A$2:$A$4692,0)),)</f>
        <v/>
      </c>
      <c r="O398" s="6" t="inlineStr">
        <is>
          <t>v16</t>
        </is>
      </c>
      <c r="P398" t="n">
        <v>4978779</v>
      </c>
    </row>
    <row r="399">
      <c r="A399" s="32">
        <f>IFERROR(_xlfn.IFNA(INDEX(Sensors_MANU!$E$2:$E$4692,MATCH($D399,Sensors_MANU!$B$2:$B$4692,0)),INDEX(Sensors_MANU!$E$2:$E$4692,MATCH($P399,Sensors_MANU!$A$2:$A$4692,0))),"")</f>
        <v/>
      </c>
      <c r="B399" s="24">
        <f>IFERROR(INDEX(Companies!$A$3:$A$101,MATCH(A399,Companies!$B$3:$B$101,0)),"")</f>
        <v/>
      </c>
      <c r="C399" t="inlineStr">
        <is>
          <t>cargo</t>
        </is>
      </c>
      <c r="D399" t="inlineStr">
        <is>
          <t>D0720C8FD166</t>
        </is>
      </c>
      <c r="E399">
        <f>LEFT(D399,2)&amp;":"&amp;MID(D399,3,2)&amp;":"&amp;MID(D399,5,2)&amp;":"&amp;MID(D399,7,2)&amp;":"&amp;MID(D399,9,2)&amp;":"&amp;RIGHT(D399,2)</f>
        <v/>
      </c>
      <c r="H399" t="inlineStr">
        <is>
          <t>E84282FBA1ECBEEB</t>
        </is>
      </c>
      <c r="I399">
        <f>IFERROR(_xlfn.IFNA(INDEX(Sensors_MANU!$C$2:$C$4692,MATCH($D399,Sensors_MANU!$B$2:$B$4692,0)),INDEX(Sensors_MANU!$C$2:$C$4692,MATCH($P399,Sensors_MANU!$A$2:$A$4692,0))),"")</f>
        <v/>
      </c>
      <c r="J399">
        <f>IFERROR(_xlfn.IFNA(INDEX(Sensors_MANU!$D$2:$D$4692,MATCH($D399,Sensors_MANU!$B$2:$B$4692,0)),INDEX(Sensors_MANU!$D$2:$D$4692,MATCH($P399,Sensors_MANU!$A$2:$A$4692,0))),"")</f>
        <v/>
      </c>
      <c r="M399" s="27" t="n"/>
      <c r="N399" s="99">
        <f>IFERROR(INDEX(Sensors_MANU!$G$2:$G$4692,MATCH($P399,Sensors_MANU!$A$2:$A$4692,0)),)</f>
        <v/>
      </c>
      <c r="O399" s="6" t="inlineStr">
        <is>
          <t>v15</t>
        </is>
      </c>
      <c r="P399" t="n">
        <v>4978718</v>
      </c>
    </row>
    <row r="400">
      <c r="B400" s="24">
        <f>IFERROR(INDEX(Companies!$A$3:$A$101,MATCH(A400,Companies!$B$3:$B$101,0)),"")</f>
        <v/>
      </c>
      <c r="C400">
        <f>IFERROR(_xlfn.IFNA(INDEX(Sensors_MANU!$F$2:$F$4692,MATCH($D400,Sensors_MANU!$B$2:$B$4692,0)),INDEX(Sensors_MANU!$F$2:$F$4692,MATCH($P400,Sensors_MANU!$A$2:$A$4692,0))),"")</f>
        <v/>
      </c>
      <c r="D400" t="inlineStr">
        <is>
          <t>FFB472A07677</t>
        </is>
      </c>
      <c r="E400" s="24">
        <f>LEFT(D400,2)&amp;":"&amp;MID(D400,3,2)&amp;":"&amp;MID(D400,5,2)&amp;":"&amp;MID(D400,7,2)&amp;":"&amp;MID(D400,9,2)&amp;":"&amp;RIGHT(D400,2)</f>
        <v/>
      </c>
      <c r="H400" t="inlineStr">
        <is>
          <t>A14FDA9F20E04F95</t>
        </is>
      </c>
      <c r="I400">
        <f>IFERROR(_xlfn.IFNA(INDEX(Sensors_MANU!$C$2:$C$4692,MATCH($D400,Sensors_MANU!$B$2:$B$4692,0)),INDEX(Sensors_MANU!$C$2:$C$4692,MATCH($P400,Sensors_MANU!$A$2:$A$4692,0))),"")</f>
        <v/>
      </c>
      <c r="J400">
        <f>IFERROR(_xlfn.IFNA(INDEX(Sensors_MANU!$D$2:$D$4692,MATCH($D400,Sensors_MANU!$B$2:$B$4692,0)),INDEX(Sensors_MANU!$D$2:$D$4692,MATCH($P400,Sensors_MANU!$A$2:$A$4692,0))),"")</f>
        <v/>
      </c>
      <c r="N400" s="99">
        <f>IFERROR(INDEX(Sensors_MANU!$G$2:$G$4692,MATCH($P400,Sensors_MANU!$A$2:$A$4692,0)),)</f>
        <v/>
      </c>
      <c r="O400" s="6" t="inlineStr">
        <is>
          <t>v17</t>
        </is>
      </c>
      <c r="P400" t="n">
        <v>4978482</v>
      </c>
    </row>
    <row r="401">
      <c r="A401" s="32">
        <f>IFERROR(_xlfn.IFNA(INDEX(Sensors_MANU!$E$2:$E$4692,MATCH($D401,Sensors_MANU!$B$2:$B$4692,0)),INDEX(Sensors_MANU!$E$2:$E$4692,MATCH($P401,Sensors_MANU!$A$2:$A$4692,0))),"")</f>
        <v/>
      </c>
      <c r="B401" s="24">
        <f>IFERROR(INDEX(Companies!$A$3:$A$101,MATCH(A401,Companies!$B$3:$B$101,0)),"")</f>
        <v/>
      </c>
      <c r="C401" t="inlineStr">
        <is>
          <t>cargo</t>
        </is>
      </c>
      <c r="D401" t="inlineStr">
        <is>
          <t>FFF897670436</t>
        </is>
      </c>
      <c r="E401">
        <f>LEFT(D401,2)&amp;":"&amp;MID(D401,3,2)&amp;":"&amp;MID(D401,5,2)&amp;":"&amp;MID(D401,7,2)&amp;":"&amp;MID(D401,9,2)&amp;":"&amp;RIGHT(D401,2)</f>
        <v/>
      </c>
      <c r="H401" t="inlineStr">
        <is>
          <t>17F10982EF21A7A4</t>
        </is>
      </c>
      <c r="I401">
        <f>IFERROR(_xlfn.IFNA(INDEX(Sensors_MANU!$C$2:$C$4692,MATCH($D401,Sensors_MANU!$B$2:$B$4692,0)),INDEX(Sensors_MANU!$C$2:$C$4692,MATCH($P401,Sensors_MANU!$A$2:$A$4692,0))),"")</f>
        <v/>
      </c>
      <c r="J401">
        <f>IFERROR(_xlfn.IFNA(INDEX(Sensors_MANU!$D$2:$D$4692,MATCH($D401,Sensors_MANU!$B$2:$B$4692,0)),INDEX(Sensors_MANU!$D$2:$D$4692,MATCH($P401,Sensors_MANU!$A$2:$A$4692,0))),"")</f>
        <v/>
      </c>
      <c r="M401" s="27" t="n"/>
      <c r="N401" s="99">
        <f>IFERROR(INDEX(Sensors_MANU!$G$2:$G$4692,MATCH($P401,Sensors_MANU!$A$2:$A$4692,0)),)</f>
        <v/>
      </c>
      <c r="O401" s="6" t="inlineStr">
        <is>
          <t>v15</t>
        </is>
      </c>
      <c r="P401" t="n">
        <v>4978517</v>
      </c>
    </row>
    <row r="402">
      <c r="B402" s="24">
        <f>IFERROR(INDEX(Companies!$A$3:$A$101,MATCH(A402,Companies!$B$3:$B$101,0)),"")</f>
        <v/>
      </c>
      <c r="C402">
        <f>IFERROR(_xlfn.IFNA(INDEX(Sensors_MANU!$F$2:$F$4692,MATCH($D402,Sensors_MANU!$B$2:$B$4692,0)),INDEX(Sensors_MANU!$F$2:$F$4692,MATCH($P402,Sensors_MANU!$A$2:$A$4692,0))),"")</f>
        <v/>
      </c>
      <c r="D402" t="inlineStr">
        <is>
          <t>FF2832DED225</t>
        </is>
      </c>
      <c r="E402" s="24">
        <f>LEFT(D402,2)&amp;":"&amp;MID(D402,3,2)&amp;":"&amp;MID(D402,5,2)&amp;":"&amp;MID(D402,7,2)&amp;":"&amp;MID(D402,9,2)&amp;":"&amp;RIGHT(D402,2)</f>
        <v/>
      </c>
      <c r="H402" t="inlineStr">
        <is>
          <t>95A7C992E3D6B557</t>
        </is>
      </c>
      <c r="I402">
        <f>IFERROR(_xlfn.IFNA(INDEX(Sensors_MANU!$C$2:$C$4692,MATCH($D402,Sensors_MANU!$B$2:$B$4692,0)),INDEX(Sensors_MANU!$C$2:$C$4692,MATCH($P402,Sensors_MANU!$A$2:$A$4692,0))),"")</f>
        <v/>
      </c>
      <c r="J402">
        <f>IFERROR(_xlfn.IFNA(INDEX(Sensors_MANU!$D$2:$D$4692,MATCH($D402,Sensors_MANU!$B$2:$B$4692,0)),INDEX(Sensors_MANU!$D$2:$D$4692,MATCH($P402,Sensors_MANU!$A$2:$A$4692,0))),"")</f>
        <v/>
      </c>
      <c r="N402" s="99">
        <f>IFERROR(INDEX(Sensors_MANU!$G$2:$G$4692,MATCH($P402,Sensors_MANU!$A$2:$A$4692,0)),)</f>
        <v/>
      </c>
      <c r="O402" s="6" t="inlineStr">
        <is>
          <t>v17</t>
        </is>
      </c>
      <c r="P402" t="n">
        <v>4978518</v>
      </c>
    </row>
    <row r="403">
      <c r="A403" s="32">
        <f>IFERROR(_xlfn.IFNA(INDEX(Sensors_MANU!$E$2:$E$4692,MATCH($D403,Sensors_MANU!$B$2:$B$4692,0)),INDEX(Sensors_MANU!$E$2:$E$4692,MATCH($P403,Sensors_MANU!$A$2:$A$4692,0))),"")</f>
        <v/>
      </c>
      <c r="B403" s="24">
        <f>IFERROR(INDEX(Companies!$A$3:$A$101,MATCH(A403,Companies!$B$3:$B$101,0)),"")</f>
        <v/>
      </c>
      <c r="C403" t="inlineStr">
        <is>
          <t>cargo</t>
        </is>
      </c>
      <c r="D403" t="inlineStr">
        <is>
          <t>ECD041B31F41</t>
        </is>
      </c>
      <c r="E403">
        <f>LEFT(D403,2)&amp;":"&amp;MID(D403,3,2)&amp;":"&amp;MID(D403,5,2)&amp;":"&amp;MID(D403,7,2)&amp;":"&amp;MID(D403,9,2)&amp;":"&amp;RIGHT(D403,2)</f>
        <v/>
      </c>
      <c r="H403" t="inlineStr">
        <is>
          <t>5824ED21C450D0A3</t>
        </is>
      </c>
      <c r="I403">
        <f>IFERROR(_xlfn.IFNA(INDEX(Sensors_MANU!$C$2:$C$4692,MATCH($D403,Sensors_MANU!$B$2:$B$4692,0)),INDEX(Sensors_MANU!$C$2:$C$4692,MATCH($P403,Sensors_MANU!$A$2:$A$4692,0))),"")</f>
        <v/>
      </c>
      <c r="J403">
        <f>IFERROR(_xlfn.IFNA(INDEX(Sensors_MANU!$D$2:$D$4692,MATCH($D403,Sensors_MANU!$B$2:$B$4692,0)),INDEX(Sensors_MANU!$D$2:$D$4692,MATCH($P403,Sensors_MANU!$A$2:$A$4692,0))),"")</f>
        <v/>
      </c>
      <c r="M403" s="27" t="n"/>
      <c r="N403" s="99">
        <f>IFERROR(INDEX(Sensors_MANU!$G$2:$G$4692,MATCH($P403,Sensors_MANU!$A$2:$A$4692,0)),)</f>
        <v/>
      </c>
      <c r="O403" s="6" t="inlineStr">
        <is>
          <t>v15</t>
        </is>
      </c>
      <c r="P403" t="n">
        <v>4978709</v>
      </c>
    </row>
    <row r="404">
      <c r="A404" s="32">
        <f>IFERROR(_xlfn.IFNA(INDEX(Sensors_MANU!$E$2:$E$4692,MATCH($D404,Sensors_MANU!$B$2:$B$4692,0)),INDEX(Sensors_MANU!$E$2:$E$4692,MATCH($P404,Sensors_MANU!$A$2:$A$4692,0))),"")</f>
        <v/>
      </c>
      <c r="B404" s="24">
        <f>IFERROR(INDEX(Companies!$A$3:$A$101,MATCH(A404,Companies!$B$3:$B$101,0)),"")</f>
        <v/>
      </c>
      <c r="C404">
        <f>IFERROR(_xlfn.IFNA(INDEX(Sensors_MANU!$F$2:$F$4692,MATCH($D404,Sensors_MANU!$B$2:$B$4692,0)),INDEX(Sensors_MANU!$F$2:$F$4692,MATCH($P404,Sensors_MANU!$A$2:$A$4692,0))),"")</f>
        <v/>
      </c>
      <c r="D404" t="inlineStr">
        <is>
          <t>E147CCC14691</t>
        </is>
      </c>
      <c r="E404" s="24">
        <f>LEFT(D404,2)&amp;":"&amp;MID(D404,3,2)&amp;":"&amp;MID(D404,5,2)&amp;":"&amp;MID(D404,7,2)&amp;":"&amp;MID(D404,9,2)&amp;":"&amp;RIGHT(D404,2)</f>
        <v/>
      </c>
      <c r="H404" t="inlineStr">
        <is>
          <t>77C095D48153495F</t>
        </is>
      </c>
      <c r="I404">
        <f>IFERROR(_xlfn.IFNA(INDEX(Sensors_MANU!$C$2:$C$4692,MATCH($D404,Sensors_MANU!$B$2:$B$4692,0)),INDEX(Sensors_MANU!$C$2:$C$4692,MATCH($P404,Sensors_MANU!$A$2:$A$4692,0))),"")</f>
        <v/>
      </c>
      <c r="J404" s="64">
        <f>IFERROR(_xlfn.IFNA(INDEX(Sensors_MANU!$D$2:$D$4692,MATCH($D404,Sensors_MANU!$B$2:$B$4692,0)),INDEX(Sensors_MANU!$D$2:$D$4692,MATCH($P404,Sensors_MANU!$A$2:$A$4692,0))),"")</f>
        <v/>
      </c>
      <c r="K404" s="27" t="inlineStr">
        <is>
          <t>43714378393-8</t>
        </is>
      </c>
      <c r="L404" s="27" t="inlineStr">
        <is>
          <t>4R</t>
        </is>
      </c>
      <c r="N404" s="99">
        <f>IFERROR(INDEX(Sensors_MANU!$G$2:$G$4692,MATCH($P404,Sensors_MANU!$A$2:$A$4692,0)),)</f>
        <v/>
      </c>
      <c r="O404" s="6" t="inlineStr">
        <is>
          <t>v17</t>
        </is>
      </c>
      <c r="P404" t="n">
        <v>4978648</v>
      </c>
    </row>
    <row r="405">
      <c r="A405" s="32">
        <f>IFERROR(_xlfn.IFNA(INDEX(Sensors_MANU!$E$2:$E$4692,MATCH($D405,Sensors_MANU!$B$2:$B$4692,0)),INDEX(Sensors_MANU!$E$2:$E$4692,MATCH($P405,Sensors_MANU!$A$2:$A$4692,0))),"")</f>
        <v/>
      </c>
      <c r="B405" s="24">
        <f>IFERROR(INDEX(Companies!$A$3:$A$101,MATCH(A405,Companies!$B$3:$B$101,0)),"")</f>
        <v/>
      </c>
      <c r="C405" t="inlineStr">
        <is>
          <t>cargo</t>
        </is>
      </c>
      <c r="D405" t="inlineStr">
        <is>
          <t>C2DC0DB5D5A0</t>
        </is>
      </c>
      <c r="E405">
        <f>LEFT(D405,2)&amp;":"&amp;MID(D405,3,2)&amp;":"&amp;MID(D405,5,2)&amp;":"&amp;MID(D405,7,2)&amp;":"&amp;MID(D405,9,2)&amp;":"&amp;RIGHT(D405,2)</f>
        <v/>
      </c>
      <c r="H405" t="inlineStr">
        <is>
          <t>68E42B9BFA7FF084</t>
        </is>
      </c>
      <c r="I405">
        <f>IFERROR(_xlfn.IFNA(INDEX(Sensors_MANU!$C$2:$C$4692,MATCH($D405,Sensors_MANU!$B$2:$B$4692,0)),INDEX(Sensors_MANU!$C$2:$C$4692,MATCH($P405,Sensors_MANU!$A$2:$A$4692,0))),"")</f>
        <v/>
      </c>
      <c r="J405">
        <f>IFERROR(_xlfn.IFNA(INDEX(Sensors_MANU!$D$2:$D$4692,MATCH($D405,Sensors_MANU!$B$2:$B$4692,0)),INDEX(Sensors_MANU!$D$2:$D$4692,MATCH($P405,Sensors_MANU!$A$2:$A$4692,0))),"")</f>
        <v/>
      </c>
      <c r="M405" s="27" t="n"/>
      <c r="N405" s="99">
        <f>IFERROR(INDEX(Sensors_MANU!$G$2:$G$4692,MATCH($P405,Sensors_MANU!$A$2:$A$4692,0)),)</f>
        <v/>
      </c>
      <c r="O405" s="6" t="inlineStr">
        <is>
          <t>v15</t>
        </is>
      </c>
      <c r="P405" t="n">
        <v>4978682</v>
      </c>
    </row>
    <row r="406">
      <c r="B406" s="24">
        <f>IFERROR(INDEX(Companies!$A$3:$A$101,MATCH(A406,Companies!$B$3:$B$101,0)),"")</f>
        <v/>
      </c>
      <c r="C406">
        <f>IFERROR(_xlfn.IFNA(INDEX(Sensors_MANU!$F$2:$F$4692,MATCH($D406,Sensors_MANU!$B$2:$B$4692,0)),INDEX(Sensors_MANU!$F$2:$F$4692,MATCH($P406,Sensors_MANU!$A$2:$A$4692,0))),"")</f>
        <v/>
      </c>
      <c r="D406" t="inlineStr">
        <is>
          <t>F07ADA5A017A</t>
        </is>
      </c>
      <c r="E406" s="24">
        <f>LEFT(D406,2)&amp;":"&amp;MID(D406,3,2)&amp;":"&amp;MID(D406,5,2)&amp;":"&amp;MID(D406,7,2)&amp;":"&amp;MID(D406,9,2)&amp;":"&amp;RIGHT(D406,2)</f>
        <v/>
      </c>
      <c r="H406" t="inlineStr">
        <is>
          <t>D181BC81033B8B7B</t>
        </is>
      </c>
      <c r="I406">
        <f>IFERROR(_xlfn.IFNA(INDEX(Sensors_MANU!$C$2:$C$4692,MATCH($D406,Sensors_MANU!$B$2:$B$4692,0)),INDEX(Sensors_MANU!$C$2:$C$4692,MATCH($P406,Sensors_MANU!$A$2:$A$4692,0))),"")</f>
        <v/>
      </c>
      <c r="J406">
        <f>IFERROR(_xlfn.IFNA(INDEX(Sensors_MANU!$D$2:$D$4692,MATCH($D406,Sensors_MANU!$B$2:$B$4692,0)),INDEX(Sensors_MANU!$D$2:$D$4692,MATCH($P406,Sensors_MANU!$A$2:$A$4692,0))),"")</f>
        <v/>
      </c>
      <c r="N406" s="99">
        <f>IFERROR(INDEX(Sensors_MANU!$G$2:$G$4692,MATCH($P406,Sensors_MANU!$A$2:$A$4692,0)),)</f>
        <v/>
      </c>
      <c r="O406" s="6" t="inlineStr">
        <is>
          <t>v17</t>
        </is>
      </c>
      <c r="P406" t="n">
        <v>4978733</v>
      </c>
    </row>
    <row r="407">
      <c r="A407" s="32">
        <f>IFERROR(_xlfn.IFNA(INDEX(Sensors_MANU!$E$2:$E$4692,MATCH($D407,Sensors_MANU!$B$2:$B$4692,0)),INDEX(Sensors_MANU!$E$2:$E$4692,MATCH($P407,Sensors_MANU!$A$2:$A$4692,0))),"")</f>
        <v/>
      </c>
      <c r="B407" s="24">
        <f>IFERROR(INDEX(Companies!$A$3:$A$101,MATCH(A407,Companies!$B$3:$B$101,0)),"")</f>
        <v/>
      </c>
      <c r="C407" t="inlineStr">
        <is>
          <t>cargo</t>
        </is>
      </c>
      <c r="D407" t="inlineStr">
        <is>
          <t>E37EBCE371E2</t>
        </is>
      </c>
      <c r="E407">
        <f>LEFT(D407,2)&amp;":"&amp;MID(D407,3,2)&amp;":"&amp;MID(D407,5,2)&amp;":"&amp;MID(D407,7,2)&amp;":"&amp;MID(D407,9,2)&amp;":"&amp;RIGHT(D407,2)</f>
        <v/>
      </c>
      <c r="H407" t="inlineStr">
        <is>
          <t>646743AA4C92FDC6</t>
        </is>
      </c>
      <c r="I407">
        <f>IFERROR(_xlfn.IFNA(INDEX(Sensors_MANU!$C$2:$C$4692,MATCH($D407,Sensors_MANU!$B$2:$B$4692,0)),INDEX(Sensors_MANU!$C$2:$C$4692,MATCH($P407,Sensors_MANU!$A$2:$A$4692,0))),"")</f>
        <v/>
      </c>
      <c r="J407">
        <f>IFERROR(_xlfn.IFNA(INDEX(Sensors_MANU!$D$2:$D$4692,MATCH($D407,Sensors_MANU!$B$2:$B$4692,0)),INDEX(Sensors_MANU!$D$2:$D$4692,MATCH($P407,Sensors_MANU!$A$2:$A$4692,0))),"")</f>
        <v/>
      </c>
      <c r="M407" s="27" t="n"/>
      <c r="N407" s="99">
        <f>IFERROR(INDEX(Sensors_MANU!$G$2:$G$4692,MATCH($P407,Sensors_MANU!$A$2:$A$4692,0)),)</f>
        <v/>
      </c>
      <c r="O407" s="6" t="inlineStr">
        <is>
          <t>v15</t>
        </is>
      </c>
      <c r="P407" t="n">
        <v>4978715</v>
      </c>
    </row>
    <row r="408">
      <c r="A408" s="32">
        <f>IFERROR(_xlfn.IFNA(INDEX(Sensors_MANU!$E$2:$E$4692,MATCH($D408,Sensors_MANU!$B$2:$B$4692,0)),INDEX(Sensors_MANU!$E$2:$E$4692,MATCH($P408,Sensors_MANU!$A$2:$A$4692,0))),"")</f>
        <v/>
      </c>
      <c r="B408" s="24">
        <f>IFERROR(INDEX(Companies!$A$3:$A$101,MATCH(A408,Companies!$B$3:$B$101,0)),"")</f>
        <v/>
      </c>
      <c r="C408">
        <f>IFERROR(_xlfn.IFNA(INDEX(Sensors_MANU!$F$2:$F$4692,MATCH($D408,Sensors_MANU!$B$2:$B$4692,0)),INDEX(Sensors_MANU!$F$2:$F$4692,MATCH($P408,Sensors_MANU!$A$2:$A$4692,0))),"")</f>
        <v/>
      </c>
      <c r="D408" t="inlineStr">
        <is>
          <t>F8E94F1E080F</t>
        </is>
      </c>
      <c r="E408">
        <f>LEFT(D408,2)&amp;":"&amp;MID(D408,3,2)&amp;":"&amp;MID(D408,5,2)&amp;":"&amp;MID(D408,7,2)&amp;":"&amp;MID(D408,9,2)&amp;":"&amp;RIGHT(D408,2)</f>
        <v/>
      </c>
      <c r="F408" s="29" t="n">
        <v>44910</v>
      </c>
      <c r="G408" s="29" t="inlineStr">
        <is>
          <t>Viezo</t>
        </is>
      </c>
      <c r="H408" t="inlineStr">
        <is>
          <t>7FEB4821ABBE44FC</t>
        </is>
      </c>
      <c r="I408">
        <f>IFERROR(_xlfn.IFNA(INDEX(Sensors_MANU!$C$2:$C$4692,MATCH($D408,Sensors_MANU!$B$2:$B$4692,0)),INDEX(Sensors_MANU!$C$2:$C$4692,MATCH($P408,Sensors_MANU!$A$2:$A$4692,0))),"")</f>
        <v/>
      </c>
      <c r="J408">
        <f>IFERROR(_xlfn.IFNA(INDEX(Sensors_MANU!$D$2:$D$4692,MATCH($D408,Sensors_MANU!$B$2:$B$4692,0)),INDEX(Sensors_MANU!$D$2:$D$4692,MATCH($P408,Sensors_MANU!$A$2:$A$4692,0))),"")</f>
        <v/>
      </c>
      <c r="K408" s="27" t="inlineStr">
        <is>
          <t>31833936025-3</t>
        </is>
      </c>
      <c r="L408" s="27" t="inlineStr">
        <is>
          <t>3R</t>
        </is>
      </c>
      <c r="N408" s="99">
        <f>IFERROR(INDEX(Sensors_MANU!$G$2:$G$4692,MATCH($P408,Sensors_MANU!$A$2:$A$4692,0)),)</f>
        <v/>
      </c>
      <c r="O408" s="6" t="inlineStr">
        <is>
          <t>v17</t>
        </is>
      </c>
      <c r="P408" t="n">
        <v>4978539</v>
      </c>
    </row>
    <row r="409">
      <c r="A409" s="32">
        <f>IFERROR(_xlfn.IFNA(INDEX(Sensors_MANU!$E$2:$E$4692,MATCH($D409,Sensors_MANU!$B$2:$B$4692,0)),INDEX(Sensors_MANU!$E$2:$E$4692,MATCH($P409,Sensors_MANU!$A$2:$A$4692,0))),"")</f>
        <v/>
      </c>
      <c r="B409" s="24">
        <f>IFERROR(INDEX(Companies!$A$3:$A$101,MATCH(A409,Companies!$B$3:$B$101,0)),"")</f>
        <v/>
      </c>
      <c r="D409" t="inlineStr">
        <is>
          <t>D06E5B3AB7F7</t>
        </is>
      </c>
      <c r="E409">
        <f>LEFT(D409,2)&amp;":"&amp;MID(D409,3,2)&amp;":"&amp;MID(D409,5,2)&amp;":"&amp;MID(D409,7,2)&amp;":"&amp;MID(D409,9,2)&amp;":"&amp;RIGHT(D409,2)</f>
        <v/>
      </c>
      <c r="H409" t="inlineStr">
        <is>
          <t>4B6032C5093E2FF7</t>
        </is>
      </c>
      <c r="I409">
        <f>IFERROR(_xlfn.IFNA(INDEX(Sensors_MANU!$C$2:$C$4692,MATCH($D409,Sensors_MANU!$B$2:$B$4692,0)),INDEX(Sensors_MANU!$C$2:$C$4692,MATCH($P409,Sensors_MANU!$A$2:$A$4692,0))),"")</f>
        <v/>
      </c>
      <c r="J409">
        <f>IFERROR(_xlfn.IFNA(INDEX(Sensors_MANU!$D$2:$D$4692,MATCH($D409,Sensors_MANU!$B$2:$B$4692,0)),INDEX(Sensors_MANU!$D$2:$D$4692,MATCH($P409,Sensors_MANU!$A$2:$A$4692,0))),"")</f>
        <v/>
      </c>
      <c r="K409" s="27" t="inlineStr">
        <is>
          <t>BP08</t>
        </is>
      </c>
      <c r="L409" s="27" t="inlineStr">
        <is>
          <t>4L</t>
        </is>
      </c>
    </row>
    <row r="410">
      <c r="A410" s="32">
        <f>IFERROR(_xlfn.IFNA(INDEX(Sensors_MANU!$E$2:$E$4692,MATCH($D410,Sensors_MANU!$B$2:$B$4692,0)),INDEX(Sensors_MANU!$E$2:$E$4692,MATCH($P410,Sensors_MANU!$A$2:$A$4692,0))),"")</f>
        <v/>
      </c>
      <c r="B410" s="24">
        <f>IFERROR(INDEX(Companies!$A$3:$A$101,MATCH(A410,Companies!$B$3:$B$101,0)),"")</f>
        <v/>
      </c>
      <c r="C410">
        <f>IFERROR(_xlfn.IFNA(INDEX(Sensors_MANU!$F$2:$F$4692,MATCH($D410,Sensors_MANU!$B$2:$B$4692,0)),INDEX(Sensors_MANU!$F$2:$F$4692,MATCH($P410,Sensors_MANU!$A$2:$A$4692,0))),"")</f>
        <v/>
      </c>
      <c r="D410" t="inlineStr">
        <is>
          <t>C6E36AC978A1</t>
        </is>
      </c>
      <c r="E410" s="24">
        <f>LEFT(D410,2)&amp;":"&amp;MID(D410,3,2)&amp;":"&amp;MID(D410,5,2)&amp;":"&amp;MID(D410,7,2)&amp;":"&amp;MID(D410,9,2)&amp;":"&amp;RIGHT(D410,2)</f>
        <v/>
      </c>
      <c r="H410" t="inlineStr">
        <is>
          <t>0A127D0D8D69F926</t>
        </is>
      </c>
      <c r="I410">
        <f>IFERROR(_xlfn.IFNA(INDEX(Sensors_MANU!$C$2:$C$4692,MATCH($D410,Sensors_MANU!$B$2:$B$4692,0)),INDEX(Sensors_MANU!$C$2:$C$4692,MATCH($P410,Sensors_MANU!$A$2:$A$4692,0))),"")</f>
        <v/>
      </c>
      <c r="J410">
        <f>IFERROR(_xlfn.IFNA(INDEX(Sensors_MANU!$D$2:$D$4692,MATCH($D410,Sensors_MANU!$B$2:$B$4692,0)),INDEX(Sensors_MANU!$D$2:$D$4692,MATCH($P410,Sensors_MANU!$A$2:$A$4692,0))),"")</f>
        <v/>
      </c>
      <c r="N410" s="99">
        <f>IFERROR(INDEX(Sensors_MANU!$G$2:$G$4692,MATCH($P410,Sensors_MANU!$A$2:$A$4692,0)),)</f>
        <v/>
      </c>
      <c r="O410" s="6" t="inlineStr">
        <is>
          <t>v17</t>
        </is>
      </c>
      <c r="P410" t="n">
        <v>4978585</v>
      </c>
    </row>
    <row r="411">
      <c r="A411" s="32">
        <f>IFERROR(_xlfn.IFNA(INDEX(Sensors_MANU!$E$2:$E$4692,MATCH($D411,Sensors_MANU!$B$2:$B$4692,0)),INDEX(Sensors_MANU!$E$2:$E$4692,MATCH($P411,Sensors_MANU!$A$2:$A$4692,0))),"")</f>
        <v/>
      </c>
      <c r="B411" s="24">
        <f>IFERROR(INDEX(Companies!$A$3:$A$101,MATCH(A411,Companies!$B$3:$B$101,0)),"")</f>
        <v/>
      </c>
      <c r="C411">
        <f>IFERROR(_xlfn.IFNA(INDEX(Sensors_MANU!$F$2:$F$4692,MATCH($D411,Sensors_MANU!$B$2:$B$4692,0)),INDEX(Sensors_MANU!$F$2:$F$4692,MATCH($P411,Sensors_MANU!$A$2:$A$4692,0))),"")</f>
        <v/>
      </c>
      <c r="D411" t="inlineStr">
        <is>
          <t>E289EBA985CC</t>
        </is>
      </c>
      <c r="E411" s="24">
        <f>LEFT(D411,2)&amp;":"&amp;MID(D411,3,2)&amp;":"&amp;MID(D411,5,2)&amp;":"&amp;MID(D411,7,2)&amp;":"&amp;MID(D411,9,2)&amp;":"&amp;RIGHT(D411,2)</f>
        <v/>
      </c>
      <c r="F411" s="29" t="n">
        <v>44910</v>
      </c>
      <c r="G411" s="29" t="inlineStr">
        <is>
          <t>Viezo</t>
        </is>
      </c>
      <c r="H411" t="inlineStr">
        <is>
          <t>4D1225D811B23141</t>
        </is>
      </c>
      <c r="I411">
        <f>IFERROR(_xlfn.IFNA(INDEX(Sensors_MANU!$C$2:$C$4692,MATCH($D411,Sensors_MANU!$B$2:$B$4692,0)),INDEX(Sensors_MANU!$C$2:$C$4692,MATCH($P411,Sensors_MANU!$A$2:$A$4692,0))),"")</f>
        <v/>
      </c>
      <c r="J411">
        <f>IFERROR(_xlfn.IFNA(INDEX(Sensors_MANU!$D$2:$D$4692,MATCH($D411,Sensors_MANU!$B$2:$B$4692,0)),INDEX(Sensors_MANU!$D$2:$D$4692,MATCH($P411,Sensors_MANU!$A$2:$A$4692,0))),"")</f>
        <v/>
      </c>
      <c r="K411" s="27" t="inlineStr">
        <is>
          <t>31833919338-1</t>
        </is>
      </c>
      <c r="L411" s="27" t="inlineStr">
        <is>
          <t>2L</t>
        </is>
      </c>
      <c r="O411" s="6" t="inlineStr">
        <is>
          <t>V25</t>
        </is>
      </c>
    </row>
    <row r="412">
      <c r="A412" s="32" t="inlineStr">
        <is>
          <t>RSA</t>
        </is>
      </c>
      <c r="B412" s="24">
        <f>IFERROR(INDEX(Companies!$A$3:$A$101,MATCH(A412,Companies!$B$3:$B$101,0)),"")</f>
        <v/>
      </c>
      <c r="C412">
        <f>IFERROR(_xlfn.IFNA(INDEX(Sensors_MANU!$F$2:$F$4692,MATCH($D412,Sensors_MANU!$B$2:$B$4692,0)),INDEX(Sensors_MANU!$F$2:$F$4692,MATCH($P412,Sensors_MANU!$A$2:$A$4692,0))),"")</f>
        <v/>
      </c>
      <c r="D412" t="inlineStr">
        <is>
          <t>E2C648CBA3F0</t>
        </is>
      </c>
      <c r="E412" s="24">
        <f>LEFT(D412,2)&amp;":"&amp;MID(D412,3,2)&amp;":"&amp;MID(D412,5,2)&amp;":"&amp;MID(D412,7,2)&amp;":"&amp;MID(D412,9,2)&amp;":"&amp;RIGHT(D412,2)</f>
        <v/>
      </c>
      <c r="H412" t="inlineStr">
        <is>
          <t>113FBC3E03CE932B</t>
        </is>
      </c>
      <c r="I412">
        <f>IFERROR(_xlfn.IFNA(INDEX(Sensors_MANU!$C$2:$C$4692,MATCH($D412,Sensors_MANU!$B$2:$B$4692,0)),INDEX(Sensors_MANU!$C$2:$C$4692,MATCH($P412,Sensors_MANU!$A$2:$A$4692,0))),"")</f>
        <v/>
      </c>
      <c r="J412" s="65" t="inlineStr">
        <is>
          <t>PR2203-123</t>
        </is>
      </c>
      <c r="O412" s="6" t="inlineStr">
        <is>
          <t>V25</t>
        </is>
      </c>
    </row>
    <row r="413">
      <c r="A413" s="32">
        <f>IFERROR(_xlfn.IFNA(INDEX(Sensors_MANU!$E$2:$E$4692,MATCH($D413,Sensors_MANU!$B$2:$B$4692,0)),INDEX(Sensors_MANU!$E$2:$E$4692,MATCH($P413,Sensors_MANU!$A$2:$A$4692,0))),"")</f>
        <v/>
      </c>
      <c r="B413" s="24" t="inlineStr">
        <is>
          <t>64818ba10166b80f8d06f5fa</t>
        </is>
      </c>
      <c r="C413">
        <f>IFERROR(_xlfn.IFNA(INDEX(Sensors_MANU!$F$2:$F$4692,MATCH($D413,Sensors_MANU!$B$2:$B$4692,0)),INDEX(Sensors_MANU!$F$2:$F$4692,MATCH($P413,Sensors_MANU!$A$2:$A$4692,0))),"")</f>
        <v/>
      </c>
      <c r="D413" t="inlineStr">
        <is>
          <t>D4B625CEAB13</t>
        </is>
      </c>
      <c r="E413" s="24">
        <f>LEFT(D413,2)&amp;":"&amp;MID(D413,3,2)&amp;":"&amp;MID(D413,5,2)&amp;":"&amp;MID(D413,7,2)&amp;":"&amp;MID(D413,9,2)&amp;":"&amp;RIGHT(D413,2)</f>
        <v/>
      </c>
      <c r="F413" s="29" t="n">
        <v>45090</v>
      </c>
      <c r="G413" s="29" t="inlineStr">
        <is>
          <t>VIEZO</t>
        </is>
      </c>
      <c r="H413" t="inlineStr">
        <is>
          <t>B4152971DEAF4E1C</t>
        </is>
      </c>
      <c r="I413">
        <f>IFERROR(_xlfn.IFNA(INDEX(Sensors_MANU!$C$2:$C$4692,MATCH($D413,Sensors_MANU!$B$2:$B$4692,0)),INDEX(Sensors_MANU!$C$2:$C$4692,MATCH($P413,Sensors_MANU!$A$2:$A$4692,0))),"")</f>
        <v/>
      </c>
      <c r="J413">
        <f>IFERROR(_xlfn.IFNA(INDEX(Sensors_MANU!$D$2:$D$4692,MATCH($D413,Sensors_MANU!$B$2:$B$4692,0)),INDEX(Sensors_MANU!$D$2:$D$4692,MATCH($P413,Sensors_MANU!$A$2:$A$4692,0))),"")</f>
        <v/>
      </c>
      <c r="K413" s="27" t="inlineStr">
        <is>
          <t>33802742608-3</t>
        </is>
      </c>
      <c r="L413" s="27" t="inlineStr">
        <is>
          <t>3R</t>
        </is>
      </c>
      <c r="O413" s="6" t="inlineStr">
        <is>
          <t>V24</t>
        </is>
      </c>
    </row>
    <row r="414">
      <c r="A414" s="26" t="inlineStr">
        <is>
          <t>TANKWAGON</t>
        </is>
      </c>
      <c r="B414" s="24">
        <f>IFERROR(INDEX(Companies!$A$3:$A$101,MATCH(A414,Companies!$B$3:$B$101,0)),"")</f>
        <v/>
      </c>
      <c r="C414">
        <f>IFERROR(_xlfn.IFNA(INDEX(Sensors_MANU!$F$2:$F$4692,MATCH($D414,Sensors_MANU!$B$2:$B$4692,0)),INDEX(Sensors_MANU!$F$2:$F$4692,MATCH($P414,Sensors_MANU!$A$2:$A$4692,0))),"")</f>
        <v/>
      </c>
      <c r="D414" t="inlineStr">
        <is>
          <t>F6DF9D668BCD</t>
        </is>
      </c>
      <c r="E414">
        <f>LEFT(D414,2)&amp;":"&amp;MID(D414,3,2)&amp;":"&amp;MID(D414,5,2)&amp;":"&amp;MID(D414,7,2)&amp;":"&amp;MID(D414,9,2)&amp;":"&amp;RIGHT(D414,2)</f>
        <v/>
      </c>
      <c r="F414" s="29" t="n">
        <v>45222</v>
      </c>
      <c r="G414" s="29" t="inlineStr">
        <is>
          <t>Tankwagon</t>
        </is>
      </c>
      <c r="H414" s="2" t="inlineStr">
        <is>
          <t>1474D69EFCA1E29D</t>
        </is>
      </c>
      <c r="I414">
        <f>IFERROR(_xlfn.IFNA(INDEX(Sensors_MANU!$C$2:$C$4692,MATCH($D414,Sensors_MANU!$B$2:$B$4692,0)),INDEX(Sensors_MANU!$C$2:$C$4692,MATCH($P414,Sensors_MANU!$A$2:$A$4692,0))),"")</f>
        <v/>
      </c>
      <c r="J414">
        <f>IFERROR(_xlfn.IFNA(INDEX(Sensors_MANU!$D$2:$D$4692,MATCH($D414,Sensors_MANU!$B$2:$B$4692,0)),INDEX(Sensors_MANU!$D$2:$D$4692,MATCH($P414,Sensors_MANU!$A$2:$A$4692,0))),"")</f>
        <v/>
      </c>
      <c r="K414" s="27" t="inlineStr">
        <is>
          <t>33857929905-2</t>
        </is>
      </c>
      <c r="L414" s="27" t="inlineStr">
        <is>
          <t>3L</t>
        </is>
      </c>
      <c r="M414" s="27" t="n"/>
      <c r="N414" s="99">
        <f>IFERROR(INDEX(Sensors_MANU!$G$2:$G$4692,MATCH($P414,Sensors_MANU!$A$2:$A$4692,0)),)</f>
        <v/>
      </c>
      <c r="O414" s="6" t="inlineStr">
        <is>
          <t>V26</t>
        </is>
      </c>
      <c r="P414" t="n">
        <v>4978543</v>
      </c>
    </row>
    <row r="415">
      <c r="A415" s="32">
        <f>IFERROR(_xlfn.IFNA(INDEX(Sensors_MANU!$E$2:$E$4692,MATCH($D415,Sensors_MANU!$B$2:$B$4692,0)),INDEX(Sensors_MANU!$E$2:$E$4692,MATCH($P415,Sensors_MANU!$A$2:$A$4692,0))),"")</f>
        <v/>
      </c>
      <c r="B415" s="24">
        <f>IFERROR(INDEX(Companies!$A$3:$A$101,MATCH(A415,Companies!$B$3:$B$101,0)),"")</f>
        <v/>
      </c>
      <c r="C415">
        <f>IFERROR(_xlfn.IFNA(INDEX(Sensors_MANU!$F$2:$F$4692,MATCH($D415,Sensors_MANU!$B$2:$B$4692,0)),INDEX(Sensors_MANU!$F$2:$F$4692,MATCH($P415,Sensors_MANU!$A$2:$A$4692,0))),"")</f>
        <v/>
      </c>
      <c r="D415" t="inlineStr">
        <is>
          <t>C9D4FACDC43F</t>
        </is>
      </c>
      <c r="E415" s="41">
        <f>LEFT(D415,2)&amp;":"&amp;MID(D415,3,2)&amp;":"&amp;MID(D415,5,2)&amp;":"&amp;MID(D415,7,2)&amp;":"&amp;MID(D415,9,2)&amp;":"&amp;RIGHT(D415,2)</f>
        <v/>
      </c>
      <c r="H415" t="inlineStr">
        <is>
          <t>6435ED29AB2B2147</t>
        </is>
      </c>
      <c r="I415">
        <f>IFERROR(_xlfn.IFNA(INDEX(Sensors_MANU!$C$2:$C$4692,MATCH($D415,Sensors_MANU!$B$2:$B$4692,0)),INDEX(Sensors_MANU!$C$2:$C$4692,MATCH($P415,Sensors_MANU!$A$2:$A$4692,0))),"")</f>
        <v/>
      </c>
      <c r="J415">
        <f>IFERROR(_xlfn.IFNA(INDEX(Sensors_MANU!$D$2:$D$4692,MATCH($D415,Sensors_MANU!$B$2:$B$4692,0)),INDEX(Sensors_MANU!$D$2:$D$4692,MATCH($P415,Sensors_MANU!$A$2:$A$4692,0))),"")</f>
        <v/>
      </c>
      <c r="N415" s="99" t="inlineStr">
        <is>
          <t>The operator has the device or its lost (they got it for free), but we dont monitor it on Ubidots anymore.</t>
        </is>
      </c>
      <c r="O415" s="6" t="inlineStr">
        <is>
          <t>v17</t>
        </is>
      </c>
      <c r="P415" t="n">
        <v>4978609</v>
      </c>
    </row>
    <row r="416">
      <c r="A416" s="32">
        <f>IFERROR(_xlfn.IFNA(INDEX(Sensors_MANU!$E$2:$E$4692,MATCH($D416,Sensors_MANU!$B$2:$B$4692,0)),INDEX(Sensors_MANU!$E$2:$E$4692,MATCH($P416,Sensors_MANU!$A$2:$A$4692,0))),"")</f>
        <v/>
      </c>
      <c r="B416" s="24">
        <f>IFERROR(INDEX(Companies!$A$3:$A$101,MATCH(A416,Companies!$B$3:$B$101,0)),"")</f>
        <v/>
      </c>
      <c r="C416" t="inlineStr">
        <is>
          <t>cargo</t>
        </is>
      </c>
      <c r="D416" t="inlineStr">
        <is>
          <t>EFF3A2FCB718</t>
        </is>
      </c>
      <c r="E416" s="41">
        <f>LEFT(D416,2)&amp;":"&amp;MID(D416,3,2)&amp;":"&amp;MID(D416,5,2)&amp;":"&amp;MID(D416,7,2)&amp;":"&amp;MID(D416,9,2)&amp;":"&amp;RIGHT(D416,2)</f>
        <v/>
      </c>
      <c r="H416" t="inlineStr">
        <is>
          <t>F2FB2EE2E227DFAC</t>
        </is>
      </c>
      <c r="I416">
        <f>IFERROR(_xlfn.IFNA(INDEX(Sensors_MANU!$C$2:$C$4692,MATCH($D416,Sensors_MANU!$B$2:$B$4692,0)),INDEX(Sensors_MANU!$C$2:$C$4692,MATCH($P416,Sensors_MANU!$A$2:$A$4692,0))),"")</f>
        <v/>
      </c>
      <c r="J416">
        <f>IFERROR(_xlfn.IFNA(INDEX(Sensors_MANU!$D$2:$D$4692,MATCH($D416,Sensors_MANU!$B$2:$B$4692,0)),INDEX(Sensors_MANU!$D$2:$D$4692,MATCH($P416,Sensors_MANU!$A$2:$A$4692,0))),"")</f>
        <v/>
      </c>
      <c r="M416" s="27" t="n"/>
      <c r="N416" s="99" t="inlineStr">
        <is>
          <t>The operator has the device or its lost (they got it for free), but we dont monitor it on Ubidots anymore.</t>
        </is>
      </c>
      <c r="O416" s="6" t="inlineStr">
        <is>
          <t>v17</t>
        </is>
      </c>
      <c r="P416" t="n">
        <v>4978766</v>
      </c>
    </row>
    <row r="417">
      <c r="A417" s="32">
        <f>IFERROR(_xlfn.IFNA(INDEX(Sensors_MANU!$E$2:$E$4692,MATCH($D417,Sensors_MANU!$B$2:$B$4692,0)),INDEX(Sensors_MANU!$E$2:$E$4692,MATCH($P417,Sensors_MANU!$A$2:$A$4692,0))),"")</f>
        <v/>
      </c>
      <c r="B417" s="24">
        <f>IFERROR(INDEX(Companies!$A$3:$A$101,MATCH(A417,Companies!$B$3:$B$101,0)),"")</f>
        <v/>
      </c>
      <c r="C417">
        <f>IFERROR(_xlfn.IFNA(INDEX(Sensors_MANU!$F$2:$F$4692,MATCH($D417,Sensors_MANU!$B$2:$B$4692,0)),INDEX(Sensors_MANU!$F$2:$F$4692,MATCH($P417,Sensors_MANU!$A$2:$A$4692,0))),"")</f>
        <v/>
      </c>
      <c r="D417" t="inlineStr">
        <is>
          <t>F60470BBB4A3</t>
        </is>
      </c>
      <c r="E417">
        <f>LEFT(D417,2)&amp;":"&amp;MID(D417,3,2)&amp;":"&amp;MID(D417,5,2)&amp;":"&amp;MID(D417,7,2)&amp;":"&amp;MID(D417,9,2)&amp;":"&amp;RIGHT(D417,2)</f>
        <v/>
      </c>
      <c r="H417" t="inlineStr">
        <is>
          <t>A8178502EE119958</t>
        </is>
      </c>
      <c r="I417">
        <f>IFERROR(_xlfn.IFNA(INDEX(Sensors_MANU!$C$2:$C$4692,MATCH($D417,Sensors_MANU!$B$2:$B$4692,0)),INDEX(Sensors_MANU!$C$2:$C$4692,MATCH($P417,Sensors_MANU!$A$2:$A$4692,0))),"")</f>
        <v/>
      </c>
      <c r="J417">
        <f>IFERROR(_xlfn.IFNA(INDEX(Sensors_MANU!$D$2:$D$4692,MATCH($D417,Sensors_MANU!$B$2:$B$4692,0)),INDEX(Sensors_MANU!$D$2:$D$4692,MATCH($P417,Sensors_MANU!$A$2:$A$4692,0))),"")</f>
        <v/>
      </c>
      <c r="M417" s="27" t="n"/>
      <c r="N417" s="99">
        <f>IFERROR(INDEX(Sensors_MANU!$G$2:$G$4692,MATCH($P417,Sensors_MANU!$A$2:$A$4692,0)),)</f>
        <v/>
      </c>
      <c r="O417" s="6" t="inlineStr">
        <is>
          <t>v16</t>
        </is>
      </c>
      <c r="P417" t="n">
        <v>4978469</v>
      </c>
    </row>
    <row r="418">
      <c r="A418" s="32">
        <f>IFERROR(_xlfn.IFNA(INDEX(Sensors_MANU!$E$2:$E$4692,MATCH($D418,Sensors_MANU!$B$2:$B$4692,0)),INDEX(Sensors_MANU!$E$2:$E$4692,MATCH($P418,Sensors_MANU!$A$2:$A$4692,0))),"")</f>
        <v/>
      </c>
      <c r="B418" s="24">
        <f>IFERROR(INDEX(Companies!$A$3:$A$101,MATCH(A418,Companies!$B$3:$B$101,0)),"")</f>
        <v/>
      </c>
      <c r="C418">
        <f>IFERROR(_xlfn.IFNA(INDEX(Sensors_MANU!$F$2:$F$4692,MATCH($D418,Sensors_MANU!$B$2:$B$4692,0)),INDEX(Sensors_MANU!$F$2:$F$4692,MATCH($P418,Sensors_MANU!$A$2:$A$4692,0))),"")</f>
        <v/>
      </c>
      <c r="D418" t="inlineStr">
        <is>
          <t>CC16DB33C199</t>
        </is>
      </c>
      <c r="E418">
        <f>LEFT(D418,2)&amp;":"&amp;MID(D418,3,2)&amp;":"&amp;MID(D418,5,2)&amp;":"&amp;MID(D418,7,2)&amp;":"&amp;MID(D418,9,2)&amp;":"&amp;RIGHT(D418,2)</f>
        <v/>
      </c>
      <c r="F418" s="29" t="n">
        <v>44918</v>
      </c>
      <c r="G418" s="29" t="inlineStr">
        <is>
          <t>Viezo</t>
        </is>
      </c>
      <c r="H418" t="inlineStr">
        <is>
          <t>8C4383F9C5B4C07A</t>
        </is>
      </c>
      <c r="I418">
        <f>IFERROR(_xlfn.IFNA(INDEX(Sensors_MANU!$C$2:$C$4692,MATCH($D418,Sensors_MANU!$B$2:$B$4692,0)),INDEX(Sensors_MANU!$C$2:$C$4692,MATCH($P418,Sensors_MANU!$A$2:$A$4692,0))),"")</f>
        <v/>
      </c>
      <c r="J418">
        <f>IFERROR(_xlfn.IFNA(INDEX(Sensors_MANU!$D$2:$D$4692,MATCH($D418,Sensors_MANU!$B$2:$B$4692,0)),INDEX(Sensors_MANU!$D$2:$D$4692,MATCH($P418,Sensors_MANU!$A$2:$A$4692,0))),"")</f>
        <v/>
      </c>
      <c r="K418" s="27" t="inlineStr">
        <is>
          <t>33854668206-7</t>
        </is>
      </c>
      <c r="L418" s="27" t="inlineStr">
        <is>
          <t>1L</t>
        </is>
      </c>
      <c r="M418" s="27" t="n"/>
      <c r="N418" s="99">
        <f>IFERROR(INDEX(Sensors_MANU!$G$2:$G$4692,MATCH($P418,Sensors_MANU!$A$2:$A$4692,0)),)</f>
        <v/>
      </c>
      <c r="O418" s="6" t="inlineStr">
        <is>
          <t>v16</t>
        </is>
      </c>
      <c r="P418" t="n">
        <v>4978848</v>
      </c>
    </row>
    <row r="419">
      <c r="A419" s="32">
        <f>IFERROR(_xlfn.IFNA(INDEX(Sensors_MANU!$E$2:$E$4692,MATCH($D419,Sensors_MANU!$B$2:$B$4692,0)),INDEX(Sensors_MANU!$E$2:$E$4692,MATCH($P419,Sensors_MANU!$A$2:$A$4692,0))),"")</f>
        <v/>
      </c>
      <c r="B419" s="24">
        <f>IFERROR(INDEX(Companies!$A$3:$A$101,MATCH(A419,Companies!$B$3:$B$101,0)),"")</f>
        <v/>
      </c>
      <c r="C419">
        <f>IFERROR(_xlfn.IFNA(INDEX(Sensors_MANU!$F$2:$F$4692,MATCH($D419,Sensors_MANU!$B$2:$B$4692,0)),INDEX(Sensors_MANU!$F$2:$F$4692,MATCH($P419,Sensors_MANU!$A$2:$A$4692,0))),"")</f>
        <v/>
      </c>
      <c r="D419" t="inlineStr">
        <is>
          <t>C066CE3EE05F</t>
        </is>
      </c>
      <c r="E419">
        <f>LEFT(D419,2)&amp;":"&amp;MID(D419,3,2)&amp;":"&amp;MID(D419,5,2)&amp;":"&amp;MID(D419,7,2)&amp;":"&amp;MID(D419,9,2)&amp;":"&amp;RIGHT(D419,2)</f>
        <v/>
      </c>
      <c r="F419" s="29" t="n">
        <v>44910</v>
      </c>
      <c r="G419" s="29" t="inlineStr">
        <is>
          <t>Viezo</t>
        </is>
      </c>
      <c r="H419" t="inlineStr">
        <is>
          <t>77A70D9B40E5AF5A</t>
        </is>
      </c>
      <c r="I419">
        <f>IFERROR(_xlfn.IFNA(INDEX(Sensors_MANU!$C$2:$C$4692,MATCH($D419,Sensors_MANU!$B$2:$B$4692,0)),INDEX(Sensors_MANU!$C$2:$C$4692,MATCH($P419,Sensors_MANU!$A$2:$A$4692,0))),"")</f>
        <v/>
      </c>
      <c r="J419">
        <f>IFERROR(_xlfn.IFNA(INDEX(Sensors_MANU!$D$2:$D$4692,MATCH($D419,Sensors_MANU!$B$2:$B$4692,0)),INDEX(Sensors_MANU!$D$2:$D$4692,MATCH($P419,Sensors_MANU!$A$2:$A$4692,0))),"")</f>
        <v/>
      </c>
      <c r="K419" s="27" t="inlineStr">
        <is>
          <t>31835376007-3</t>
        </is>
      </c>
      <c r="L419" s="27" t="inlineStr">
        <is>
          <t>3R</t>
        </is>
      </c>
      <c r="M419" s="27" t="n"/>
      <c r="N419" s="99">
        <f>IFERROR(INDEX(Sensors_MANU!$G$2:$G$4692,MATCH($P419,Sensors_MANU!$A$2:$A$4692,0)),)</f>
        <v/>
      </c>
      <c r="O419" s="6" t="inlineStr">
        <is>
          <t>v16</t>
        </is>
      </c>
      <c r="P419" t="n">
        <v>4978792</v>
      </c>
    </row>
    <row r="420">
      <c r="A420" s="32" t="inlineStr">
        <is>
          <t>TANKWAGON</t>
        </is>
      </c>
      <c r="B420" s="24">
        <f>IFERROR(INDEX(Companies!$A$3:$A$101,MATCH(A420,Companies!$B$3:$B$101,0)),"")</f>
        <v/>
      </c>
      <c r="C420">
        <f>IFERROR(_xlfn.IFNA(INDEX(Sensors_MANU!$F$2:$F$4692,MATCH($D420,Sensors_MANU!$B$2:$B$4692,0)),INDEX(Sensors_MANU!$F$2:$F$4692,MATCH($P420,Sensors_MANU!$A$2:$A$4692,0))),"")</f>
        <v/>
      </c>
      <c r="D420" s="104" t="inlineStr">
        <is>
          <t>E93489FECE9A</t>
        </is>
      </c>
      <c r="E420">
        <f>LEFT(D420,2)&amp;":"&amp;MID(D420,3,2)&amp;":"&amp;MID(D420,5,2)&amp;":"&amp;MID(D420,7,2)&amp;":"&amp;MID(D420,9,2)&amp;":"&amp;RIGHT(D420,2)</f>
        <v/>
      </c>
      <c r="H420" s="2" t="inlineStr">
        <is>
          <t>14708FA8A8F86A0D</t>
        </is>
      </c>
      <c r="J420">
        <f>IFERROR(_xlfn.IFNA(INDEX(Sensors_MANU!$D$2:$D$4692,MATCH($D420,Sensors_MANU!$B$2:$B$4692,0)),INDEX(Sensors_MANU!$D$2:$D$4692,MATCH($P420,Sensors_MANU!$A$2:$A$4692,0))),"")</f>
        <v/>
      </c>
      <c r="M420" s="27" t="n"/>
      <c r="N420" s="99">
        <f>IFERROR(INDEX(Sensors_MANU!$G$2:$G$4692,MATCH($P420,Sensors_MANU!$A$2:$A$4692,0)),)</f>
        <v/>
      </c>
      <c r="O420" s="6" t="inlineStr">
        <is>
          <t>V26</t>
        </is>
      </c>
      <c r="P420" t="n">
        <v>4978741</v>
      </c>
    </row>
    <row r="421">
      <c r="A421" s="32">
        <f>IFERROR(_xlfn.IFNA(INDEX(Sensors_MANU!$E$2:$E$4692,MATCH($D421,Sensors_MANU!$B$2:$B$4692,0)),INDEX(Sensors_MANU!$E$2:$E$4692,MATCH($P421,Sensors_MANU!$A$2:$A$4692,0))),"")</f>
        <v/>
      </c>
      <c r="B421" s="24">
        <f>IFERROR(INDEX(Companies!$A$3:$A$101,MATCH(A421,Companies!$B$3:$B$101,0)),"")</f>
        <v/>
      </c>
      <c r="C421">
        <f>IFERROR(_xlfn.IFNA(INDEX(Sensors_MANU!$F$2:$F$4692,MATCH($D421,Sensors_MANU!$B$2:$B$4692,0)),INDEX(Sensors_MANU!$F$2:$F$4692,MATCH($P421,Sensors_MANU!$A$2:$A$4692,0))),"")</f>
        <v/>
      </c>
      <c r="D421" t="inlineStr">
        <is>
          <t>EBA8AFB1CC01</t>
        </is>
      </c>
      <c r="E421">
        <f>LEFT(D421,2)&amp;":"&amp;MID(D421,3,2)&amp;":"&amp;MID(D421,5,2)&amp;":"&amp;MID(D421,7,2)&amp;":"&amp;MID(D421,9,2)&amp;":"&amp;RIGHT(D421,2)</f>
        <v/>
      </c>
      <c r="F421" s="29" t="n">
        <v>44910</v>
      </c>
      <c r="G421" s="29" t="inlineStr">
        <is>
          <t>Viezo</t>
        </is>
      </c>
      <c r="H421" t="inlineStr">
        <is>
          <t>F97A2F1D26AC7490</t>
        </is>
      </c>
      <c r="I421">
        <f>IFERROR(_xlfn.IFNA(INDEX(Sensors_MANU!$C$2:$C$4692,MATCH($D421,Sensors_MANU!$B$2:$B$4692,0)),INDEX(Sensors_MANU!$C$2:$C$4692,MATCH($P421,Sensors_MANU!$A$2:$A$4692,0))),"")</f>
        <v/>
      </c>
      <c r="J421">
        <f>IFERROR(_xlfn.IFNA(INDEX(Sensors_MANU!$D$2:$D$4692,MATCH($D421,Sensors_MANU!$B$2:$B$4692,0)),INDEX(Sensors_MANU!$D$2:$D$4692,MATCH($P421,Sensors_MANU!$A$2:$A$4692,0))),"")</f>
        <v/>
      </c>
      <c r="K421" s="27" t="inlineStr">
        <is>
          <t>31833916501-7</t>
        </is>
      </c>
      <c r="L421" s="27" t="inlineStr">
        <is>
          <t>2R</t>
        </is>
      </c>
      <c r="M421" s="27" t="n"/>
      <c r="N421" s="99">
        <f>IFERROR(INDEX(Sensors_MANU!$G$2:$G$4692,MATCH($P421,Sensors_MANU!$A$2:$A$4692,0)),)</f>
        <v/>
      </c>
      <c r="O421" s="6" t="inlineStr">
        <is>
          <t>v16</t>
        </is>
      </c>
      <c r="P421" t="n">
        <v>4978841</v>
      </c>
    </row>
    <row r="422">
      <c r="A422" s="32">
        <f>IFERROR(_xlfn.IFNA(INDEX(Sensors_MANU!$E$2:$E$4692,MATCH($D422,Sensors_MANU!$B$2:$B$4692,0)),INDEX(Sensors_MANU!$E$2:$E$4692,MATCH($P422,Sensors_MANU!$A$2:$A$4692,0))),"")</f>
        <v/>
      </c>
      <c r="B422" s="24">
        <f>IFERROR(INDEX(Companies!$A$3:$A$101,MATCH(A422,Companies!$B$3:$B$101,0)),"")</f>
        <v/>
      </c>
      <c r="C422">
        <f>IFERROR(_xlfn.IFNA(INDEX(Sensors_MANU!$F$2:$F$4692,MATCH($D422,Sensors_MANU!$B$2:$B$4692,0)),INDEX(Sensors_MANU!$F$2:$F$4692,MATCH($P422,Sensors_MANU!$A$2:$A$4692,0))),"")</f>
        <v/>
      </c>
      <c r="D422" t="inlineStr">
        <is>
          <t>D9E4F3C66560</t>
        </is>
      </c>
      <c r="E422" s="24">
        <f>LEFT(D422,2)&amp;":"&amp;MID(D422,3,2)&amp;":"&amp;MID(D422,5,2)&amp;":"&amp;MID(D422,7,2)&amp;":"&amp;MID(D422,9,2)&amp;":"&amp;RIGHT(D422,2)</f>
        <v/>
      </c>
      <c r="F422" s="29" t="n">
        <v>44910</v>
      </c>
      <c r="G422" s="29" t="inlineStr">
        <is>
          <t>Viezo</t>
        </is>
      </c>
      <c r="H422" t="inlineStr">
        <is>
          <t>9081C32CDBE11C20</t>
        </is>
      </c>
      <c r="I422">
        <f>IFERROR(_xlfn.IFNA(INDEX(Sensors_MANU!$C$2:$C$4692,MATCH($D422,Sensors_MANU!$B$2:$B$4692,0)),INDEX(Sensors_MANU!$C$2:$C$4692,MATCH($P422,Sensors_MANU!$A$2:$A$4692,0))),"")</f>
        <v/>
      </c>
      <c r="J422">
        <f>IFERROR(_xlfn.IFNA(INDEX(Sensors_MANU!$D$2:$D$4692,MATCH($D422,Sensors_MANU!$B$2:$B$4692,0)),INDEX(Sensors_MANU!$D$2:$D$4692,MATCH($P422,Sensors_MANU!$A$2:$A$4692,0))),"")</f>
        <v/>
      </c>
      <c r="K422" s="27" t="inlineStr">
        <is>
          <t>31834589939-3</t>
        </is>
      </c>
      <c r="L422" s="27" t="inlineStr">
        <is>
          <t>3R</t>
        </is>
      </c>
      <c r="O422" s="6" t="inlineStr">
        <is>
          <t>V25</t>
        </is>
      </c>
    </row>
    <row r="423">
      <c r="A423" s="32">
        <f>IFERROR(_xlfn.IFNA(INDEX(Sensors_MANU!$E$2:$E$4692,MATCH($D423,Sensors_MANU!$B$2:$B$4692,0)),INDEX(Sensors_MANU!$E$2:$E$4692,MATCH($P423,Sensors_MANU!$A$2:$A$4692,0))),"")</f>
        <v/>
      </c>
      <c r="B423" s="24">
        <f>IFERROR(INDEX(Companies!$A$3:$A$101,MATCH(A423,Companies!$B$3:$B$101,0)),"")</f>
        <v/>
      </c>
      <c r="C423">
        <f>IFERROR(_xlfn.IFNA(INDEX(Sensors_MANU!$F$2:$F$4692,MATCH($D423,Sensors_MANU!$B$2:$B$4692,0)),INDEX(Sensors_MANU!$F$2:$F$4692,MATCH($P423,Sensors_MANU!$A$2:$A$4692,0))),"")</f>
        <v/>
      </c>
      <c r="D423" t="inlineStr">
        <is>
          <t>D11F1B5887A0</t>
        </is>
      </c>
      <c r="E423" s="24">
        <f>LEFT(D423,2)&amp;":"&amp;MID(D423,3,2)&amp;":"&amp;MID(D423,5,2)&amp;":"&amp;MID(D423,7,2)&amp;":"&amp;MID(D423,9,2)&amp;":"&amp;RIGHT(D423,2)</f>
        <v/>
      </c>
      <c r="F423" s="29" t="n">
        <v>44910</v>
      </c>
      <c r="G423" s="29" t="inlineStr">
        <is>
          <t>Viezo</t>
        </is>
      </c>
      <c r="H423" t="inlineStr">
        <is>
          <t>F168D0E58D3373BF</t>
        </is>
      </c>
      <c r="I423">
        <f>IFERROR(_xlfn.IFNA(INDEX(Sensors_MANU!$C$2:$C$4692,MATCH($D423,Sensors_MANU!$B$2:$B$4692,0)),INDEX(Sensors_MANU!$C$2:$C$4692,MATCH($P423,Sensors_MANU!$A$2:$A$4692,0))),"")</f>
        <v/>
      </c>
      <c r="J423">
        <f>IFERROR(_xlfn.IFNA(INDEX(Sensors_MANU!$D$2:$D$4692,MATCH($D423,Sensors_MANU!$B$2:$B$4692,0)),INDEX(Sensors_MANU!$D$2:$D$4692,MATCH($P423,Sensors_MANU!$A$2:$A$4692,0))),"")</f>
        <v/>
      </c>
      <c r="K423" s="27" t="inlineStr">
        <is>
          <t>31835376007-3</t>
        </is>
      </c>
      <c r="L423" s="27" t="inlineStr">
        <is>
          <t>1L</t>
        </is>
      </c>
      <c r="O423" s="6" t="inlineStr">
        <is>
          <t>V25</t>
        </is>
      </c>
    </row>
    <row r="424">
      <c r="A424" s="32">
        <f>IFERROR(_xlfn.IFNA(INDEX(Sensors_MANU!$E$2:$E$4692,MATCH($D424,Sensors_MANU!$B$2:$B$4692,0)),INDEX(Sensors_MANU!$E$2:$E$4692,MATCH($P424,Sensors_MANU!$A$2:$A$4692,0))),"")</f>
        <v/>
      </c>
      <c r="B424" s="24">
        <f>IFERROR(INDEX(Companies!$A$3:$A$101,MATCH(A424,Companies!$B$3:$B$101,0)),"")</f>
        <v/>
      </c>
      <c r="D424" t="inlineStr">
        <is>
          <t>E871F29433F1</t>
        </is>
      </c>
      <c r="E424">
        <f>LEFT(D424,2)&amp;":"&amp;MID(D424,3,2)&amp;":"&amp;MID(D424,5,2)&amp;":"&amp;MID(D424,7,2)&amp;":"&amp;MID(D424,9,2)&amp;":"&amp;RIGHT(D424,2)</f>
        <v/>
      </c>
      <c r="H424" t="inlineStr">
        <is>
          <t>806630C014CB2A33</t>
        </is>
      </c>
      <c r="I424">
        <f>IFERROR(_xlfn.IFNA(INDEX(Sensors_MANU!$C$2:$C$4692,MATCH($D424,Sensors_MANU!$B$2:$B$4692,0)),INDEX(Sensors_MANU!$C$2:$C$4692,MATCH($P424,Sensors_MANU!$A$2:$A$4692,0))),"")</f>
        <v/>
      </c>
      <c r="J424">
        <f>IFERROR(_xlfn.IFNA(INDEX(Sensors_MANU!$D$2:$D$4692,MATCH($D424,Sensors_MANU!$B$2:$B$4692,0)),INDEX(Sensors_MANU!$D$2:$D$4692,MATCH($P424,Sensors_MANU!$A$2:$A$4692,0))),"")</f>
        <v/>
      </c>
      <c r="K424" s="27" t="inlineStr">
        <is>
          <t>BAH101</t>
        </is>
      </c>
      <c r="L424" s="27" t="inlineStr">
        <is>
          <t>2L</t>
        </is>
      </c>
    </row>
    <row r="425">
      <c r="A425" s="32" t="inlineStr">
        <is>
          <t>CARGONET</t>
        </is>
      </c>
      <c r="B425" s="24">
        <f>IFERROR(INDEX(Companies!$A$3:$A$101,MATCH(A425,Companies!$B$3:$B$101,0)),"")</f>
        <v/>
      </c>
      <c r="C425">
        <f>IFERROR(_xlfn.IFNA(INDEX(Sensors_MANU!$F$2:$F$4692,MATCH($D425,Sensors_MANU!$B$2:$B$4692,0)),INDEX(Sensors_MANU!$F$2:$F$4692,MATCH($P425,Sensors_MANU!$A$2:$A$4692,0))),"")</f>
        <v/>
      </c>
      <c r="D425" t="inlineStr">
        <is>
          <t>CD3474556FE2</t>
        </is>
      </c>
      <c r="E425">
        <f>LEFT(D425,2)&amp;":"&amp;MID(D425,3,2)&amp;":"&amp;MID(D425,5,2)&amp;":"&amp;MID(D425,7,2)&amp;":"&amp;MID(D425,9,2)&amp;":"&amp;RIGHT(D425,2)</f>
        <v/>
      </c>
      <c r="H425" t="inlineStr">
        <is>
          <t>AC9682BD1A847493</t>
        </is>
      </c>
      <c r="I425">
        <f>IFERROR(_xlfn.IFNA(INDEX(Sensors_MANU!$C$2:$C$4692,MATCH($D425,Sensors_MANU!$B$2:$B$4692,0)),INDEX(Sensors_MANU!$C$2:$C$4692,MATCH($P425,Sensors_MANU!$A$2:$A$4692,0))),"")</f>
        <v/>
      </c>
      <c r="J425">
        <f>IFERROR(_xlfn.IFNA(INDEX(Sensors_MANU!$D$2:$D$4692,MATCH($D425,Sensors_MANU!$B$2:$B$4692,0)),INDEX(Sensors_MANU!$D$2:$D$4692,MATCH($P425,Sensors_MANU!$A$2:$A$4692,0))),"")</f>
        <v/>
      </c>
      <c r="K425" s="27" t="inlineStr">
        <is>
          <t>33764955305-0</t>
        </is>
      </c>
      <c r="L425" s="27" t="inlineStr">
        <is>
          <t>6R</t>
        </is>
      </c>
      <c r="M425" s="27" t="n"/>
      <c r="N425" s="99">
        <f>IFERROR(INDEX(Sensors_MANU!$G$2:$G$4692,MATCH($P425,Sensors_MANU!$A$2:$A$4692,0)),)</f>
        <v/>
      </c>
      <c r="O425" s="6" t="inlineStr">
        <is>
          <t>v16</t>
        </is>
      </c>
      <c r="P425" t="n">
        <v>4978542</v>
      </c>
    </row>
    <row r="426">
      <c r="A426" s="32">
        <f>IFERROR(_xlfn.IFNA(INDEX(Sensors_MANU!$E$2:$E$4692,MATCH($D426,Sensors_MANU!$B$2:$B$4692,0)),INDEX(Sensors_MANU!$E$2:$E$4692,MATCH($P426,Sensors_MANU!$A$2:$A$4692,0))),"")</f>
        <v/>
      </c>
      <c r="B426" s="24">
        <f>IFERROR(INDEX(Companies!$A$3:$A$101,MATCH(A426,Companies!$B$3:$B$101,0)),"")</f>
        <v/>
      </c>
      <c r="C426">
        <f>IFERROR(_xlfn.IFNA(INDEX(Sensors_MANU!$F$2:$F$4692,MATCH($D426,Sensors_MANU!$B$2:$B$4692,0)),INDEX(Sensors_MANU!$F$2:$F$4692,MATCH($P426,Sensors_MANU!$A$2:$A$4692,0))),"")</f>
        <v/>
      </c>
      <c r="D426" t="inlineStr">
        <is>
          <t>CCA58B8B0432</t>
        </is>
      </c>
      <c r="E426" s="24">
        <f>LEFT(D426,2)&amp;":"&amp;MID(D426,3,2)&amp;":"&amp;MID(D426,5,2)&amp;":"&amp;MID(D426,7,2)&amp;":"&amp;MID(D426,9,2)&amp;":"&amp;RIGHT(D426,2)</f>
        <v/>
      </c>
      <c r="H426" t="inlineStr">
        <is>
          <t>639F67CDA868BD67</t>
        </is>
      </c>
      <c r="I426">
        <f>IFERROR(_xlfn.IFNA(INDEX(Sensors_MANU!$C$2:$C$4692,MATCH($D426,Sensors_MANU!$B$2:$B$4692,0)),INDEX(Sensors_MANU!$C$2:$C$4692,MATCH($P426,Sensors_MANU!$A$2:$A$4692,0))),"")</f>
        <v/>
      </c>
      <c r="J426">
        <f>IFERROR(_xlfn.IFNA(INDEX(Sensors_MANU!$D$2:$D$4692,MATCH($D426,Sensors_MANU!$B$2:$B$4692,0)),INDEX(Sensors_MANU!$D$2:$D$4692,MATCH($P426,Sensors_MANU!$A$2:$A$4692,0))),"")</f>
        <v/>
      </c>
      <c r="N426" s="99">
        <f>IFERROR(INDEX(Sensors_MANU!$G$2:$G$4692,MATCH($P426,Sensors_MANU!$A$2:$A$4692,0)),)</f>
        <v/>
      </c>
      <c r="O426" s="6" t="inlineStr">
        <is>
          <t>v17</t>
        </is>
      </c>
      <c r="P426" t="n">
        <v>4978533</v>
      </c>
    </row>
    <row r="427">
      <c r="A427" s="32">
        <f>IFERROR(_xlfn.IFNA(INDEX(Sensors_MANU!$E$2:$E$4692,MATCH($D427,Sensors_MANU!$B$2:$B$4692,0)),INDEX(Sensors_MANU!$E$2:$E$4692,MATCH($P427,Sensors_MANU!$A$2:$A$4692,0))),"")</f>
        <v/>
      </c>
      <c r="B427" s="24">
        <f>IFERROR(INDEX(Companies!$A$3:$A$101,MATCH(A427,Companies!$B$3:$B$101,0)),"")</f>
        <v/>
      </c>
      <c r="C427">
        <f>IFERROR(_xlfn.IFNA(INDEX(Sensors_MANU!$F$2:$F$4692,MATCH($D427,Sensors_MANU!$B$2:$B$4692,0)),INDEX(Sensors_MANU!$F$2:$F$4692,MATCH($P427,Sensors_MANU!$A$2:$A$4692,0))),"")</f>
        <v/>
      </c>
      <c r="D427" t="inlineStr">
        <is>
          <t>D91507A6368B</t>
        </is>
      </c>
      <c r="E427" s="24">
        <f>LEFT(D427,2)&amp;":"&amp;MID(D427,3,2)&amp;":"&amp;MID(D427,5,2)&amp;":"&amp;MID(D427,7,2)&amp;":"&amp;MID(D427,9,2)&amp;":"&amp;RIGHT(D427,2)</f>
        <v/>
      </c>
      <c r="H427" t="inlineStr">
        <is>
          <t>264CAB39B9508C85</t>
        </is>
      </c>
      <c r="I427">
        <f>IFERROR(_xlfn.IFNA(INDEX(Sensors_MANU!$C$2:$C$4692,MATCH($D427,Sensors_MANU!$B$2:$B$4692,0)),INDEX(Sensors_MANU!$C$2:$C$4692,MATCH($P427,Sensors_MANU!$A$2:$A$4692,0))),"")</f>
        <v/>
      </c>
      <c r="J427">
        <f>IFERROR(_xlfn.IFNA(INDEX(Sensors_MANU!$D$2:$D$4692,MATCH($D427,Sensors_MANU!$B$2:$B$4692,0)),INDEX(Sensors_MANU!$D$2:$D$4692,MATCH($P427,Sensors_MANU!$A$2:$A$4692,0))),"")</f>
        <v/>
      </c>
      <c r="N427" s="99">
        <f>IFERROR(INDEX(Sensors_MANU!$G$2:$G$4692,MATCH($P427,Sensors_MANU!$A$2:$A$4692,0)),)</f>
        <v/>
      </c>
      <c r="O427" s="6" t="inlineStr">
        <is>
          <t>v17</t>
        </is>
      </c>
      <c r="P427" t="n">
        <v>4978512</v>
      </c>
    </row>
    <row r="428">
      <c r="A428" s="32">
        <f>IFERROR(_xlfn.IFNA(INDEX(Sensors_MANU!$E$2:$E$4692,MATCH($D428,Sensors_MANU!$B$2:$B$4692,0)),INDEX(Sensors_MANU!$E$2:$E$4692,MATCH($P428,Sensors_MANU!$A$2:$A$4692,0))),"")</f>
        <v/>
      </c>
      <c r="B428" s="24">
        <f>IFERROR(INDEX(Companies!$A$3:$A$101,MATCH(A428,Companies!$B$3:$B$101,0)),"")</f>
        <v/>
      </c>
      <c r="C428">
        <f>IFERROR(_xlfn.IFNA(INDEX(Sensors_MANU!$F$2:$F$4692,MATCH($D428,Sensors_MANU!$B$2:$B$4692,0)),INDEX(Sensors_MANU!$F$2:$F$4692,MATCH($P428,Sensors_MANU!$A$2:$A$4692,0))),"")</f>
        <v/>
      </c>
      <c r="D428" t="inlineStr">
        <is>
          <t>F202F0EA8E21</t>
        </is>
      </c>
      <c r="E428" s="24">
        <f>LEFT(D428,2)&amp;":"&amp;MID(D428,3,2)&amp;":"&amp;MID(D428,5,2)&amp;":"&amp;MID(D428,7,2)&amp;":"&amp;MID(D428,9,2)&amp;":"&amp;RIGHT(D428,2)</f>
        <v/>
      </c>
      <c r="H428" t="inlineStr">
        <is>
          <t>3D933FC031B9D359</t>
        </is>
      </c>
      <c r="I428">
        <f>IFERROR(_xlfn.IFNA(INDEX(Sensors_MANU!$C$2:$C$4692,MATCH($D428,Sensors_MANU!$B$2:$B$4692,0)),INDEX(Sensors_MANU!$C$2:$C$4692,MATCH($P428,Sensors_MANU!$A$2:$A$4692,0))),"")</f>
        <v/>
      </c>
      <c r="J428">
        <f>IFERROR(_xlfn.IFNA(INDEX(Sensors_MANU!$D$2:$D$4692,MATCH($D428,Sensors_MANU!$B$2:$B$4692,0)),INDEX(Sensors_MANU!$D$2:$D$4692,MATCH($P428,Sensors_MANU!$A$2:$A$4692,0))),"")</f>
        <v/>
      </c>
      <c r="K428" s="27" t="inlineStr">
        <is>
          <t>33764955305-0</t>
        </is>
      </c>
      <c r="L428" s="27" t="inlineStr">
        <is>
          <t>1L</t>
        </is>
      </c>
      <c r="O428" s="6" t="inlineStr">
        <is>
          <t>V25</t>
        </is>
      </c>
    </row>
    <row r="429">
      <c r="A429" s="32">
        <f>IFERROR(_xlfn.IFNA(INDEX(Sensors_MANU!$E$2:$E$4692,MATCH($D429,Sensors_MANU!$B$2:$B$4692,0)),INDEX(Sensors_MANU!$E$2:$E$4692,MATCH($P429,Sensors_MANU!$A$2:$A$4692,0))),"")</f>
        <v/>
      </c>
      <c r="B429" s="24">
        <f>IFERROR(INDEX(Companies!$A$3:$A$101,MATCH(A429,Companies!$B$3:$B$101,0)),"")</f>
        <v/>
      </c>
      <c r="C429">
        <f>IFERROR(_xlfn.IFNA(INDEX(Sensors_MANU!$F$2:$F$4692,MATCH($D429,Sensors_MANU!$B$2:$B$4692,0)),INDEX(Sensors_MANU!$F$2:$F$4692,MATCH($P429,Sensors_MANU!$A$2:$A$4692,0))),"")</f>
        <v/>
      </c>
      <c r="D429" t="inlineStr">
        <is>
          <t>E31688556FF4</t>
        </is>
      </c>
      <c r="E429" s="24">
        <f>LEFT(D429,2)&amp;":"&amp;MID(D429,3,2)&amp;":"&amp;MID(D429,5,2)&amp;":"&amp;MID(D429,7,2)&amp;":"&amp;MID(D429,9,2)&amp;":"&amp;RIGHT(D429,2)</f>
        <v/>
      </c>
      <c r="F429" s="29" t="n">
        <v>44910</v>
      </c>
      <c r="G429" s="29" t="inlineStr">
        <is>
          <t>Viezo</t>
        </is>
      </c>
      <c r="H429" t="inlineStr">
        <is>
          <t>AA7CA3C45497B5F0</t>
        </is>
      </c>
      <c r="I429">
        <f>IFERROR(_xlfn.IFNA(INDEX(Sensors_MANU!$C$2:$C$4692,MATCH($D429,Sensors_MANU!$B$2:$B$4692,0)),INDEX(Sensors_MANU!$C$2:$C$4692,MATCH($P429,Sensors_MANU!$A$2:$A$4692,0))),"")</f>
        <v/>
      </c>
      <c r="J429">
        <f>IFERROR(_xlfn.IFNA(INDEX(Sensors_MANU!$D$2:$D$4692,MATCH($D429,Sensors_MANU!$B$2:$B$4692,0)),INDEX(Sensors_MANU!$D$2:$D$4692,MATCH($P429,Sensors_MANU!$A$2:$A$4692,0))),"")</f>
        <v/>
      </c>
      <c r="K429" s="27" t="inlineStr">
        <is>
          <t>31835377921-4</t>
        </is>
      </c>
      <c r="L429" s="27" t="inlineStr">
        <is>
          <t>2L</t>
        </is>
      </c>
      <c r="O429" s="6" t="inlineStr">
        <is>
          <t>V25</t>
        </is>
      </c>
    </row>
    <row r="430">
      <c r="A430" s="32">
        <f>IFERROR(_xlfn.IFNA(INDEX(Sensors_MANU!$E$2:$E$4692,MATCH($D430,Sensors_MANU!$B$2:$B$4692,0)),INDEX(Sensors_MANU!$E$2:$E$4692,MATCH($P430,Sensors_MANU!$A$2:$A$4692,0))),"")</f>
        <v/>
      </c>
      <c r="B430" s="24">
        <f>IFERROR(INDEX(Companies!$A$3:$A$101,MATCH(A430,Companies!$B$3:$B$101,0)),"")</f>
        <v/>
      </c>
      <c r="C430">
        <f>IFERROR(_xlfn.IFNA(INDEX(Sensors_MANU!$F$2:$F$4692,MATCH($D430,Sensors_MANU!$B$2:$B$4692,0)),INDEX(Sensors_MANU!$F$2:$F$4692,MATCH($P430,Sensors_MANU!$A$2:$A$4692,0))),"")</f>
        <v/>
      </c>
      <c r="D430" t="inlineStr">
        <is>
          <t>C3A70416FBDB</t>
        </is>
      </c>
      <c r="E430">
        <f>LEFT(D430,2)&amp;":"&amp;MID(D430,3,2)&amp;":"&amp;MID(D430,5,2)&amp;":"&amp;MID(D430,7,2)&amp;":"&amp;MID(D430,9,2)&amp;":"&amp;RIGHT(D430,2)</f>
        <v/>
      </c>
      <c r="F430" s="29" t="n">
        <v>44918</v>
      </c>
      <c r="G430" s="29" t="inlineStr">
        <is>
          <t>Hupac</t>
        </is>
      </c>
      <c r="H430" t="inlineStr">
        <is>
          <t>55648251F831CA45</t>
        </is>
      </c>
      <c r="I430">
        <f>IFERROR(_xlfn.IFNA(INDEX(Sensors_MANU!$C$2:$C$4692,MATCH($D430,Sensors_MANU!$B$2:$B$4692,0)),INDEX(Sensors_MANU!$C$2:$C$4692,MATCH($P430,Sensors_MANU!$A$2:$A$4692,0))),"")</f>
        <v/>
      </c>
      <c r="J430">
        <f>IFERROR(_xlfn.IFNA(INDEX(Sensors_MANU!$D$2:$D$4692,MATCH($D430,Sensors_MANU!$B$2:$B$4692,0)),INDEX(Sensors_MANU!$D$2:$D$4692,MATCH($P430,Sensors_MANU!$A$2:$A$4692,0))),"")</f>
        <v/>
      </c>
      <c r="K430" s="27" t="inlineStr">
        <is>
          <t>33854556814-3</t>
        </is>
      </c>
      <c r="L430" s="27" t="inlineStr">
        <is>
          <t>8b</t>
        </is>
      </c>
      <c r="M430" s="61" t="inlineStr">
        <is>
          <t>88160379</t>
        </is>
      </c>
    </row>
    <row r="431">
      <c r="A431" s="32" t="inlineStr">
        <is>
          <t>CARGONET</t>
        </is>
      </c>
      <c r="B431" s="24">
        <f>IFERROR(INDEX(Companies!$A$3:$A$101,MATCH(A431,Companies!$B$3:$B$101,0)),"")</f>
        <v/>
      </c>
      <c r="D431" t="inlineStr">
        <is>
          <t>CA706494AF54</t>
        </is>
      </c>
      <c r="E431">
        <f>LEFT(D431,2)&amp;":"&amp;MID(D431,3,2)&amp;":"&amp;MID(D431,5,2)&amp;":"&amp;MID(D431,7,2)&amp;":"&amp;MID(D431,9,2)&amp;":"&amp;RIGHT(D431,2)</f>
        <v/>
      </c>
      <c r="H431" t="inlineStr">
        <is>
          <t>B9F0F55E7BD2E6B1</t>
        </is>
      </c>
      <c r="J431" t="inlineStr">
        <is>
          <t>PR2203-163</t>
        </is>
      </c>
      <c r="K431" s="27" t="inlineStr">
        <is>
          <t>33764955305-0</t>
        </is>
      </c>
      <c r="L431" s="27" t="inlineStr">
        <is>
          <t>3L</t>
        </is>
      </c>
    </row>
    <row r="432">
      <c r="A432" s="32">
        <f>IFERROR(_xlfn.IFNA(INDEX(Sensors_MANU!$E$2:$E$4692,MATCH($D432,Sensors_MANU!$B$2:$B$4692,0)),INDEX(Sensors_MANU!$E$2:$E$4692,MATCH($P432,Sensors_MANU!$A$2:$A$4692,0))),"")</f>
        <v/>
      </c>
      <c r="B432" s="24">
        <f>IFERROR(INDEX(Companies!$A$3:$A$101,MATCH(A432,Companies!$B$3:$B$101,0)),"")</f>
        <v/>
      </c>
      <c r="D432" t="inlineStr">
        <is>
          <t>C380CC5B9377</t>
        </is>
      </c>
      <c r="E432">
        <f>LEFT(D432,2)&amp;":"&amp;MID(D432,3,2)&amp;":"&amp;MID(D432,5,2)&amp;":"&amp;MID(D432,7,2)&amp;":"&amp;MID(D432,9,2)&amp;":"&amp;RIGHT(D432,2)</f>
        <v/>
      </c>
      <c r="F432" s="29" t="n">
        <v>44953</v>
      </c>
      <c r="G432" s="29" t="inlineStr">
        <is>
          <t>Fertagus</t>
        </is>
      </c>
      <c r="H432" t="inlineStr">
        <is>
          <t>20CB4EBFF78083C3</t>
        </is>
      </c>
      <c r="I432">
        <f>IFERROR(_xlfn.IFNA(INDEX(Sensors_MANU!$C$2:$C$4692,MATCH($D432,Sensors_MANU!$B$2:$B$4692,0)),INDEX(Sensors_MANU!$C$2:$C$4692,MATCH($P432,Sensors_MANU!$A$2:$A$4692,0))),"")</f>
        <v/>
      </c>
      <c r="J432">
        <f>IFERROR(_xlfn.IFNA(INDEX(Sensors_MANU!$D$2:$D$4692,MATCH($D432,Sensors_MANU!$B$2:$B$4692,0)),INDEX(Sensors_MANU!$D$2:$D$4692,MATCH($P432,Sensors_MANU!$A$2:$A$4692,0))),"")</f>
        <v/>
      </c>
      <c r="K432" s="27" t="inlineStr">
        <is>
          <t>M3555</t>
        </is>
      </c>
      <c r="L432" s="27" t="inlineStr">
        <is>
          <t>1R</t>
        </is>
      </c>
    </row>
    <row r="433">
      <c r="A433" s="32">
        <f>IFERROR(_xlfn.IFNA(INDEX(Sensors_MANU!$E$2:$E$4692,MATCH($D433,Sensors_MANU!$B$2:$B$4692,0)),INDEX(Sensors_MANU!$E$2:$E$4692,MATCH($P433,Sensors_MANU!$A$2:$A$4692,0))),"")</f>
        <v/>
      </c>
      <c r="B433" s="24">
        <f>IFERROR(INDEX(Companies!$A$3:$A$101,MATCH(A433,Companies!$B$3:$B$101,0)),"")</f>
        <v/>
      </c>
      <c r="C433">
        <f>IFERROR(_xlfn.IFNA(INDEX(Sensors_MANU!$F$2:$F$4692,MATCH($D433,Sensors_MANU!$B$2:$B$4692,0)),INDEX(Sensors_MANU!$F$2:$F$4692,MATCH($P433,Sensors_MANU!$A$2:$A$4692,0))),"")</f>
        <v/>
      </c>
      <c r="D433" t="inlineStr">
        <is>
          <t>E28A69C7F182</t>
        </is>
      </c>
      <c r="E433">
        <f>LEFT(D433,2)&amp;":"&amp;MID(D433,3,2)&amp;":"&amp;MID(D433,5,2)&amp;":"&amp;MID(D433,7,2)&amp;":"&amp;MID(D433,9,2)&amp;":"&amp;RIGHT(D433,2)</f>
        <v/>
      </c>
      <c r="F433" s="29" t="n">
        <v>44910</v>
      </c>
      <c r="G433" s="29" t="inlineStr">
        <is>
          <t>Viezo</t>
        </is>
      </c>
      <c r="H433" t="inlineStr">
        <is>
          <t>9AA04F926DE137D3</t>
        </is>
      </c>
      <c r="I433">
        <f>IFERROR(_xlfn.IFNA(INDEX(Sensors_MANU!$C$2:$C$4692,MATCH($D433,Sensors_MANU!$B$2:$B$4692,0)),INDEX(Sensors_MANU!$C$2:$C$4692,MATCH($P433,Sensors_MANU!$A$2:$A$4692,0))),"")</f>
        <v/>
      </c>
      <c r="J433">
        <f>IFERROR(_xlfn.IFNA(INDEX(Sensors_MANU!$D$2:$D$4692,MATCH($D433,Sensors_MANU!$B$2:$B$4692,0)),INDEX(Sensors_MANU!$D$2:$D$4692,MATCH($P433,Sensors_MANU!$A$2:$A$4692,0))),"")</f>
        <v/>
      </c>
      <c r="K433" s="27" t="inlineStr">
        <is>
          <t>31833918084-2</t>
        </is>
      </c>
      <c r="L433" s="27" t="inlineStr">
        <is>
          <t>4L</t>
        </is>
      </c>
      <c r="M433" s="35" t="n"/>
      <c r="N433" s="99">
        <f>IFERROR(INDEX(Sensors_MANU!$G$2:$G$4692,MATCH($P433,Sensors_MANU!$A$2:$A$4692,0)),)</f>
        <v/>
      </c>
      <c r="O433" s="6" t="inlineStr">
        <is>
          <t>v15</t>
        </is>
      </c>
      <c r="P433" t="n">
        <v>4978884</v>
      </c>
    </row>
    <row r="434">
      <c r="A434" s="32">
        <f>IFERROR(_xlfn.IFNA(INDEX(Sensors_MANU!$E$2:$E$4692,MATCH($D434,Sensors_MANU!$B$2:$B$4692,0)),INDEX(Sensors_MANU!$E$2:$E$4692,MATCH($P434,Sensors_MANU!$A$2:$A$4692,0))),"")</f>
        <v/>
      </c>
      <c r="B434" s="24">
        <f>IFERROR(INDEX(Companies!$A$3:$A$101,MATCH(A434,Companies!$B$3:$B$101,0)),"")</f>
        <v/>
      </c>
      <c r="C434">
        <f>IFERROR(_xlfn.IFNA(INDEX(Sensors_MANU!$F$2:$F$4692,MATCH($D434,Sensors_MANU!$B$2:$B$4692,0)),INDEX(Sensors_MANU!$F$2:$F$4692,MATCH($P434,Sensors_MANU!$A$2:$A$4692,0))),"")</f>
        <v/>
      </c>
      <c r="D434" t="inlineStr">
        <is>
          <t>F2BFECF96DE7</t>
        </is>
      </c>
      <c r="E434">
        <f>LEFT(D434,2)&amp;":"&amp;MID(D434,3,2)&amp;":"&amp;MID(D434,5,2)&amp;":"&amp;MID(D434,7,2)&amp;":"&amp;MID(D434,9,2)&amp;":"&amp;RIGHT(D434,2)</f>
        <v/>
      </c>
      <c r="F434" s="29" t="n">
        <v>44705</v>
      </c>
      <c r="G434" s="29" t="inlineStr">
        <is>
          <t>DP</t>
        </is>
      </c>
      <c r="H434" t="inlineStr">
        <is>
          <t>9417EBBD23CB4E81</t>
        </is>
      </c>
      <c r="I434">
        <f>IFERROR(_xlfn.IFNA(INDEX(Sensors_MANU!$C$2:$C$4692,MATCH($D434,Sensors_MANU!$B$2:$B$4692,0)),INDEX(Sensors_MANU!$C$2:$C$4692,MATCH($P434,Sensors_MANU!$A$2:$A$4692,0))),"")</f>
        <v/>
      </c>
      <c r="J434" s="7">
        <f>IFERROR(_xlfn.IFNA(INDEX(Sensors_MANU!$D$2:$D$4692,MATCH($D434,Sensors_MANU!$B$2:$B$4692,0)),INDEX(Sensors_MANU!$D$2:$D$4692,MATCH($P434,Sensors_MANU!$A$2:$A$4692,0))),"")</f>
        <v/>
      </c>
      <c r="K434" s="27" t="inlineStr">
        <is>
          <t>37515839315-3</t>
        </is>
      </c>
      <c r="L434" s="27" t="inlineStr">
        <is>
          <t>4R</t>
        </is>
      </c>
      <c r="M434" s="27" t="n"/>
      <c r="N434" s="99">
        <f>IFERROR(INDEX(Sensors_MANU!$G$2:$G$4692,MATCH($P434,Sensors_MANU!$A$2:$A$4692,0)),)</f>
        <v/>
      </c>
      <c r="O434" s="6" t="inlineStr">
        <is>
          <t>v16</t>
        </is>
      </c>
      <c r="P434" t="n">
        <v>4978906</v>
      </c>
    </row>
    <row r="435">
      <c r="A435" s="32">
        <f>IFERROR(_xlfn.IFNA(INDEX(Sensors_MANU!$E$2:$E$4692,MATCH($D435,Sensors_MANU!$B$2:$B$4692,0)),INDEX(Sensors_MANU!$E$2:$E$4692,MATCH($P435,Sensors_MANU!$A$2:$A$4692,0))),"")</f>
        <v/>
      </c>
      <c r="B435" s="24">
        <f>IFERROR(INDEX(Companies!$A$3:$A$101,MATCH(A435,Companies!$B$3:$B$101,0)),"")</f>
        <v/>
      </c>
      <c r="C435">
        <f>IFERROR(_xlfn.IFNA(INDEX(Sensors_MANU!$F$2:$F$4692,MATCH($D435,Sensors_MANU!$B$2:$B$4692,0)),INDEX(Sensors_MANU!$F$2:$F$4692,MATCH($P435,Sensors_MANU!$A$2:$A$4692,0))),"")</f>
        <v/>
      </c>
      <c r="D435" t="inlineStr">
        <is>
          <t>C1C3B43BF6C0</t>
        </is>
      </c>
      <c r="E435" s="41">
        <f>LEFT(D435,2)&amp;":"&amp;MID(D435,3,2)&amp;":"&amp;MID(D435,5,2)&amp;":"&amp;MID(D435,7,2)&amp;":"&amp;MID(D435,9,2)&amp;":"&amp;RIGHT(D435,2)</f>
        <v/>
      </c>
      <c r="H435" t="inlineStr">
        <is>
          <t>B167D9C795C3EC7D</t>
        </is>
      </c>
      <c r="I435">
        <f>IFERROR(_xlfn.IFNA(INDEX(Sensors_MANU!$C$2:$C$4692,MATCH($D435,Sensors_MANU!$B$2:$B$4692,0)),INDEX(Sensors_MANU!$C$2:$C$4692,MATCH($P435,Sensors_MANU!$A$2:$A$4692,0))),"")</f>
        <v/>
      </c>
      <c r="J435">
        <f>IFERROR(_xlfn.IFNA(INDEX(Sensors_MANU!$D$2:$D$4692,MATCH($D435,Sensors_MANU!$B$2:$B$4692,0)),INDEX(Sensors_MANU!$D$2:$D$4692,MATCH($P435,Sensors_MANU!$A$2:$A$4692,0))),"")</f>
        <v/>
      </c>
      <c r="M435" s="27" t="n"/>
      <c r="N435" s="99" t="inlineStr">
        <is>
          <t>The operator has the device or its lost (they got it for free), but we dont monitor it on Ubidots anymore.</t>
        </is>
      </c>
      <c r="O435" s="6" t="inlineStr">
        <is>
          <t>v17</t>
        </is>
      </c>
      <c r="P435" t="n">
        <v>4978589</v>
      </c>
    </row>
    <row r="436">
      <c r="A436" s="32" t="inlineStr">
        <is>
          <t>TANKWAGON</t>
        </is>
      </c>
      <c r="B436" s="24">
        <f>IFERROR(INDEX(Companies!$A$3:$A$101,MATCH(A436,Companies!$B$3:$B$101,0)),"")</f>
        <v/>
      </c>
      <c r="C436">
        <f>IFERROR(_xlfn.IFNA(INDEX(Sensors_MANU!$F$2:$F$4692,MATCH($D436,Sensors_MANU!$B$2:$B$4692,0)),INDEX(Sensors_MANU!$F$2:$F$4692,MATCH($P436,Sensors_MANU!$A$2:$A$4692,0))),"")</f>
        <v/>
      </c>
      <c r="D436" t="inlineStr">
        <is>
          <t>C6C6F5D56247</t>
        </is>
      </c>
      <c r="E436">
        <f>LEFT(D436,2)&amp;":"&amp;MID(D436,3,2)&amp;":"&amp;MID(D436,5,2)&amp;":"&amp;MID(D436,7,2)&amp;":"&amp;MID(D436,9,2)&amp;":"&amp;RIGHT(D436,2)</f>
        <v/>
      </c>
      <c r="F436" s="29" t="n">
        <v>45222</v>
      </c>
      <c r="G436" s="29" t="inlineStr">
        <is>
          <t>Tankwagon</t>
        </is>
      </c>
      <c r="H436" s="2" t="inlineStr">
        <is>
          <t>460E30D76AEAB11E</t>
        </is>
      </c>
      <c r="I436">
        <f>IFERROR(_xlfn.IFNA(INDEX(Sensors_MANU!$C$2:$C$4692,MATCH($D436,Sensors_MANU!$B$2:$B$4692,0)),INDEX(Sensors_MANU!$C$2:$C$4692,MATCH($P436,Sensors_MANU!$A$2:$A$4692,0))),"")</f>
        <v/>
      </c>
      <c r="J436">
        <f>IFERROR(_xlfn.IFNA(INDEX(Sensors_MANU!$D$2:$D$4692,MATCH($D436,Sensors_MANU!$B$2:$B$4692,0)),INDEX(Sensors_MANU!$D$2:$D$4692,MATCH($P436,Sensors_MANU!$A$2:$A$4692,0))),"")</f>
        <v/>
      </c>
      <c r="K436" s="27" t="inlineStr">
        <is>
          <t>33857929905-2</t>
        </is>
      </c>
      <c r="L436" s="27" t="inlineStr">
        <is>
          <t>4R</t>
        </is>
      </c>
      <c r="M436" s="27" t="n"/>
      <c r="N436" s="99">
        <f>IFERROR(INDEX(Sensors_MANU!$G$2:$G$4692,MATCH($P436,Sensors_MANU!$A$2:$A$4692,0)),)</f>
        <v/>
      </c>
      <c r="O436" s="6" t="inlineStr">
        <is>
          <t>V26</t>
        </is>
      </c>
      <c r="P436" t="n">
        <v>4978747</v>
      </c>
    </row>
    <row r="437">
      <c r="A437" s="32" t="inlineStr">
        <is>
          <t>CARGONET</t>
        </is>
      </c>
      <c r="B437" s="24">
        <f>IFERROR(INDEX(Companies!$A$3:$A$101,MATCH(A437,Companies!$B$3:$B$101,0)),"")</f>
        <v/>
      </c>
      <c r="C437">
        <f>IFERROR(_xlfn.IFNA(INDEX(Sensors_MANU!$F$2:$F$4692,MATCH($D437,Sensors_MANU!$B$2:$B$4692,0)),INDEX(Sensors_MANU!$F$2:$F$4692,MATCH($P437,Sensors_MANU!$A$2:$A$4692,0))),"")</f>
        <v/>
      </c>
      <c r="D437" t="inlineStr">
        <is>
          <t>F14E8ED622F4</t>
        </is>
      </c>
      <c r="E437">
        <f>LEFT(D437,2)&amp;":"&amp;MID(D437,3,2)&amp;":"&amp;MID(D437,5,2)&amp;":"&amp;MID(D437,7,2)&amp;":"&amp;MID(D437,9,2)&amp;":"&amp;RIGHT(D437,2)</f>
        <v/>
      </c>
      <c r="H437" t="inlineStr">
        <is>
          <t>6B8076A4EC4B6453</t>
        </is>
      </c>
      <c r="I437">
        <f>IFERROR(_xlfn.IFNA(INDEX(Sensors_MANU!$C$2:$C$4692,MATCH($D437,Sensors_MANU!$B$2:$B$4692,0)),INDEX(Sensors_MANU!$C$2:$C$4692,MATCH($P437,Sensors_MANU!$A$2:$A$4692,0))),"")</f>
        <v/>
      </c>
      <c r="J437" t="inlineStr">
        <is>
          <t>PR2203-182</t>
        </is>
      </c>
      <c r="K437" s="27" t="inlineStr">
        <is>
          <t>33764955305-0</t>
        </is>
      </c>
      <c r="L437" s="27" t="inlineStr">
        <is>
          <t>2R</t>
        </is>
      </c>
      <c r="M437" s="27" t="n"/>
      <c r="N437" s="99">
        <f>IFERROR(INDEX(Sensors_MANU!$G$2:$G$4692,MATCH($P437,Sensors_MANU!$A$2:$A$4692,0)),)</f>
        <v/>
      </c>
      <c r="O437" s="6" t="inlineStr">
        <is>
          <t>v16</t>
        </is>
      </c>
      <c r="P437" t="n">
        <v>4978746</v>
      </c>
    </row>
    <row r="438">
      <c r="A438" s="32">
        <f>IFERROR(_xlfn.IFNA(INDEX(Sensors_MANU!$E$2:$E$4692,MATCH($D438,Sensors_MANU!$B$2:$B$4692,0)),INDEX(Sensors_MANU!$E$2:$E$4692,MATCH($P438,Sensors_MANU!$A$2:$A$4692,0))),"")</f>
        <v/>
      </c>
      <c r="B438" s="24">
        <f>IFERROR(INDEX(Companies!$A$3:$A$101,MATCH(A438,Companies!$B$3:$B$101,0)),"")</f>
        <v/>
      </c>
      <c r="C438">
        <f>IFERROR(_xlfn.IFNA(INDEX(Sensors_MANU!$F$2:$F$4692,MATCH($D438,Sensors_MANU!$B$2:$B$4692,0)),INDEX(Sensors_MANU!$F$2:$F$4692,MATCH($P438,Sensors_MANU!$A$2:$A$4692,0))),"")</f>
        <v/>
      </c>
      <c r="D438" t="inlineStr">
        <is>
          <t>C356184F8EC1</t>
        </is>
      </c>
      <c r="E438" s="41">
        <f>LEFT(D438,2)&amp;":"&amp;MID(D438,3,2)&amp;":"&amp;MID(D438,5,2)&amp;":"&amp;MID(D438,7,2)&amp;":"&amp;MID(D438,9,2)&amp;":"&amp;RIGHT(D438,2)</f>
        <v/>
      </c>
      <c r="H438" t="inlineStr">
        <is>
          <t>EF784F2DCE3CEA3B</t>
        </is>
      </c>
      <c r="I438">
        <f>IFERROR(_xlfn.IFNA(INDEX(Sensors_MANU!$C$2:$C$4692,MATCH($D438,Sensors_MANU!$B$2:$B$4692,0)),INDEX(Sensors_MANU!$C$2:$C$4692,MATCH($P438,Sensors_MANU!$A$2:$A$4692,0))),"")</f>
        <v/>
      </c>
      <c r="J438">
        <f>IFERROR(_xlfn.IFNA(INDEX(Sensors_MANU!$D$2:$D$4692,MATCH($D438,Sensors_MANU!$B$2:$B$4692,0)),INDEX(Sensors_MANU!$D$2:$D$4692,MATCH($P438,Sensors_MANU!$A$2:$A$4692,0))),"")</f>
        <v/>
      </c>
      <c r="M438" s="27" t="n"/>
      <c r="N438" s="99" t="inlineStr">
        <is>
          <t>The operator has the device or its lost (they got it for free), but we dont monitor it on Ubidots anymore.</t>
        </is>
      </c>
      <c r="O438" s="6" t="inlineStr">
        <is>
          <t>v17</t>
        </is>
      </c>
      <c r="P438" t="n">
        <v>4978711</v>
      </c>
    </row>
    <row r="439">
      <c r="A439" s="32">
        <f>IFERROR(_xlfn.IFNA(INDEX(Sensors_MANU!$E$2:$E$4692,MATCH($D439,Sensors_MANU!$B$2:$B$4692,0)),INDEX(Sensors_MANU!$E$2:$E$4692,MATCH($P439,Sensors_MANU!$A$2:$A$4692,0))),"")</f>
        <v/>
      </c>
      <c r="B439" s="24">
        <f>IFERROR(INDEX(Companies!$A$3:$A$101,MATCH(A439,Companies!$B$3:$B$101,0)),"")</f>
        <v/>
      </c>
      <c r="C439">
        <f>IFERROR(_xlfn.IFNA(INDEX(Sensors_MANU!$F$2:$F$4692,MATCH($D439,Sensors_MANU!$B$2:$B$4692,0)),INDEX(Sensors_MANU!$F$2:$F$4692,MATCH($P439,Sensors_MANU!$A$2:$A$4692,0))),"")</f>
        <v/>
      </c>
      <c r="D439" s="25" t="inlineStr">
        <is>
          <t>E4AB1A511B9F</t>
        </is>
      </c>
      <c r="E439" s="24">
        <f>LEFT(D439,2)&amp;":"&amp;MID(D439,3,2)&amp;":"&amp;MID(D439,5,2)&amp;":"&amp;MID(D439,7,2)&amp;":"&amp;MID(D439,9,2)&amp;":"&amp;RIGHT(D439,2)</f>
        <v/>
      </c>
      <c r="H439" t="inlineStr">
        <is>
          <t>D13358E9FEE76665</t>
        </is>
      </c>
      <c r="I439">
        <f>IFERROR(_xlfn.IFNA(INDEX(Sensors_MANU!$C$2:$C$4692,MATCH($D439,Sensors_MANU!$B$2:$B$4692,0)),INDEX(Sensors_MANU!$C$2:$C$4692,MATCH($P439,Sensors_MANU!$A$2:$A$4692,0))),"")</f>
        <v/>
      </c>
      <c r="J439">
        <f>IFERROR(_xlfn.IFNA(INDEX(Sensors_MANU!$D$2:$D$4692,MATCH($D439,Sensors_MANU!$B$2:$B$4692,0)),INDEX(Sensors_MANU!$D$2:$D$4692,MATCH($P439,Sensors_MANU!$A$2:$A$4692,0))),"")</f>
        <v/>
      </c>
      <c r="O439" s="6" t="inlineStr">
        <is>
          <t>V23</t>
        </is>
      </c>
    </row>
    <row r="440">
      <c r="A440" s="32">
        <f>IFERROR(_xlfn.IFNA(INDEX(Sensors_MANU!$E$2:$E$4692,MATCH($D440,Sensors_MANU!$B$2:$B$4692,0)),INDEX(Sensors_MANU!$E$2:$E$4692,MATCH($P440,Sensors_MANU!$A$2:$A$4692,0))),"")</f>
        <v/>
      </c>
      <c r="B440" s="24">
        <f>IFERROR(INDEX(Companies!$A$3:$A$101,MATCH(A440,Companies!$B$3:$B$101,0)),"")</f>
        <v/>
      </c>
      <c r="D440" t="inlineStr">
        <is>
          <t>EE4CD8993A29</t>
        </is>
      </c>
      <c r="E440">
        <f>LEFT(D440,2)&amp;":"&amp;MID(D440,3,2)&amp;":"&amp;MID(D440,5,2)&amp;":"&amp;MID(D440,7,2)&amp;":"&amp;MID(D440,9,2)&amp;":"&amp;RIGHT(D440,2)</f>
        <v/>
      </c>
      <c r="F440" s="29" t="n">
        <v>44953</v>
      </c>
      <c r="G440" s="29" t="inlineStr">
        <is>
          <t>Fertagus</t>
        </is>
      </c>
      <c r="H440" t="inlineStr">
        <is>
          <t>E3190E8F932C1076</t>
        </is>
      </c>
      <c r="I440">
        <f>IFERROR(_xlfn.IFNA(INDEX(Sensors_MANU!$C$2:$C$4692,MATCH($D440,Sensors_MANU!$B$2:$B$4692,0)),INDEX(Sensors_MANU!$C$2:$C$4692,MATCH($P440,Sensors_MANU!$A$2:$A$4692,0))),"")</f>
        <v/>
      </c>
      <c r="J440">
        <f>IFERROR(_xlfn.IFNA(INDEX(Sensors_MANU!$D$2:$D$4692,MATCH($D440,Sensors_MANU!$B$2:$B$4692,0)),INDEX(Sensors_MANU!$D$2:$D$4692,MATCH($P440,Sensors_MANU!$A$2:$A$4692,0))),"")</f>
        <v/>
      </c>
      <c r="K440" s="27" t="inlineStr">
        <is>
          <t>M3555</t>
        </is>
      </c>
      <c r="L440" s="27" t="inlineStr">
        <is>
          <t>2L</t>
        </is>
      </c>
    </row>
    <row r="441">
      <c r="A441" s="32">
        <f>IFERROR(_xlfn.IFNA(INDEX(Sensors_MANU!$E$2:$E$4692,MATCH($D441,Sensors_MANU!$B$2:$B$4692,0)),INDEX(Sensors_MANU!$E$2:$E$4692,MATCH($P441,Sensors_MANU!$A$2:$A$4692,0))),"")</f>
        <v/>
      </c>
      <c r="B441" s="24">
        <f>IFERROR(INDEX(Companies!$A$3:$A$101,MATCH(A441,Companies!$B$3:$B$101,0)),"")</f>
        <v/>
      </c>
      <c r="C441">
        <f>IFERROR(_xlfn.IFNA(INDEX(Sensors_MANU!$F$2:$F$4692,MATCH($D441,Sensors_MANU!$B$2:$B$4692,0)),INDEX(Sensors_MANU!$F$2:$F$4692,MATCH($P441,Sensors_MANU!$A$2:$A$4692,0))),"")</f>
        <v/>
      </c>
      <c r="D441" t="inlineStr">
        <is>
          <t>F888CAC3949C</t>
        </is>
      </c>
      <c r="E441">
        <f>LEFT(D441,2)&amp;":"&amp;MID(D441,3,2)&amp;":"&amp;MID(D441,5,2)&amp;":"&amp;MID(D441,7,2)&amp;":"&amp;MID(D441,9,2)&amp;":"&amp;RIGHT(D441,2)</f>
        <v/>
      </c>
      <c r="F441" s="29" t="n">
        <v>44918</v>
      </c>
      <c r="G441" s="29" t="inlineStr">
        <is>
          <t>Hupac</t>
        </is>
      </c>
      <c r="H441" t="inlineStr">
        <is>
          <t>C13D7FE4EBD60E0B</t>
        </is>
      </c>
      <c r="I441">
        <f>IFERROR(_xlfn.IFNA(INDEX(Sensors_MANU!$C$2:$C$4692,MATCH($D441,Sensors_MANU!$B$2:$B$4692,0)),INDEX(Sensors_MANU!$C$2:$C$4692,MATCH($P441,Sensors_MANU!$A$2:$A$4692,0))),"")</f>
        <v/>
      </c>
      <c r="J441">
        <f>IFERROR(_xlfn.IFNA(INDEX(Sensors_MANU!$D$2:$D$4692,MATCH($D441,Sensors_MANU!$B$2:$B$4692,0)),INDEX(Sensors_MANU!$D$2:$D$4692,MATCH($P441,Sensors_MANU!$A$2:$A$4692,0))),"")</f>
        <v/>
      </c>
      <c r="K441" s="27" t="inlineStr">
        <is>
          <t>33854956673-9</t>
        </is>
      </c>
      <c r="L441" s="27" t="inlineStr">
        <is>
          <t>9a</t>
        </is>
      </c>
      <c r="M441" s="27" t="n">
        <v>88160078</v>
      </c>
      <c r="N441" s="99">
        <f>IFERROR(INDEX(Sensors_MANU!$G$2:$G$4692,MATCH($P441,Sensors_MANU!$A$2:$A$4692,0)),)</f>
        <v/>
      </c>
      <c r="O441" s="6" t="inlineStr">
        <is>
          <t>v16</t>
        </is>
      </c>
      <c r="P441" t="n">
        <v>4978842</v>
      </c>
    </row>
    <row r="442">
      <c r="A442" s="32">
        <f>IFERROR(_xlfn.IFNA(INDEX(Sensors_MANU!$E$2:$E$4692,MATCH($D442,Sensors_MANU!$B$2:$B$4692,0)),INDEX(Sensors_MANU!$E$2:$E$4692,MATCH($P442,Sensors_MANU!$A$2:$A$4692,0))),"")</f>
        <v/>
      </c>
      <c r="B442" s="24">
        <f>IFERROR(INDEX(Companies!$A$3:$A$101,MATCH(A442,Companies!$B$3:$B$101,0)),"")</f>
        <v/>
      </c>
      <c r="C442">
        <f>IFERROR(_xlfn.IFNA(INDEX(Sensors_MANU!$F$2:$F$4692,MATCH($D442,Sensors_MANU!$B$2:$B$4692,0)),INDEX(Sensors_MANU!$F$2:$F$4692,MATCH($P442,Sensors_MANU!$A$2:$A$4692,0))),"")</f>
        <v/>
      </c>
      <c r="D442" t="inlineStr">
        <is>
          <t>F397F7F9A481</t>
        </is>
      </c>
      <c r="E442">
        <f>LEFT(D442,2)&amp;":"&amp;MID(D442,3,2)&amp;":"&amp;MID(D442,5,2)&amp;":"&amp;MID(D442,7,2)&amp;":"&amp;MID(D442,9,2)&amp;":"&amp;RIGHT(D442,2)</f>
        <v/>
      </c>
      <c r="F442" s="29" t="n">
        <v>44880</v>
      </c>
      <c r="G442" s="29" t="inlineStr">
        <is>
          <t>Viezo</t>
        </is>
      </c>
      <c r="H442" t="inlineStr">
        <is>
          <t>7070B39C6D97984D</t>
        </is>
      </c>
      <c r="I442">
        <f>IFERROR(_xlfn.IFNA(INDEX(Sensors_MANU!$C$2:$C$4692,MATCH($D442,Sensors_MANU!$B$2:$B$4692,0)),INDEX(Sensors_MANU!$C$2:$C$4692,MATCH($P442,Sensors_MANU!$A$2:$A$4692,0))),"")</f>
        <v/>
      </c>
      <c r="J442">
        <f>IFERROR(_xlfn.IFNA(INDEX(Sensors_MANU!$D$2:$D$4692,MATCH($D442,Sensors_MANU!$B$2:$B$4692,0)),INDEX(Sensors_MANU!$D$2:$D$4692,MATCH($P442,Sensors_MANU!$A$2:$A$4692,0))),"")</f>
        <v/>
      </c>
      <c r="K442" s="27" t="inlineStr">
        <is>
          <t>83546985072-0</t>
        </is>
      </c>
      <c r="L442" s="27" t="inlineStr">
        <is>
          <t>1R</t>
        </is>
      </c>
      <c r="M442" s="27" t="n"/>
      <c r="N442" s="99">
        <f>IFERROR(INDEX(Sensors_MANU!$G$2:$G$4692,MATCH($P442,Sensors_MANU!$A$2:$A$4692,0)),)</f>
        <v/>
      </c>
      <c r="O442" s="6" t="inlineStr">
        <is>
          <t>v16</t>
        </is>
      </c>
      <c r="P442" t="n">
        <v>4978710</v>
      </c>
    </row>
    <row r="443">
      <c r="A443" s="32">
        <f>IFERROR(_xlfn.IFNA(INDEX(Sensors_MANU!$E$2:$E$4692,MATCH($D443,Sensors_MANU!$B$2:$B$4692,0)),INDEX(Sensors_MANU!$E$2:$E$4692,MATCH($P443,Sensors_MANU!$A$2:$A$4692,0))),"")</f>
        <v/>
      </c>
      <c r="B443" s="24">
        <f>IFERROR(INDEX(Companies!$A$3:$A$101,MATCH(A443,Companies!$B$3:$B$101,0)),"")</f>
        <v/>
      </c>
      <c r="C443">
        <f>IFERROR(_xlfn.IFNA(INDEX(Sensors_MANU!$F$2:$F$4692,MATCH($D443,Sensors_MANU!$B$2:$B$4692,0)),INDEX(Sensors_MANU!$F$2:$F$4692,MATCH($P443,Sensors_MANU!$A$2:$A$4692,0))),"")</f>
        <v/>
      </c>
      <c r="D443" t="inlineStr">
        <is>
          <t>FFE458B26C07</t>
        </is>
      </c>
      <c r="E443" s="24">
        <f>LEFT(D443,2)&amp;":"&amp;MID(D443,3,2)&amp;":"&amp;MID(D443,5,2)&amp;":"&amp;MID(D443,7,2)&amp;":"&amp;MID(D443,9,2)&amp;":"&amp;RIGHT(D443,2)</f>
        <v/>
      </c>
      <c r="H443" t="inlineStr">
        <is>
          <t>5A97125494D46B67</t>
        </is>
      </c>
      <c r="I443">
        <f>IFERROR(_xlfn.IFNA(INDEX(Sensors_MANU!$C$2:$C$4692,MATCH($D443,Sensors_MANU!$B$2:$B$4692,0)),INDEX(Sensors_MANU!$C$2:$C$4692,MATCH($P443,Sensors_MANU!$A$2:$A$4692,0))),"")</f>
        <v/>
      </c>
      <c r="J443">
        <f>IFERROR(_xlfn.IFNA(INDEX(Sensors_MANU!$D$2:$D$4692,MATCH($D443,Sensors_MANU!$B$2:$B$4692,0)),INDEX(Sensors_MANU!$D$2:$D$4692,MATCH($P443,Sensors_MANU!$A$2:$A$4692,0))),"")</f>
        <v/>
      </c>
      <c r="N443" s="99">
        <f>IFERROR(INDEX(Sensors_MANU!$G$2:$G$4692,MATCH($P443,Sensors_MANU!$A$2:$A$4692,0)),)</f>
        <v/>
      </c>
      <c r="O443" s="6" t="inlineStr">
        <is>
          <t>v17</t>
        </is>
      </c>
      <c r="P443" t="n">
        <v>4978577</v>
      </c>
    </row>
    <row r="444">
      <c r="A444" s="32">
        <f>IFERROR(_xlfn.IFNA(INDEX(Sensors_MANU!$E$2:$E$4692,MATCH($D444,Sensors_MANU!$B$2:$B$4692,0)),INDEX(Sensors_MANU!$E$2:$E$4692,MATCH($P444,Sensors_MANU!$A$2:$A$4692,0))),"")</f>
        <v/>
      </c>
      <c r="B444" s="24">
        <f>IFERROR(INDEX(Companies!$A$3:$A$101,MATCH(A444,Companies!$B$3:$B$101,0)),"")</f>
        <v/>
      </c>
      <c r="C444">
        <f>IFERROR(_xlfn.IFNA(INDEX(Sensors_MANU!$F$2:$F$4692,MATCH($D444,Sensors_MANU!$B$2:$B$4692,0)),INDEX(Sensors_MANU!$F$2:$F$4692,MATCH($P444,Sensors_MANU!$A$2:$A$4692,0))),"")</f>
        <v/>
      </c>
      <c r="D444" t="inlineStr">
        <is>
          <t>C7409D7A8C5F</t>
        </is>
      </c>
      <c r="E444">
        <f>LEFT(D444,2)&amp;":"&amp;MID(D444,3,2)&amp;":"&amp;MID(D444,5,2)&amp;":"&amp;MID(D444,7,2)&amp;":"&amp;MID(D444,9,2)&amp;":"&amp;RIGHT(D444,2)</f>
        <v/>
      </c>
      <c r="F444" s="29" t="n">
        <v>44910</v>
      </c>
      <c r="G444" s="29" t="inlineStr">
        <is>
          <t>Viezo</t>
        </is>
      </c>
      <c r="H444" t="inlineStr">
        <is>
          <t>B9CC8DCEC30C43FE</t>
        </is>
      </c>
      <c r="I444">
        <f>IFERROR(_xlfn.IFNA(INDEX(Sensors_MANU!$C$2:$C$4692,MATCH($D444,Sensors_MANU!$B$2:$B$4692,0)),INDEX(Sensors_MANU!$C$2:$C$4692,MATCH($P444,Sensors_MANU!$A$2:$A$4692,0))),"")</f>
        <v/>
      </c>
      <c r="J444">
        <f>IFERROR(_xlfn.IFNA(INDEX(Sensors_MANU!$D$2:$D$4692,MATCH($D444,Sensors_MANU!$B$2:$B$4692,0)),INDEX(Sensors_MANU!$D$2:$D$4692,MATCH($P444,Sensors_MANU!$A$2:$A$4692,0))),"")</f>
        <v/>
      </c>
      <c r="K444" s="27" t="inlineStr">
        <is>
          <t>31834575297-2</t>
        </is>
      </c>
      <c r="L444" s="27" t="inlineStr">
        <is>
          <t>3R</t>
        </is>
      </c>
      <c r="M444" s="27" t="n"/>
      <c r="N444" s="99">
        <f>IFERROR(INDEX(Sensors_MANU!$G$2:$G$4692,MATCH($P444,Sensors_MANU!$A$2:$A$4692,0)),)</f>
        <v/>
      </c>
      <c r="O444" s="6" t="inlineStr">
        <is>
          <t>v16</t>
        </is>
      </c>
      <c r="P444" t="n">
        <v>4978863</v>
      </c>
    </row>
    <row r="445">
      <c r="B445" s="24">
        <f>IFERROR(INDEX(Companies!$A$3:$A$101,MATCH(A445,Companies!$B$3:$B$101,0)),"")</f>
        <v/>
      </c>
      <c r="C445">
        <f>IFERROR(_xlfn.IFNA(INDEX(Sensors_MANU!$F$2:$F$4692,MATCH($D445,Sensors_MANU!$B$2:$B$4692,0)),INDEX(Sensors_MANU!$F$2:$F$4692,MATCH($P445,Sensors_MANU!$A$2:$A$4692,0))),"")</f>
        <v/>
      </c>
      <c r="D445" t="inlineStr">
        <is>
          <t>D213BDF7CDCD</t>
        </is>
      </c>
      <c r="E445" s="24">
        <f>LEFT(D445,2)&amp;":"&amp;MID(D445,3,2)&amp;":"&amp;MID(D445,5,2)&amp;":"&amp;MID(D445,7,2)&amp;":"&amp;MID(D445,9,2)&amp;":"&amp;RIGHT(D445,2)</f>
        <v/>
      </c>
      <c r="H445" t="inlineStr">
        <is>
          <t>E30359DEDF3362AD</t>
        </is>
      </c>
      <c r="I445">
        <f>IFERROR(_xlfn.IFNA(INDEX(Sensors_MANU!$C$2:$C$4692,MATCH($D445,Sensors_MANU!$B$2:$B$4692,0)),INDEX(Sensors_MANU!$C$2:$C$4692,MATCH($P445,Sensors_MANU!$A$2:$A$4692,0))),"")</f>
        <v/>
      </c>
      <c r="J445" s="70">
        <f>IFERROR(_xlfn.IFNA(INDEX(Sensors_MANU!$D$2:$D$4692,MATCH($D445,Sensors_MANU!$B$2:$B$4692,0)),INDEX(Sensors_MANU!$D$2:$D$4692,MATCH($P445,Sensors_MANU!$A$2:$A$4692,0))),"")</f>
        <v/>
      </c>
      <c r="N445" s="99">
        <f>IFERROR(INDEX(Sensors_MANU!$G$2:$G$4692,MATCH($P445,Sensors_MANU!$A$2:$A$4692,0)),)</f>
        <v/>
      </c>
      <c r="O445" s="6" t="inlineStr">
        <is>
          <t>v17</t>
        </is>
      </c>
      <c r="P445" t="n">
        <v>4978526</v>
      </c>
    </row>
    <row r="446">
      <c r="A446" s="32">
        <f>IFERROR(_xlfn.IFNA(INDEX(Sensors_MANU!$E$2:$E$4692,MATCH($D446,Sensors_MANU!$B$2:$B$4692,0)),INDEX(Sensors_MANU!$E$2:$E$4692,MATCH($P446,Sensors_MANU!$A$2:$A$4692,0))),"")</f>
        <v/>
      </c>
      <c r="B446" s="24" t="inlineStr">
        <is>
          <t>64818ba10166b80f8d06f5fa</t>
        </is>
      </c>
      <c r="C446">
        <f>IFERROR(_xlfn.IFNA(INDEX(Sensors_MANU!$F$2:$F$4692,MATCH($D446,Sensors_MANU!$B$2:$B$4692,0)),INDEX(Sensors_MANU!$F$2:$F$4692,MATCH($P446,Sensors_MANU!$A$2:$A$4692,0))),"")</f>
        <v/>
      </c>
      <c r="D446" t="inlineStr">
        <is>
          <t>F2E33EABFD51</t>
        </is>
      </c>
      <c r="E446" s="24">
        <f>LEFT(D446,2)&amp;":"&amp;MID(D446,3,2)&amp;":"&amp;MID(D446,5,2)&amp;":"&amp;MID(D446,7,2)&amp;":"&amp;MID(D446,9,2)&amp;":"&amp;RIGHT(D446,2)</f>
        <v/>
      </c>
      <c r="F446" s="29" t="n">
        <v>45090</v>
      </c>
      <c r="G446" s="29" t="inlineStr">
        <is>
          <t>VIEZO</t>
        </is>
      </c>
      <c r="H446" t="inlineStr">
        <is>
          <t>6ED6B294D8106B30</t>
        </is>
      </c>
      <c r="I446">
        <f>IFERROR(_xlfn.IFNA(INDEX(Sensors_MANU!$C$2:$C$4692,MATCH($D446,Sensors_MANU!$B$2:$B$4692,0)),INDEX(Sensors_MANU!$C$2:$C$4692,MATCH($P446,Sensors_MANU!$A$2:$A$4692,0))),"")</f>
        <v/>
      </c>
      <c r="J446">
        <f>IFERROR(_xlfn.IFNA(INDEX(Sensors_MANU!$D$2:$D$4692,MATCH($D446,Sensors_MANU!$B$2:$B$4692,0)),INDEX(Sensors_MANU!$D$2:$D$4692,MATCH($P446,Sensors_MANU!$A$2:$A$4692,0))),"")</f>
        <v/>
      </c>
      <c r="K446" s="27" t="inlineStr">
        <is>
          <t>33802742608-3</t>
        </is>
      </c>
      <c r="L446" s="27" t="inlineStr">
        <is>
          <t>2R</t>
        </is>
      </c>
      <c r="O446" s="6" t="inlineStr">
        <is>
          <t>V25</t>
        </is>
      </c>
    </row>
    <row r="447">
      <c r="A447" s="32">
        <f>IFERROR(_xlfn.IFNA(INDEX(Sensors_MANU!$E$2:$E$4692,MATCH($D447,Sensors_MANU!$B$2:$B$4692,0)),INDEX(Sensors_MANU!$E$2:$E$4692,MATCH($P447,Sensors_MANU!$A$2:$A$4692,0))),"")</f>
        <v/>
      </c>
      <c r="B447" s="24">
        <f>IFERROR(INDEX(Companies!$A$3:$A$101,MATCH(A447,Companies!$B$3:$B$101,0)),"")</f>
        <v/>
      </c>
      <c r="C447">
        <f>IFERROR(_xlfn.IFNA(INDEX(Sensors_MANU!$F$2:$F$4692,MATCH($D447,Sensors_MANU!$B$2:$B$4692,0)),INDEX(Sensors_MANU!$F$2:$F$4692,MATCH($P447,Sensors_MANU!$A$2:$A$4692,0))),"")</f>
        <v/>
      </c>
      <c r="D447" s="25" t="inlineStr">
        <is>
          <t>D1201BCD3C96</t>
        </is>
      </c>
      <c r="E447" s="24">
        <f>LEFT(D447,2)&amp;":"&amp;MID(D447,3,2)&amp;":"&amp;MID(D447,5,2)&amp;":"&amp;MID(D447,7,2)&amp;":"&amp;MID(D447,9,2)&amp;":"&amp;RIGHT(D447,2)</f>
        <v/>
      </c>
      <c r="H447" t="inlineStr">
        <is>
          <t>2C9FFE39FD05D7DB</t>
        </is>
      </c>
      <c r="I447">
        <f>IFERROR(_xlfn.IFNA(INDEX(Sensors_MANU!$C$2:$C$4692,MATCH($D447,Sensors_MANU!$B$2:$B$4692,0)),INDEX(Sensors_MANU!$C$2:$C$4692,MATCH($P447,Sensors_MANU!$A$2:$A$4692,0))),"")</f>
        <v/>
      </c>
      <c r="J447">
        <f>IFERROR(_xlfn.IFNA(INDEX(Sensors_MANU!$D$2:$D$4692,MATCH($D447,Sensors_MANU!$B$2:$B$4692,0)),INDEX(Sensors_MANU!$D$2:$D$4692,MATCH($P447,Sensors_MANU!$A$2:$A$4692,0))),"")</f>
        <v/>
      </c>
      <c r="O447" s="6" t="inlineStr">
        <is>
          <t>V23</t>
        </is>
      </c>
    </row>
    <row r="448">
      <c r="A448" s="32" t="inlineStr">
        <is>
          <t>TANKWAGON</t>
        </is>
      </c>
      <c r="B448" s="24">
        <f>IFERROR(INDEX(Companies!$A$3:$A$101,MATCH(A448,Companies!$B$3:$B$101,0)),"")</f>
        <v/>
      </c>
      <c r="C448">
        <f>IFERROR(_xlfn.IFNA(INDEX(Sensors_MANU!$F$2:$F$4692,MATCH($D448,Sensors_MANU!$B$2:$B$4692,0)),INDEX(Sensors_MANU!$F$2:$F$4692,MATCH($P448,Sensors_MANU!$A$2:$A$4692,0))),"")</f>
        <v/>
      </c>
      <c r="D448" s="104" t="inlineStr">
        <is>
          <t>F7FCCC812D60</t>
        </is>
      </c>
      <c r="E448">
        <f>LEFT(D448,2)&amp;":"&amp;MID(D448,3,2)&amp;":"&amp;MID(D448,5,2)&amp;":"&amp;MID(D448,7,2)&amp;":"&amp;MID(D448,9,2)&amp;":"&amp;RIGHT(D448,2)</f>
        <v/>
      </c>
      <c r="H448" s="2" t="inlineStr">
        <is>
          <t>153304435B6FE56B</t>
        </is>
      </c>
      <c r="J448">
        <f>IFERROR(_xlfn.IFNA(INDEX(Sensors_MANU!$D$2:$D$4692,MATCH($D448,Sensors_MANU!$B$2:$B$4692,0)),INDEX(Sensors_MANU!$D$2:$D$4692,MATCH($P448,Sensors_MANU!$A$2:$A$4692,0))),"")</f>
        <v/>
      </c>
      <c r="M448" s="27" t="n"/>
      <c r="N448" s="99">
        <f>IFERROR(INDEX(Sensors_MANU!$G$2:$G$4692,MATCH($P448,Sensors_MANU!$A$2:$A$4692,0)),)</f>
        <v/>
      </c>
      <c r="O448" s="6" t="inlineStr">
        <is>
          <t>V26</t>
        </is>
      </c>
      <c r="P448" t="n">
        <v>4978798</v>
      </c>
    </row>
    <row r="449">
      <c r="A449" s="32" t="inlineStr">
        <is>
          <t>CARGONET</t>
        </is>
      </c>
      <c r="B449" s="24">
        <f>IFERROR(INDEX(Companies!$A$3:$A$101,MATCH(A449,Companies!$B$3:$B$101,0)),"")</f>
        <v/>
      </c>
      <c r="C449">
        <f>IFERROR(_xlfn.IFNA(INDEX(Sensors_MANU!$F$2:$F$4692,MATCH($D449,Sensors_MANU!$B$2:$B$4692,0)),INDEX(Sensors_MANU!$F$2:$F$4692,MATCH($P449,Sensors_MANU!$A$2:$A$4692,0))),"")</f>
        <v/>
      </c>
      <c r="D449" t="inlineStr">
        <is>
          <t>C4D3C72A278A</t>
        </is>
      </c>
      <c r="E449">
        <f>LEFT(D449,2)&amp;":"&amp;MID(D449,3,2)&amp;":"&amp;MID(D449,5,2)&amp;":"&amp;MID(D449,7,2)&amp;":"&amp;MID(D449,9,2)&amp;":"&amp;RIGHT(D449,2)</f>
        <v/>
      </c>
      <c r="H449" t="inlineStr">
        <is>
          <t>E2F017696A925B70</t>
        </is>
      </c>
      <c r="I449">
        <f>IFERROR(_xlfn.IFNA(INDEX(Sensors_MANU!$C$2:$C$4692,MATCH($D449,Sensors_MANU!$B$2:$B$4692,0)),INDEX(Sensors_MANU!$C$2:$C$4692,MATCH($P449,Sensors_MANU!$A$2:$A$4692,0))),"")</f>
        <v/>
      </c>
      <c r="J449">
        <f>IFERROR(_xlfn.IFNA(INDEX(Sensors_MANU!$D$2:$D$4692,MATCH($D449,Sensors_MANU!$B$2:$B$4692,0)),INDEX(Sensors_MANU!$D$2:$D$4692,MATCH($P449,Sensors_MANU!$A$2:$A$4692,0))),"")</f>
        <v/>
      </c>
      <c r="K449" s="27" t="inlineStr">
        <is>
          <t>33764955324-1</t>
        </is>
      </c>
      <c r="L449" s="27" t="inlineStr">
        <is>
          <t>3L</t>
        </is>
      </c>
      <c r="N449" s="99">
        <f>IFERROR(INDEX(Sensors_MANU!$G$2:$G$4692,MATCH($P449,Sensors_MANU!$A$2:$A$4692,0)),)</f>
        <v/>
      </c>
      <c r="O449" s="6" t="inlineStr">
        <is>
          <t>v16</t>
        </is>
      </c>
      <c r="P449" t="n">
        <v>4978890</v>
      </c>
    </row>
    <row r="450">
      <c r="A450" s="32">
        <f>IFERROR(_xlfn.IFNA(INDEX(Sensors_MANU!$E$2:$E$4692,MATCH($D450,Sensors_MANU!$B$2:$B$4692,0)),INDEX(Sensors_MANU!$E$2:$E$4692,MATCH($P450,Sensors_MANU!$A$2:$A$4692,0))),"")</f>
        <v/>
      </c>
      <c r="B450" s="24">
        <f>IFERROR(INDEX(Companies!$A$3:$A$101,MATCH(A450,Companies!$B$3:$B$101,0)),"")</f>
        <v/>
      </c>
      <c r="C450">
        <f>IFERROR(_xlfn.IFNA(INDEX(Sensors_MANU!$F$2:$F$4692,MATCH($D450,Sensors_MANU!$B$2:$B$4692,0)),INDEX(Sensors_MANU!$F$2:$F$4692,MATCH($P450,Sensors_MANU!$A$2:$A$4692,0))),"")</f>
        <v/>
      </c>
      <c r="D450" t="inlineStr">
        <is>
          <t>E9A60347F773</t>
        </is>
      </c>
      <c r="E450">
        <f>LEFT(D450,2)&amp;":"&amp;MID(D450,3,2)&amp;":"&amp;MID(D450,5,2)&amp;":"&amp;MID(D450,7,2)&amp;":"&amp;MID(D450,9,2)&amp;":"&amp;RIGHT(D450,2)</f>
        <v/>
      </c>
      <c r="F450" s="29" t="n">
        <v>44910</v>
      </c>
      <c r="G450" s="29" t="inlineStr">
        <is>
          <t>Viezo</t>
        </is>
      </c>
      <c r="H450" t="inlineStr">
        <is>
          <t>938234E87F6838A3</t>
        </is>
      </c>
      <c r="I450">
        <f>IFERROR(_xlfn.IFNA(INDEX(Sensors_MANU!$C$2:$C$4692,MATCH($D450,Sensors_MANU!$B$2:$B$4692,0)),INDEX(Sensors_MANU!$C$2:$C$4692,MATCH($P450,Sensors_MANU!$A$2:$A$4692,0))),"")</f>
        <v/>
      </c>
      <c r="J450">
        <f>IFERROR(_xlfn.IFNA(INDEX(Sensors_MANU!$D$2:$D$4692,MATCH($D450,Sensors_MANU!$B$2:$B$4692,0)),INDEX(Sensors_MANU!$D$2:$D$4692,MATCH($P450,Sensors_MANU!$A$2:$A$4692,0))),"")</f>
        <v/>
      </c>
      <c r="K450" s="27" t="inlineStr">
        <is>
          <t>33854956699-4</t>
        </is>
      </c>
      <c r="L450" s="27" t="inlineStr">
        <is>
          <t>4b</t>
        </is>
      </c>
      <c r="M450" s="27" t="n">
        <v>88220135</v>
      </c>
      <c r="N450" s="99">
        <f>IFERROR(INDEX(Sensors_MANU!$G$2:$G$4692,MATCH($P450,Sensors_MANU!$A$2:$A$4692,0)),)</f>
        <v/>
      </c>
      <c r="O450" s="6" t="inlineStr">
        <is>
          <t>v16</t>
        </is>
      </c>
      <c r="P450" t="n">
        <v>4978596</v>
      </c>
    </row>
    <row r="451">
      <c r="A451" s="32" t="inlineStr">
        <is>
          <t>CARGONET</t>
        </is>
      </c>
      <c r="B451" s="24">
        <f>IFERROR(INDEX(Companies!$A$3:$A$101,MATCH(A451,Companies!$B$3:$B$101,0)),"")</f>
        <v/>
      </c>
      <c r="C451">
        <f>IFERROR(_xlfn.IFNA(INDEX(Sensors_MANU!$F$2:$F$4692,MATCH($D451,Sensors_MANU!$B$2:$B$4692,0)),INDEX(Sensors_MANU!$F$2:$F$4692,MATCH($P451,Sensors_MANU!$A$2:$A$4692,0))),"")</f>
        <v/>
      </c>
      <c r="D451" t="inlineStr">
        <is>
          <t>FB3D354C891E</t>
        </is>
      </c>
      <c r="E451">
        <f>LEFT(D451,2)&amp;":"&amp;MID(D451,3,2)&amp;":"&amp;MID(D451,5,2)&amp;":"&amp;MID(D451,7,2)&amp;":"&amp;MID(D451,9,2)&amp;":"&amp;RIGHT(D451,2)</f>
        <v/>
      </c>
      <c r="H451" t="inlineStr">
        <is>
          <t>B7CC51B2F737E86E</t>
        </is>
      </c>
      <c r="I451">
        <f>IFERROR(_xlfn.IFNA(INDEX(Sensors_MANU!$C$2:$C$4692,MATCH($D451,Sensors_MANU!$B$2:$B$4692,0)),INDEX(Sensors_MANU!$C$2:$C$4692,MATCH($P451,Sensors_MANU!$A$2:$A$4692,0))),"")</f>
        <v/>
      </c>
      <c r="J451" s="7">
        <f>IFERROR(_xlfn.IFNA(INDEX(Sensors_MANU!$D$2:$D$4692,MATCH($D451,Sensors_MANU!$B$2:$B$4692,0)),INDEX(Sensors_MANU!$D$2:$D$4692,MATCH($P451,Sensors_MANU!$A$2:$A$4692,0))),"")</f>
        <v/>
      </c>
      <c r="K451" s="27" t="inlineStr">
        <is>
          <t>33764955305-0</t>
        </is>
      </c>
      <c r="L451" s="27" t="inlineStr">
        <is>
          <t>5R</t>
        </is>
      </c>
      <c r="M451" s="27" t="n"/>
      <c r="N451" s="99">
        <f>IFERROR(INDEX(Sensors_MANU!$G$2:$G$4692,MATCH($P451,Sensors_MANU!$A$2:$A$4692,0)),)</f>
        <v/>
      </c>
      <c r="O451" s="6" t="inlineStr">
        <is>
          <t>v16</t>
        </is>
      </c>
      <c r="P451" t="n">
        <v>4978558</v>
      </c>
    </row>
    <row r="452">
      <c r="A452" s="32">
        <f>IFERROR(_xlfn.IFNA(INDEX(Sensors_MANU!$E$2:$E$4692,MATCH($D452,Sensors_MANU!$B$2:$B$4692,0)),INDEX(Sensors_MANU!$E$2:$E$4692,MATCH($P452,Sensors_MANU!$A$2:$A$4692,0))),"")</f>
        <v/>
      </c>
      <c r="B452" s="24">
        <f>IFERROR(INDEX(Companies!$A$3:$A$101,MATCH(A452,Companies!$B$3:$B$101,0)),"")</f>
        <v/>
      </c>
      <c r="C452">
        <f>IFERROR(_xlfn.IFNA(INDEX(Sensors_MANU!$F$2:$F$4692,MATCH($D452,Sensors_MANU!$B$2:$B$4692,0)),INDEX(Sensors_MANU!$F$2:$F$4692,MATCH($P452,Sensors_MANU!$A$2:$A$4692,0))),"")</f>
        <v/>
      </c>
      <c r="D452" t="inlineStr">
        <is>
          <t>C8A53F5AB190</t>
        </is>
      </c>
      <c r="E452">
        <f>LEFT(D452,2)&amp;":"&amp;MID(D452,3,2)&amp;":"&amp;MID(D452,5,2)&amp;":"&amp;MID(D452,7,2)&amp;":"&amp;MID(D452,9,2)&amp;":"&amp;RIGHT(D452,2)</f>
        <v/>
      </c>
      <c r="F452" s="29" t="n">
        <v>44918</v>
      </c>
      <c r="G452" s="29" t="inlineStr">
        <is>
          <t>Viezo</t>
        </is>
      </c>
      <c r="H452" t="inlineStr">
        <is>
          <t>28070E35A447C69C</t>
        </is>
      </c>
      <c r="I452">
        <f>IFERROR(_xlfn.IFNA(INDEX(Sensors_MANU!$C$2:$C$4692,MATCH($D452,Sensors_MANU!$B$2:$B$4692,0)),INDEX(Sensors_MANU!$C$2:$C$4692,MATCH($P452,Sensors_MANU!$A$2:$A$4692,0))),"")</f>
        <v/>
      </c>
      <c r="J452">
        <f>IFERROR(_xlfn.IFNA(INDEX(Sensors_MANU!$D$2:$D$4692,MATCH($D452,Sensors_MANU!$B$2:$B$4692,0)),INDEX(Sensors_MANU!$D$2:$D$4692,MATCH($P452,Sensors_MANU!$A$2:$A$4692,0))),"")</f>
        <v/>
      </c>
      <c r="K452" s="27" t="inlineStr">
        <is>
          <t>33854668206-7</t>
        </is>
      </c>
      <c r="L452" s="27" t="inlineStr">
        <is>
          <t>2R</t>
        </is>
      </c>
      <c r="M452" s="27" t="n"/>
      <c r="N452" s="99">
        <f>IFERROR(INDEX(Sensors_MANU!$G$2:$G$4692,MATCH($P452,Sensors_MANU!$A$2:$A$4692,0)),)</f>
        <v/>
      </c>
      <c r="O452" s="6" t="inlineStr">
        <is>
          <t>v16</t>
        </is>
      </c>
      <c r="P452" t="n">
        <v>4978552</v>
      </c>
    </row>
    <row r="453">
      <c r="A453" s="32">
        <f>IFERROR(_xlfn.IFNA(INDEX(Sensors_MANU!$E$2:$E$4692,MATCH($D453,Sensors_MANU!$B$2:$B$4692,0)),INDEX(Sensors_MANU!$E$2:$E$4692,MATCH($P453,Sensors_MANU!$A$2:$A$4692,0))),"")</f>
        <v/>
      </c>
      <c r="B453" s="24">
        <f>IFERROR(INDEX(Companies!$A$3:$A$101,MATCH(A453,Companies!$B$3:$B$101,0)),"")</f>
        <v/>
      </c>
      <c r="C453">
        <f>IFERROR(_xlfn.IFNA(INDEX(Sensors_MANU!$F$2:$F$4692,MATCH($D453,Sensors_MANU!$B$2:$B$4692,0)),INDEX(Sensors_MANU!$F$2:$F$4692,MATCH($P453,Sensors_MANU!$A$2:$A$4692,0))),"")</f>
        <v/>
      </c>
      <c r="D453" t="inlineStr">
        <is>
          <t>E3C206BF9A4F</t>
        </is>
      </c>
      <c r="E453">
        <f>LEFT(D453,2)&amp;":"&amp;MID(D453,3,2)&amp;":"&amp;MID(D453,5,2)&amp;":"&amp;MID(D453,7,2)&amp;":"&amp;MID(D453,9,2)&amp;":"&amp;RIGHT(D453,2)</f>
        <v/>
      </c>
      <c r="F453" s="29" t="n">
        <v>44910</v>
      </c>
      <c r="G453" s="29" t="inlineStr">
        <is>
          <t>Viezo</t>
        </is>
      </c>
      <c r="H453" t="inlineStr">
        <is>
          <t>8872E07D77628555</t>
        </is>
      </c>
      <c r="I453">
        <f>IFERROR(_xlfn.IFNA(INDEX(Sensors_MANU!$C$2:$C$4692,MATCH($D453,Sensors_MANU!$B$2:$B$4692,0)),INDEX(Sensors_MANU!$C$2:$C$4692,MATCH($P453,Sensors_MANU!$A$2:$A$4692,0))),"")</f>
        <v/>
      </c>
      <c r="J453">
        <f>IFERROR(_xlfn.IFNA(INDEX(Sensors_MANU!$D$2:$D$4692,MATCH($D453,Sensors_MANU!$B$2:$B$4692,0)),INDEX(Sensors_MANU!$D$2:$D$4692,MATCH($P453,Sensors_MANU!$A$2:$A$4692,0))),"")</f>
        <v/>
      </c>
      <c r="K453" s="27" t="inlineStr">
        <is>
          <t>31834575297-2</t>
        </is>
      </c>
      <c r="L453" s="27" t="inlineStr">
        <is>
          <t>4L</t>
        </is>
      </c>
      <c r="M453" s="27" t="n"/>
      <c r="N453" s="99">
        <f>IFERROR(INDEX(Sensors_MANU!$G$2:$G$4692,MATCH($P453,Sensors_MANU!$A$2:$A$4692,0)),)</f>
        <v/>
      </c>
      <c r="O453" s="6" t="inlineStr">
        <is>
          <t>v16</t>
        </is>
      </c>
      <c r="P453" t="n">
        <v>4978871</v>
      </c>
    </row>
    <row r="454">
      <c r="A454" s="32">
        <f>IFERROR(_xlfn.IFNA(INDEX(Sensors_MANU!$E$2:$E$4692,MATCH($D454,Sensors_MANU!$B$2:$B$4692,0)),INDEX(Sensors_MANU!$E$2:$E$4692,MATCH($P454,Sensors_MANU!$A$2:$A$4692,0))),"")</f>
        <v/>
      </c>
      <c r="B454" s="24">
        <f>IFERROR(INDEX(Companies!$A$3:$A$101,MATCH(A454,Companies!$B$3:$B$101,0)),"")</f>
        <v/>
      </c>
      <c r="D454" t="inlineStr">
        <is>
          <t>D9A3CC514029</t>
        </is>
      </c>
      <c r="E454">
        <f>LEFT(D454,2)&amp;":"&amp;MID(D454,3,2)&amp;":"&amp;MID(D454,5,2)&amp;":"&amp;MID(D454,7,2)&amp;":"&amp;MID(D454,9,2)&amp;":"&amp;RIGHT(D454,2)</f>
        <v/>
      </c>
      <c r="H454" t="inlineStr">
        <is>
          <t>F881F3E9C02E1A31</t>
        </is>
      </c>
      <c r="I454">
        <f>IFERROR(_xlfn.IFNA(INDEX(Sensors_MANU!$C$2:$C$4692,MATCH($D454,Sensors_MANU!$B$2:$B$4692,0)),INDEX(Sensors_MANU!$C$2:$C$4692,MATCH($P454,Sensors_MANU!$A$2:$A$4692,0))),"")</f>
        <v/>
      </c>
      <c r="J454">
        <f>IFERROR(_xlfn.IFNA(INDEX(Sensors_MANU!$D$2:$D$4692,MATCH($D454,Sensors_MANU!$B$2:$B$4692,0)),INDEX(Sensors_MANU!$D$2:$D$4692,MATCH($P454,Sensors_MANU!$A$2:$A$4692,0))),"")</f>
        <v/>
      </c>
      <c r="K454" s="27" t="inlineStr">
        <is>
          <t>BP08</t>
        </is>
      </c>
      <c r="L454" s="27" t="inlineStr">
        <is>
          <t>1L</t>
        </is>
      </c>
    </row>
    <row r="455">
      <c r="A455" s="26" t="inlineStr">
        <is>
          <t>TANKWAGON</t>
        </is>
      </c>
      <c r="B455" s="24">
        <f>IFERROR(INDEX(Companies!$A$3:$A$101,MATCH(A455,Companies!$B$3:$B$101,0)),"")</f>
        <v/>
      </c>
      <c r="C455">
        <f>IFERROR(_xlfn.IFNA(INDEX(Sensors_MANU!$F$2:$F$4692,MATCH($D455,Sensors_MANU!$B$2:$B$4692,0)),INDEX(Sensors_MANU!$F$2:$F$4692,MATCH($P455,Sensors_MANU!$A$2:$A$4692,0))),"")</f>
        <v/>
      </c>
      <c r="D455" t="inlineStr">
        <is>
          <t>E15B72970F21</t>
        </is>
      </c>
      <c r="E455">
        <f>LEFT(D455,2)&amp;":"&amp;MID(D455,3,2)&amp;":"&amp;MID(D455,5,2)&amp;":"&amp;MID(D455,7,2)&amp;":"&amp;MID(D455,9,2)&amp;":"&amp;RIGHT(D455,2)</f>
        <v/>
      </c>
      <c r="H455" s="2" t="inlineStr">
        <is>
          <t>34541D9C7C64C14A</t>
        </is>
      </c>
      <c r="I455">
        <f>IFERROR(_xlfn.IFNA(INDEX(Sensors_MANU!$C$2:$C$4692,MATCH($D455,Sensors_MANU!$B$2:$B$4692,0)),INDEX(Sensors_MANU!$C$2:$C$4692,MATCH($P455,Sensors_MANU!$A$2:$A$4692,0))),"")</f>
        <v/>
      </c>
      <c r="J455" s="109">
        <f>IFERROR(_xlfn.IFNA(INDEX(Sensors_MANU!$D$2:$D$4692,MATCH($D455,Sensors_MANU!$B$2:$B$4692,0)),INDEX(Sensors_MANU!$D$2:$D$4692,MATCH($P455,Sensors_MANU!$A$2:$A$4692,0))),"")</f>
        <v/>
      </c>
      <c r="M455" s="27" t="n"/>
      <c r="N455" s="99">
        <f>IFERROR(INDEX(Sensors_MANU!$G$2:$G$4692,MATCH($P455,Sensors_MANU!$A$2:$A$4692,0)),)</f>
        <v/>
      </c>
      <c r="O455" s="6" t="inlineStr">
        <is>
          <t>V26</t>
        </is>
      </c>
      <c r="P455" t="n">
        <v>4978424</v>
      </c>
    </row>
    <row r="456">
      <c r="A456" s="32" t="inlineStr">
        <is>
          <t>CARGONET</t>
        </is>
      </c>
      <c r="B456" s="24">
        <f>IFERROR(INDEX(Companies!$A$3:$A$101,MATCH(A456,Companies!$B$3:$B$101,0)),"")</f>
        <v/>
      </c>
      <c r="D456" t="inlineStr">
        <is>
          <t>F0DB09968AF9</t>
        </is>
      </c>
      <c r="E456">
        <f>LEFT(D456,2)&amp;":"&amp;MID(D456,3,2)&amp;":"&amp;MID(D456,5,2)&amp;":"&amp;MID(D456,7,2)&amp;":"&amp;MID(D456,9,2)&amp;":"&amp;RIGHT(D456,2)</f>
        <v/>
      </c>
      <c r="H456" t="inlineStr">
        <is>
          <t>7D102A64059DDD7B</t>
        </is>
      </c>
      <c r="J456" t="inlineStr">
        <is>
          <t>PR2203-224</t>
        </is>
      </c>
      <c r="K456" s="27" t="inlineStr">
        <is>
          <t>33764955324-1</t>
        </is>
      </c>
      <c r="L456" s="27" t="inlineStr">
        <is>
          <t>6R</t>
        </is>
      </c>
    </row>
    <row r="457">
      <c r="A457" s="32" t="inlineStr">
        <is>
          <t>RENFE</t>
        </is>
      </c>
      <c r="B457" s="24">
        <f>IFERROR(INDEX(Companies!$A$3:$A$101,MATCH(A457,Companies!$B$3:$B$101,0)),"")</f>
        <v/>
      </c>
      <c r="C457">
        <f>IFERROR(_xlfn.IFNA(INDEX(Sensors_MANU!$F$2:$F$4692,MATCH($D457,Sensors_MANU!$B$2:$B$4692,0)),INDEX(Sensors_MANU!$F$2:$F$4692,MATCH($P457,Sensors_MANU!$A$2:$A$4692,0))),"")</f>
        <v/>
      </c>
      <c r="D457" t="inlineStr">
        <is>
          <t>EBC46E653BCC</t>
        </is>
      </c>
      <c r="E457">
        <f>LEFT(D457,2)&amp;":"&amp;MID(D457,3,2)&amp;":"&amp;MID(D457,5,2)&amp;":"&amp;MID(D457,7,2)&amp;":"&amp;MID(D457,9,2)&amp;":"&amp;RIGHT(D457,2)</f>
        <v/>
      </c>
      <c r="F457" s="29" t="n">
        <v>45083</v>
      </c>
      <c r="G457" s="29" t="inlineStr">
        <is>
          <t>Renfe</t>
        </is>
      </c>
      <c r="H457" t="inlineStr">
        <is>
          <t>901A18CC10876B91</t>
        </is>
      </c>
      <c r="J457" s="72" t="inlineStr">
        <is>
          <t>PR2203-225</t>
        </is>
      </c>
      <c r="K457" s="27" t="n">
        <v>527015</v>
      </c>
      <c r="L457" s="27" t="inlineStr">
        <is>
          <t>2R</t>
        </is>
      </c>
      <c r="M457" s="27" t="n"/>
      <c r="N457" s="99">
        <f>IFERROR(INDEX(Sensors_MANU!$G$2:$G$4692,MATCH($P457,Sensors_MANU!$A$2:$A$4692,0)),)</f>
        <v/>
      </c>
      <c r="O457" s="6" t="inlineStr">
        <is>
          <t>v16</t>
        </is>
      </c>
      <c r="P457" t="n">
        <v>4978799</v>
      </c>
    </row>
    <row r="458">
      <c r="A458" s="32">
        <f>IFERROR(_xlfn.IFNA(INDEX(Sensors_MANU!$E$2:$E$4692,MATCH($D458,Sensors_MANU!$B$2:$B$4692,0)),INDEX(Sensors_MANU!$E$2:$E$4692,MATCH($P458,Sensors_MANU!$A$2:$A$4692,0))),"")</f>
        <v/>
      </c>
      <c r="B458" s="24">
        <f>IFERROR(INDEX(Companies!$A$3:$A$101,MATCH(A458,Companies!$B$3:$B$101,0)),"")</f>
        <v/>
      </c>
      <c r="C458">
        <f>IFERROR(_xlfn.IFNA(INDEX(Sensors_MANU!$F$2:$F$4692,MATCH($D458,Sensors_MANU!$B$2:$B$4692,0)),INDEX(Sensors_MANU!$F$2:$F$4692,MATCH($P458,Sensors_MANU!$A$2:$A$4692,0))),"")</f>
        <v/>
      </c>
      <c r="D458" t="inlineStr">
        <is>
          <t>C11F9B933CA5</t>
        </is>
      </c>
      <c r="E458" s="41">
        <f>LEFT(D458,2)&amp;":"&amp;MID(D458,3,2)&amp;":"&amp;MID(D458,5,2)&amp;":"&amp;MID(D458,7,2)&amp;":"&amp;MID(D458,9,2)&amp;":"&amp;RIGHT(D458,2)</f>
        <v/>
      </c>
      <c r="H458" t="inlineStr">
        <is>
          <t>04520641E18D4F55</t>
        </is>
      </c>
      <c r="I458">
        <f>IFERROR(_xlfn.IFNA(INDEX(Sensors_MANU!$C$2:$C$4692,MATCH($D458,Sensors_MANU!$B$2:$B$4692,0)),INDEX(Sensors_MANU!$C$2:$C$4692,MATCH($P458,Sensors_MANU!$A$2:$A$4692,0))),"")</f>
        <v/>
      </c>
      <c r="J458">
        <f>IFERROR(_xlfn.IFNA(INDEX(Sensors_MANU!$D$2:$D$4692,MATCH($D458,Sensors_MANU!$B$2:$B$4692,0)),INDEX(Sensors_MANU!$D$2:$D$4692,MATCH($P458,Sensors_MANU!$A$2:$A$4692,0))),"")</f>
        <v/>
      </c>
      <c r="N458" s="99" t="inlineStr">
        <is>
          <t>The operator has the device or its lost (they got it for free), but we dont monitor it on Ubidots anymore.</t>
        </is>
      </c>
      <c r="O458" s="6" t="inlineStr">
        <is>
          <t>v17</t>
        </is>
      </c>
      <c r="P458" t="n">
        <v>4978818</v>
      </c>
    </row>
    <row r="459">
      <c r="A459" s="32" t="inlineStr">
        <is>
          <t>TANKWAGON</t>
        </is>
      </c>
      <c r="B459" s="24">
        <f>IFERROR(INDEX(Companies!$A$3:$A$101,MATCH(A459,Companies!$B$3:$B$101,0)),"")</f>
        <v/>
      </c>
      <c r="C459">
        <f>IFERROR(_xlfn.IFNA(INDEX(Sensors_MANU!$F$2:$F$4692,MATCH($D459,Sensors_MANU!$B$2:$B$4692,0)),INDEX(Sensors_MANU!$F$2:$F$4692,MATCH($P459,Sensors_MANU!$A$2:$A$4692,0))),"")</f>
        <v/>
      </c>
      <c r="D459" t="inlineStr">
        <is>
          <t>DC7DF73A85EA</t>
        </is>
      </c>
      <c r="E459">
        <f>LEFT(D459,2)&amp;":"&amp;MID(D459,3,2)&amp;":"&amp;MID(D459,5,2)&amp;":"&amp;MID(D459,7,2)&amp;":"&amp;MID(D459,9,2)&amp;":"&amp;RIGHT(D459,2)</f>
        <v/>
      </c>
      <c r="H459" s="2" t="inlineStr">
        <is>
          <t>4E6C2FBD9E9FCCF7</t>
        </is>
      </c>
      <c r="I459">
        <f>IFERROR(_xlfn.IFNA(INDEX(Sensors_MANU!$C$2:$C$4692,MATCH($D459,Sensors_MANU!$B$2:$B$4692,0)),INDEX(Sensors_MANU!$C$2:$C$4692,MATCH($P459,Sensors_MANU!$A$2:$A$4692,0))),"")</f>
        <v/>
      </c>
      <c r="J459" s="109">
        <f>IFERROR(_xlfn.IFNA(INDEX(Sensors_MANU!$D$2:$D$4692,MATCH($D459,Sensors_MANU!$B$2:$B$4692,0)),INDEX(Sensors_MANU!$D$2:$D$4692,MATCH($P459,Sensors_MANU!$A$2:$A$4692,0))),"")</f>
        <v/>
      </c>
      <c r="M459" s="27" t="n"/>
      <c r="N459" s="99">
        <f>IFERROR(INDEX(Sensors_MANU!$G$2:$G$4692,MATCH($P459,Sensors_MANU!$A$2:$A$4692,0)),)</f>
        <v/>
      </c>
      <c r="O459" s="6" t="inlineStr">
        <is>
          <t>V26</t>
        </is>
      </c>
      <c r="P459" t="n">
        <v>4978600</v>
      </c>
    </row>
    <row r="460">
      <c r="A460" s="32">
        <f>IFERROR(_xlfn.IFNA(INDEX(Sensors_MANU!$E$2:$E$4692,MATCH($D460,Sensors_MANU!$B$2:$B$4692,0)),INDEX(Sensors_MANU!$E$2:$E$4692,MATCH($P460,Sensors_MANU!$A$2:$A$4692,0))),"")</f>
        <v/>
      </c>
      <c r="B460" s="24">
        <f>IFERROR(INDEX(Companies!$A$3:$A$101,MATCH(A460,Companies!$B$3:$B$101,0)),"")</f>
        <v/>
      </c>
      <c r="D460" t="inlineStr">
        <is>
          <t>E23733BE9036</t>
        </is>
      </c>
      <c r="E460">
        <f>LEFT(D460,2)&amp;":"&amp;MID(D460,3,2)&amp;":"&amp;MID(D460,5,2)&amp;":"&amp;MID(D460,7,2)&amp;":"&amp;MID(D460,9,2)&amp;":"&amp;RIGHT(D460,2)</f>
        <v/>
      </c>
      <c r="F460" s="29" t="n">
        <v>44953</v>
      </c>
      <c r="G460" s="29" t="inlineStr">
        <is>
          <t>Fertagus</t>
        </is>
      </c>
      <c r="H460" t="inlineStr">
        <is>
          <t>AEDB2C36D3CD9D7C</t>
        </is>
      </c>
      <c r="I460">
        <f>IFERROR(_xlfn.IFNA(INDEX(Sensors_MANU!$C$2:$C$4692,MATCH($D460,Sensors_MANU!$B$2:$B$4692,0)),INDEX(Sensors_MANU!$C$2:$C$4692,MATCH($P460,Sensors_MANU!$A$2:$A$4692,0))),"")</f>
        <v/>
      </c>
      <c r="J460">
        <f>IFERROR(_xlfn.IFNA(INDEX(Sensors_MANU!$D$2:$D$4692,MATCH($D460,Sensors_MANU!$B$2:$B$4692,0)),INDEX(Sensors_MANU!$D$2:$D$4692,MATCH($P460,Sensors_MANU!$A$2:$A$4692,0))),"")</f>
        <v/>
      </c>
      <c r="K460" s="27" t="inlineStr">
        <is>
          <t>R3505</t>
        </is>
      </c>
      <c r="L460" s="27" t="inlineStr">
        <is>
          <t>4R</t>
        </is>
      </c>
    </row>
    <row r="461">
      <c r="A461" s="32" t="inlineStr">
        <is>
          <t>TANKWAGON</t>
        </is>
      </c>
      <c r="B461" s="24">
        <f>IFERROR(INDEX(Companies!$A$3:$A$101,MATCH(A461,Companies!$B$3:$B$101,0)),"")</f>
        <v/>
      </c>
      <c r="C461">
        <f>IFERROR(_xlfn.IFNA(INDEX(Sensors_MANU!$F$2:$F$4692,MATCH($D461,Sensors_MANU!$B$2:$B$4692,0)),INDEX(Sensors_MANU!$F$2:$F$4692,MATCH($P461,Sensors_MANU!$A$2:$A$4692,0))),"")</f>
        <v/>
      </c>
      <c r="D461" t="inlineStr">
        <is>
          <t>E491095B795A</t>
        </is>
      </c>
      <c r="E461">
        <f>LEFT(D461,2)&amp;":"&amp;MID(D461,3,2)&amp;":"&amp;MID(D461,5,2)&amp;":"&amp;MID(D461,7,2)&amp;":"&amp;MID(D461,9,2)&amp;":"&amp;RIGHT(D461,2)</f>
        <v/>
      </c>
      <c r="H461" s="2" t="inlineStr">
        <is>
          <t>B450D6DFA50711BA</t>
        </is>
      </c>
      <c r="J461" s="109" t="inlineStr">
        <is>
          <t>PR2203-232</t>
        </is>
      </c>
      <c r="O461" s="6" t="inlineStr">
        <is>
          <t>V26</t>
        </is>
      </c>
    </row>
    <row r="462">
      <c r="B462" s="24">
        <f>IFERROR(INDEX(Companies!$A$3:$A$101,MATCH(A462,Companies!$B$3:$B$101,0)),"")</f>
        <v/>
      </c>
      <c r="C462">
        <f>IFERROR(_xlfn.IFNA(INDEX(Sensors_MANU!$F$2:$F$4692,MATCH($D462,Sensors_MANU!$B$2:$B$4692,0)),INDEX(Sensors_MANU!$F$2:$F$4692,MATCH($P462,Sensors_MANU!$A$2:$A$4692,0))),"")</f>
        <v/>
      </c>
      <c r="D462" t="inlineStr">
        <is>
          <t>FEBC7C3544C8</t>
        </is>
      </c>
      <c r="E462" s="24">
        <f>LEFT(D462,2)&amp;":"&amp;MID(D462,3,2)&amp;":"&amp;MID(D462,5,2)&amp;":"&amp;MID(D462,7,2)&amp;":"&amp;MID(D462,9,2)&amp;":"&amp;RIGHT(D462,2)</f>
        <v/>
      </c>
      <c r="H462" t="inlineStr">
        <is>
          <t>B52D96B68906E05E</t>
        </is>
      </c>
      <c r="I462">
        <f>IFERROR(_xlfn.IFNA(INDEX(Sensors_MANU!$C$2:$C$4692,MATCH($D462,Sensors_MANU!$B$2:$B$4692,0)),INDEX(Sensors_MANU!$C$2:$C$4692,MATCH($P462,Sensors_MANU!$A$2:$A$4692,0))),"")</f>
        <v/>
      </c>
      <c r="J462">
        <f>IFERROR(_xlfn.IFNA(INDEX(Sensors_MANU!$D$2:$D$4692,MATCH($D462,Sensors_MANU!$B$2:$B$4692,0)),INDEX(Sensors_MANU!$D$2:$D$4692,MATCH($P462,Sensors_MANU!$A$2:$A$4692,0))),"")</f>
        <v/>
      </c>
      <c r="N462" s="99">
        <f>IFERROR(INDEX(Sensors_MANU!$G$2:$G$4692,MATCH($P462,Sensors_MANU!$A$2:$A$4692,0)),)</f>
        <v/>
      </c>
      <c r="O462" s="6" t="inlineStr">
        <is>
          <t>v17</t>
        </is>
      </c>
      <c r="P462" t="n">
        <v>4978813</v>
      </c>
    </row>
    <row r="463">
      <c r="A463" s="32">
        <f>IFERROR(_xlfn.IFNA(INDEX(Sensors_MANU!$E$2:$E$4692,MATCH($D463,Sensors_MANU!$B$2:$B$4692,0)),INDEX(Sensors_MANU!$E$2:$E$4692,MATCH($P463,Sensors_MANU!$A$2:$A$4692,0))),"")</f>
        <v/>
      </c>
      <c r="B463" s="24">
        <f>IFERROR(INDEX(Companies!$A$3:$A$101,MATCH(A463,Companies!$B$3:$B$101,0)),"")</f>
        <v/>
      </c>
      <c r="C463">
        <f>IFERROR(_xlfn.IFNA(INDEX(Sensors_MANU!$F$2:$F$4692,MATCH($D463,Sensors_MANU!$B$2:$B$4692,0)),INDEX(Sensors_MANU!$F$2:$F$4692,MATCH($P463,Sensors_MANU!$A$2:$A$4692,0))),"")</f>
        <v/>
      </c>
      <c r="D463" t="inlineStr">
        <is>
          <t>E7EB61701971</t>
        </is>
      </c>
      <c r="E463" s="24">
        <f>LEFT(D463,2)&amp;":"&amp;MID(D463,3,2)&amp;":"&amp;MID(D463,5,2)&amp;":"&amp;MID(D463,7,2)&amp;":"&amp;MID(D463,9,2)&amp;":"&amp;RIGHT(D463,2)</f>
        <v/>
      </c>
      <c r="H463" t="inlineStr">
        <is>
          <t>C1B49EBA6180D174</t>
        </is>
      </c>
      <c r="I463">
        <f>IFERROR(_xlfn.IFNA(INDEX(Sensors_MANU!$C$2:$C$4692,MATCH($D463,Sensors_MANU!$B$2:$B$4692,0)),INDEX(Sensors_MANU!$C$2:$C$4692,MATCH($P463,Sensors_MANU!$A$2:$A$4692,0))),"")</f>
        <v/>
      </c>
      <c r="J463" s="25">
        <f>IFERROR(_xlfn.IFNA(INDEX(Sensors_MANU!$D$2:$D$4692,MATCH($D463,Sensors_MANU!$B$2:$B$4692,0)),INDEX(Sensors_MANU!$D$2:$D$4692,MATCH($P463,Sensors_MANU!$A$2:$A$4692,0))),"")</f>
        <v/>
      </c>
      <c r="N463" s="99">
        <f>IFERROR(INDEX(Sensors_MANU!$G$2:$G$4692,MATCH($P463,Sensors_MANU!$A$2:$A$4692,0)),)</f>
        <v/>
      </c>
      <c r="O463" s="6" t="inlineStr">
        <is>
          <t>v17</t>
        </is>
      </c>
      <c r="P463" t="n">
        <v>4978527</v>
      </c>
    </row>
    <row r="464">
      <c r="A464" s="32">
        <f>IFERROR(_xlfn.IFNA(INDEX(Sensors_MANU!$E$2:$E$4692,MATCH($D464,Sensors_MANU!$B$2:$B$4692,0)),INDEX(Sensors_MANU!$E$2:$E$4692,MATCH($P464,Sensors_MANU!$A$2:$A$4692,0))),"")</f>
        <v/>
      </c>
      <c r="B464" s="24">
        <f>IFERROR(INDEX(Companies!$A$3:$A$101,MATCH(A464,Companies!$B$3:$B$101,0)),"")</f>
        <v/>
      </c>
      <c r="C464" t="inlineStr">
        <is>
          <t>cargo</t>
        </is>
      </c>
      <c r="D464" t="inlineStr">
        <is>
          <t>DDAD233EA632</t>
        </is>
      </c>
      <c r="E464">
        <f>LEFT(D464,2)&amp;":"&amp;MID(D464,3,2)&amp;":"&amp;MID(D464,5,2)&amp;":"&amp;MID(D464,7,2)&amp;":"&amp;MID(D464,9,2)&amp;":"&amp;RIGHT(D464,2)</f>
        <v/>
      </c>
      <c r="F464" s="29" t="n">
        <v>44910</v>
      </c>
      <c r="G464" s="29" t="inlineStr">
        <is>
          <t>Viezo</t>
        </is>
      </c>
      <c r="H464" t="inlineStr">
        <is>
          <t>EDA4C640EDB13ECE</t>
        </is>
      </c>
      <c r="I464" s="6">
        <f>IFERROR(_xlfn.IFNA(INDEX(Sensors_MANU!$C$2:$C$4692,MATCH($D464,Sensors_MANU!$B$2:$B$4692,0)),INDEX(Sensors_MANU!$C$2:$C$4692,MATCH($P464,Sensors_MANU!$A$2:$A$4692,0))),"")</f>
        <v/>
      </c>
      <c r="J464">
        <f>IFERROR(_xlfn.IFNA(INDEX(Sensors_MANU!$D$2:$D$4692,MATCH($D464,Sensors_MANU!$B$2:$B$4692,0)),INDEX(Sensors_MANU!$D$2:$D$4692,MATCH($P464,Sensors_MANU!$A$2:$A$4692,0))),"")</f>
        <v/>
      </c>
      <c r="K464" s="32" t="inlineStr">
        <is>
          <t>31833916514-0</t>
        </is>
      </c>
      <c r="L464" s="32" t="inlineStr">
        <is>
          <t>1R</t>
        </is>
      </c>
      <c r="M464" s="32" t="n"/>
      <c r="N464" s="99">
        <f>IFERROR(INDEX(Sensors_MANU!$G$2:$G$4692,MATCH($P464,Sensors_MANU!$A$2:$A$4692,0)),)</f>
        <v/>
      </c>
      <c r="O464" s="6" t="inlineStr">
        <is>
          <t>v15</t>
        </is>
      </c>
      <c r="P464" t="n">
        <v>4978693</v>
      </c>
    </row>
    <row r="465">
      <c r="A465" s="32">
        <f>IFERROR(_xlfn.IFNA(INDEX(Sensors_MANU!$E$2:$E$4692,MATCH($D465,Sensors_MANU!$B$2:$B$4692,0)),INDEX(Sensors_MANU!$E$2:$E$4692,MATCH($P465,Sensors_MANU!$A$2:$A$4692,0))),"")</f>
        <v/>
      </c>
      <c r="B465" s="24">
        <f>IFERROR(INDEX(Companies!$A$3:$A$101,MATCH(A465,Companies!$B$3:$B$101,0)),"")</f>
        <v/>
      </c>
      <c r="C465">
        <f>IFERROR(_xlfn.IFNA(INDEX(Sensors_MANU!$F$2:$F$4692,MATCH($D465,Sensors_MANU!$B$2:$B$4692,0)),INDEX(Sensors_MANU!$F$2:$F$4692,MATCH($P465,Sensors_MANU!$A$2:$A$4692,0))),"")</f>
        <v/>
      </c>
      <c r="D465" t="inlineStr">
        <is>
          <t>C14A486C51DA</t>
        </is>
      </c>
      <c r="E465">
        <f>LEFT(D465,2)&amp;":"&amp;MID(D465,3,2)&amp;":"&amp;MID(D465,5,2)&amp;":"&amp;MID(D465,7,2)&amp;":"&amp;MID(D465,9,2)&amp;":"&amp;RIGHT(D465,2)</f>
        <v/>
      </c>
      <c r="F465" s="29" t="n">
        <v>44918</v>
      </c>
      <c r="G465" s="29" t="inlineStr">
        <is>
          <t>Hupac</t>
        </is>
      </c>
      <c r="H465" t="inlineStr">
        <is>
          <t>8C363F36F8BF2E42</t>
        </is>
      </c>
      <c r="I465">
        <f>IFERROR(_xlfn.IFNA(INDEX(Sensors_MANU!$C$2:$C$4692,MATCH($D465,Sensors_MANU!$B$2:$B$4692,0)),INDEX(Sensors_MANU!$C$2:$C$4692,MATCH($P465,Sensors_MANU!$A$2:$A$4692,0))),"")</f>
        <v/>
      </c>
      <c r="J465">
        <f>IFERROR(_xlfn.IFNA(INDEX(Sensors_MANU!$D$2:$D$4692,MATCH($D465,Sensors_MANU!$B$2:$B$4692,0)),INDEX(Sensors_MANU!$D$2:$D$4692,MATCH($P465,Sensors_MANU!$A$2:$A$4692,0))),"")</f>
        <v/>
      </c>
      <c r="K465" s="27" t="inlineStr">
        <is>
          <t>33854956673-9</t>
        </is>
      </c>
      <c r="L465" s="27" t="inlineStr">
        <is>
          <t>8b</t>
        </is>
      </c>
      <c r="M465" s="61" t="inlineStr">
        <is>
          <t>88190146</t>
        </is>
      </c>
    </row>
    <row r="466">
      <c r="A466" s="32">
        <f>IFERROR(_xlfn.IFNA(INDEX(Sensors_MANU!$E$2:$E$4692,MATCH($D466,Sensors_MANU!$B$2:$B$4692,0)),INDEX(Sensors_MANU!$E$2:$E$4692,MATCH($P466,Sensors_MANU!$A$2:$A$4692,0))),"")</f>
        <v/>
      </c>
      <c r="B466" s="24">
        <f>IFERROR(INDEX(Companies!$A$3:$A$101,MATCH(A466,Companies!$B$3:$B$101,0)),"")</f>
        <v/>
      </c>
      <c r="C466">
        <f>IFERROR(_xlfn.IFNA(INDEX(Sensors_MANU!$F$2:$F$4692,MATCH($D466,Sensors_MANU!$B$2:$B$4692,0)),INDEX(Sensors_MANU!$F$2:$F$4692,MATCH($P466,Sensors_MANU!$A$2:$A$4692,0))),"")</f>
        <v/>
      </c>
      <c r="D466" t="inlineStr">
        <is>
          <t>E4613F05AB10</t>
        </is>
      </c>
      <c r="E466">
        <f>LEFT(D466,2)&amp;":"&amp;MID(D466,3,2)&amp;":"&amp;MID(D466,5,2)&amp;":"&amp;MID(D466,7,2)&amp;":"&amp;MID(D466,9,2)&amp;":"&amp;RIGHT(D466,2)</f>
        <v/>
      </c>
      <c r="F466" s="29" t="n">
        <v>44910</v>
      </c>
      <c r="G466" s="29" t="inlineStr">
        <is>
          <t>Viezo</t>
        </is>
      </c>
      <c r="H466" t="inlineStr">
        <is>
          <t>AC3FB5D5B2BA5AE5</t>
        </is>
      </c>
      <c r="I466">
        <f>IFERROR(_xlfn.IFNA(INDEX(Sensors_MANU!$C$2:$C$4692,MATCH($D466,Sensors_MANU!$B$2:$B$4692,0)),INDEX(Sensors_MANU!$C$2:$C$4692,MATCH($P466,Sensors_MANU!$A$2:$A$4692,0))),"")</f>
        <v/>
      </c>
      <c r="J466">
        <f>IFERROR(_xlfn.IFNA(INDEX(Sensors_MANU!$D$2:$D$4692,MATCH($D466,Sensors_MANU!$B$2:$B$4692,0)),INDEX(Sensors_MANU!$D$2:$D$4692,MATCH($P466,Sensors_MANU!$A$2:$A$4692,0))),"")</f>
        <v/>
      </c>
      <c r="K466" s="27" t="inlineStr">
        <is>
          <t>31833916501-7</t>
        </is>
      </c>
      <c r="L466" s="27" t="inlineStr">
        <is>
          <t>3R</t>
        </is>
      </c>
      <c r="M466" s="27" t="n"/>
      <c r="N466" s="99">
        <f>IFERROR(INDEX(Sensors_MANU!$G$2:$G$4692,MATCH($P466,Sensors_MANU!$A$2:$A$4692,0)),)</f>
        <v/>
      </c>
      <c r="O466" s="6" t="inlineStr">
        <is>
          <t>v16</t>
        </is>
      </c>
      <c r="P466" t="n">
        <v>4978626</v>
      </c>
    </row>
    <row r="467">
      <c r="A467" s="32">
        <f>IFERROR(_xlfn.IFNA(INDEX(Sensors_MANU!$E$2:$E$4692,MATCH($D467,Sensors_MANU!$B$2:$B$4692,0)),INDEX(Sensors_MANU!$E$2:$E$4692,MATCH($P467,Sensors_MANU!$A$2:$A$4692,0))),"")</f>
        <v/>
      </c>
      <c r="B467" s="24">
        <f>IFERROR(INDEX(Companies!$A$3:$A$101,MATCH(A467,Companies!$B$3:$B$101,0)),"")</f>
        <v/>
      </c>
      <c r="C467">
        <f>IFERROR(_xlfn.IFNA(INDEX(Sensors_MANU!$F$2:$F$4692,MATCH($D467,Sensors_MANU!$B$2:$B$4692,0)),INDEX(Sensors_MANU!$F$2:$F$4692,MATCH($P467,Sensors_MANU!$A$2:$A$4692,0))),"")</f>
        <v/>
      </c>
      <c r="D467" t="inlineStr">
        <is>
          <t>CA7A7109358E</t>
        </is>
      </c>
      <c r="E467">
        <f>LEFT(D467,2)&amp;":"&amp;MID(D467,3,2)&amp;":"&amp;MID(D467,5,2)&amp;":"&amp;MID(D467,7,2)&amp;":"&amp;MID(D467,9,2)&amp;":"&amp;RIGHT(D467,2)</f>
        <v/>
      </c>
      <c r="F467" s="29" t="n">
        <v>44910</v>
      </c>
      <c r="G467" s="29" t="inlineStr">
        <is>
          <t>Viezo</t>
        </is>
      </c>
      <c r="H467" t="inlineStr">
        <is>
          <t>A0F2576E795A89AE</t>
        </is>
      </c>
      <c r="I467">
        <f>IFERROR(_xlfn.IFNA(INDEX(Sensors_MANU!$C$2:$C$4692,MATCH($D467,Sensors_MANU!$B$2:$B$4692,0)),INDEX(Sensors_MANU!$C$2:$C$4692,MATCH($P467,Sensors_MANU!$A$2:$A$4692,0))),"")</f>
        <v/>
      </c>
      <c r="J467">
        <f>IFERROR(_xlfn.IFNA(INDEX(Sensors_MANU!$D$2:$D$4692,MATCH($D467,Sensors_MANU!$B$2:$B$4692,0)),INDEX(Sensors_MANU!$D$2:$D$4692,MATCH($P467,Sensors_MANU!$A$2:$A$4692,0))),"")</f>
        <v/>
      </c>
      <c r="K467" s="27" t="inlineStr">
        <is>
          <t>31834589939-3</t>
        </is>
      </c>
      <c r="L467" s="27" t="inlineStr">
        <is>
          <t>4R</t>
        </is>
      </c>
      <c r="M467" s="27" t="n"/>
      <c r="N467" s="99">
        <f>IFERROR(INDEX(Sensors_MANU!$G$2:$G$4692,MATCH($P467,Sensors_MANU!$A$2:$A$4692,0)),)</f>
        <v/>
      </c>
      <c r="O467" s="6" t="inlineStr">
        <is>
          <t>v16</t>
        </is>
      </c>
      <c r="P467" t="n">
        <v>4978902</v>
      </c>
    </row>
    <row r="468">
      <c r="A468" s="32">
        <f>IFERROR(_xlfn.IFNA(INDEX(Sensors_MANU!$E$2:$E$4692,MATCH($D468,Sensors_MANU!$B$2:$B$4692,0)),INDEX(Sensors_MANU!$E$2:$E$4692,MATCH($P468,Sensors_MANU!$A$2:$A$4692,0))),"")</f>
        <v/>
      </c>
      <c r="B468" s="24">
        <f>IFERROR(INDEX(Companies!$A$3:$A$101,MATCH(A468,Companies!$B$3:$B$101,0)),"")</f>
        <v/>
      </c>
      <c r="C468">
        <f>IFERROR(_xlfn.IFNA(INDEX(Sensors_MANU!$F$2:$F$4692,MATCH($D468,Sensors_MANU!$B$2:$B$4692,0)),INDEX(Sensors_MANU!$F$2:$F$4692,MATCH($P468,Sensors_MANU!$A$2:$A$4692,0))),"")</f>
        <v/>
      </c>
      <c r="D468" t="inlineStr">
        <is>
          <t>F8BFAD72265A</t>
        </is>
      </c>
      <c r="E468" s="24">
        <f>LEFT(D468,2)&amp;":"&amp;MID(D468,3,2)&amp;":"&amp;MID(D468,5,2)&amp;":"&amp;MID(D468,7,2)&amp;":"&amp;MID(D468,9,2)&amp;":"&amp;RIGHT(D468,2)</f>
        <v/>
      </c>
      <c r="F468" s="29" t="n">
        <v>44888</v>
      </c>
      <c r="G468" s="29" t="inlineStr">
        <is>
          <t>SGL</t>
        </is>
      </c>
      <c r="H468" t="inlineStr">
        <is>
          <t>297419DB9AA24B78</t>
        </is>
      </c>
      <c r="I468">
        <f>IFERROR(_xlfn.IFNA(INDEX(Sensors_MANU!$C$2:$C$4692,MATCH($D468,Sensors_MANU!$B$2:$B$4692,0)),INDEX(Sensors_MANU!$C$2:$C$4692,MATCH($P468,Sensors_MANU!$A$2:$A$4692,0))),"")</f>
        <v/>
      </c>
      <c r="J468">
        <f>IFERROR(_xlfn.IFNA(INDEX(Sensors_MANU!$D$2:$D$4692,MATCH($D468,Sensors_MANU!$B$2:$B$4692,0)),INDEX(Sensors_MANU!$D$2:$D$4692,MATCH($P468,Sensors_MANU!$A$2:$A$4692,0))),"")</f>
        <v/>
      </c>
      <c r="K468" s="27" t="inlineStr">
        <is>
          <t>3354-3937-523-9</t>
        </is>
      </c>
      <c r="N468" s="99" t="inlineStr">
        <is>
          <t>The operator has the device or its lost (they paid for it), but we dont monitor it on Ubidots anymore.</t>
        </is>
      </c>
      <c r="O468" s="6" t="inlineStr">
        <is>
          <t>V24</t>
        </is>
      </c>
    </row>
    <row r="469">
      <c r="A469" s="32">
        <f>IFERROR(_xlfn.IFNA(INDEX(Sensors_MANU!$E$2:$E$4692,MATCH($D469,Sensors_MANU!$B$2:$B$4692,0)),INDEX(Sensors_MANU!$E$2:$E$4692,MATCH($P469,Sensors_MANU!$A$2:$A$4692,0))),"")</f>
        <v/>
      </c>
      <c r="B469" s="24">
        <f>IFERROR(INDEX(Companies!$A$3:$A$101,MATCH(A469,Companies!$B$3:$B$101,0)),"")</f>
        <v/>
      </c>
      <c r="C469">
        <f>IFERROR(_xlfn.IFNA(INDEX(Sensors_MANU!$F$2:$F$4692,MATCH($D469,Sensors_MANU!$B$2:$B$4692,0)),INDEX(Sensors_MANU!$F$2:$F$4692,MATCH($P469,Sensors_MANU!$A$2:$A$4692,0))),"")</f>
        <v/>
      </c>
      <c r="D469" t="inlineStr">
        <is>
          <t>F37099CA6B81</t>
        </is>
      </c>
      <c r="E469" s="41">
        <f>LEFT(D469,2)&amp;":"&amp;MID(D469,3,2)&amp;":"&amp;MID(D469,5,2)&amp;":"&amp;MID(D469,7,2)&amp;":"&amp;MID(D469,9,2)&amp;":"&amp;RIGHT(D469,2)</f>
        <v/>
      </c>
      <c r="H469" t="inlineStr">
        <is>
          <t>8B4CDF755C851E72</t>
        </is>
      </c>
      <c r="I469">
        <f>IFERROR(_xlfn.IFNA(INDEX(Sensors_MANU!$C$2:$C$4692,MATCH($D469,Sensors_MANU!$B$2:$B$4692,0)),INDEX(Sensors_MANU!$C$2:$C$4692,MATCH($P469,Sensors_MANU!$A$2:$A$4692,0))),"")</f>
        <v/>
      </c>
      <c r="J469">
        <f>IFERROR(_xlfn.IFNA(INDEX(Sensors_MANU!$D$2:$D$4692,MATCH($D469,Sensors_MANU!$B$2:$B$4692,0)),INDEX(Sensors_MANU!$D$2:$D$4692,MATCH($P469,Sensors_MANU!$A$2:$A$4692,0))),"")</f>
        <v/>
      </c>
      <c r="N469" s="99" t="inlineStr">
        <is>
          <t>The operator has the device or its lost (they got it for free), but we dont monitor it on Ubidots anymore.</t>
        </is>
      </c>
      <c r="O469" s="6" t="inlineStr">
        <is>
          <t>v17</t>
        </is>
      </c>
      <c r="P469" t="n">
        <v>4978545</v>
      </c>
    </row>
    <row r="470">
      <c r="B470" s="24">
        <f>IFERROR(INDEX(Companies!$A$3:$A$101,MATCH(A470,Companies!$B$3:$B$101,0)),"")</f>
        <v/>
      </c>
      <c r="C470">
        <f>IFERROR(_xlfn.IFNA(INDEX(Sensors_MANU!$F$2:$F$4692,MATCH($D470,Sensors_MANU!$B$2:$B$4692,0)),INDEX(Sensors_MANU!$F$2:$F$4692,MATCH($P470,Sensors_MANU!$A$2:$A$4692,0))),"")</f>
        <v/>
      </c>
      <c r="D470" t="inlineStr">
        <is>
          <t>FB7CBE12B66D</t>
        </is>
      </c>
      <c r="E470">
        <f>LEFT(D470,2)&amp;":"&amp;MID(D470,3,2)&amp;":"&amp;MID(D470,5,2)&amp;":"&amp;MID(D470,7,2)&amp;":"&amp;MID(D470,9,2)&amp;":"&amp;RIGHT(D470,2)</f>
        <v/>
      </c>
      <c r="H470" t="inlineStr">
        <is>
          <t>9A89066CEC659F9F</t>
        </is>
      </c>
      <c r="I470">
        <f>IFERROR(_xlfn.IFNA(INDEX(Sensors_MANU!$C$2:$C$4692,MATCH($D470,Sensors_MANU!$B$2:$B$4692,0)),INDEX(Sensors_MANU!$C$2:$C$4692,MATCH($P470,Sensors_MANU!$A$2:$A$4692,0))),"")</f>
        <v/>
      </c>
      <c r="J470" s="107">
        <f>IFERROR(_xlfn.IFNA(INDEX(Sensors_MANU!$D$2:$D$4692,MATCH($D470,Sensors_MANU!$B$2:$B$4692,0)),INDEX(Sensors_MANU!$D$2:$D$4692,MATCH($P470,Sensors_MANU!$A$2:$A$4692,0))),"")</f>
        <v/>
      </c>
      <c r="K470" s="35" t="n"/>
      <c r="L470" s="35" t="n"/>
      <c r="M470" s="35" t="n"/>
      <c r="O470" s="6" t="inlineStr">
        <is>
          <t>v15</t>
        </is>
      </c>
      <c r="P470" t="n">
        <v>4978880</v>
      </c>
    </row>
    <row r="471">
      <c r="A471" s="32">
        <f>IFERROR(_xlfn.IFNA(INDEX(Sensors_MANU!$E$2:$E$4692,MATCH($D471,Sensors_MANU!$B$2:$B$4692,0)),INDEX(Sensors_MANU!$E$2:$E$4692,MATCH($P471,Sensors_MANU!$A$2:$A$4692,0))),"")</f>
        <v/>
      </c>
      <c r="B471" s="24" t="inlineStr">
        <is>
          <t>64818ba10166b80f8d06f5fa</t>
        </is>
      </c>
      <c r="C471">
        <f>IFERROR(_xlfn.IFNA(INDEX(Sensors_MANU!$F$2:$F$4692,MATCH($D471,Sensors_MANU!$B$2:$B$4692,0)),INDEX(Sensors_MANU!$F$2:$F$4692,MATCH($P471,Sensors_MANU!$A$2:$A$4692,0))),"")</f>
        <v/>
      </c>
      <c r="D471" t="inlineStr">
        <is>
          <t>D4D0DDA7EEE3</t>
        </is>
      </c>
      <c r="E471" s="24">
        <f>LEFT(D471,2)&amp;":"&amp;MID(D471,3,2)&amp;":"&amp;MID(D471,5,2)&amp;":"&amp;MID(D471,7,2)&amp;":"&amp;MID(D471,9,2)&amp;":"&amp;RIGHT(D471,2)</f>
        <v/>
      </c>
      <c r="F471" s="29" t="n">
        <v>45090</v>
      </c>
      <c r="G471" s="29" t="inlineStr">
        <is>
          <t>VIEZO</t>
        </is>
      </c>
      <c r="H471" t="inlineStr">
        <is>
          <t>02D3CEDCDEC40C7A</t>
        </is>
      </c>
      <c r="I471">
        <f>IFERROR(_xlfn.IFNA(INDEX(Sensors_MANU!$C$2:$C$4692,MATCH($D471,Sensors_MANU!$B$2:$B$4692,0)),INDEX(Sensors_MANU!$C$2:$C$4692,MATCH($P471,Sensors_MANU!$A$2:$A$4692,0))),"")</f>
        <v/>
      </c>
      <c r="J471">
        <f>IFERROR(_xlfn.IFNA(INDEX(Sensors_MANU!$D$2:$D$4692,MATCH($D471,Sensors_MANU!$B$2:$B$4692,0)),INDEX(Sensors_MANU!$D$2:$D$4692,MATCH($P471,Sensors_MANU!$A$2:$A$4692,0))),"")</f>
        <v/>
      </c>
      <c r="K471" s="27" t="inlineStr">
        <is>
          <t>33802742265-2</t>
        </is>
      </c>
      <c r="L471" s="27" t="inlineStr">
        <is>
          <t>2R</t>
        </is>
      </c>
      <c r="N471" s="99">
        <f>IFERROR(INDEX(Sensors_MANU!$G$2:$G$4692,MATCH($P471,Sensors_MANU!$A$2:$A$4692,0)),)</f>
        <v/>
      </c>
      <c r="O471" s="6" t="inlineStr">
        <is>
          <t>v17</t>
        </is>
      </c>
      <c r="P471" t="n">
        <v>4978583</v>
      </c>
    </row>
    <row r="472">
      <c r="A472" s="32" t="inlineStr">
        <is>
          <t>TANKWAGON</t>
        </is>
      </c>
      <c r="B472" s="24">
        <f>IFERROR(INDEX(Companies!$A$3:$A$101,MATCH(A472,Companies!$B$3:$B$101,0)),"")</f>
        <v/>
      </c>
      <c r="C472">
        <f>IFERROR(_xlfn.IFNA(INDEX(Sensors_MANU!$F$2:$F$4692,MATCH($D472,Sensors_MANU!$B$2:$B$4692,0)),INDEX(Sensors_MANU!$F$2:$F$4692,MATCH($P472,Sensors_MANU!$A$2:$A$4692,0))),"")</f>
        <v/>
      </c>
      <c r="D472" t="inlineStr">
        <is>
          <t>C3EDC556F03C</t>
        </is>
      </c>
      <c r="E472">
        <f>LEFT(D472,2)&amp;":"&amp;MID(D472,3,2)&amp;":"&amp;MID(D472,5,2)&amp;":"&amp;MID(D472,7,2)&amp;":"&amp;MID(D472,9,2)&amp;":"&amp;RIGHT(D472,2)</f>
        <v/>
      </c>
      <c r="H472" s="2" t="inlineStr">
        <is>
          <t>BA0C3A8DA4A68ED9</t>
        </is>
      </c>
      <c r="I472">
        <f>IFERROR(_xlfn.IFNA(INDEX(Sensors_MANU!$C$2:$C$4692,MATCH($D472,Sensors_MANU!$B$2:$B$4692,0)),INDEX(Sensors_MANU!$C$2:$C$4692,MATCH($P472,Sensors_MANU!$A$2:$A$4692,0))),"")</f>
        <v/>
      </c>
      <c r="J472" s="109">
        <f>IFERROR(_xlfn.IFNA(INDEX(Sensors_MANU!$D$2:$D$4692,MATCH($D472,Sensors_MANU!$B$2:$B$4692,0)),INDEX(Sensors_MANU!$D$2:$D$4692,MATCH($P472,Sensors_MANU!$A$2:$A$4692,0))),"")</f>
        <v/>
      </c>
      <c r="M472" s="27" t="n"/>
      <c r="N472" s="99">
        <f>IFERROR(INDEX(Sensors_MANU!$G$2:$G$4692,MATCH($P472,Sensors_MANU!$A$2:$A$4692,0)),)</f>
        <v/>
      </c>
      <c r="O472" s="6" t="inlineStr">
        <is>
          <t>V26</t>
        </is>
      </c>
      <c r="P472" t="n">
        <v>4978892</v>
      </c>
    </row>
    <row r="473">
      <c r="A473" s="32">
        <f>IFERROR(_xlfn.IFNA(INDEX(Sensors_MANU!$E$2:$E$4692,MATCH($D473,Sensors_MANU!$B$2:$B$4692,0)),INDEX(Sensors_MANU!$E$2:$E$4692,MATCH($P473,Sensors_MANU!$A$2:$A$4692,0))),"")</f>
        <v/>
      </c>
      <c r="B473" s="24">
        <f>IFERROR(INDEX(Companies!$A$3:$A$101,MATCH(A473,Companies!$B$3:$B$101,0)),"")</f>
        <v/>
      </c>
      <c r="C473" t="inlineStr">
        <is>
          <t>cargo</t>
        </is>
      </c>
      <c r="D473" t="inlineStr">
        <is>
          <t>D34B1ACF7C99</t>
        </is>
      </c>
      <c r="E473">
        <f>LEFT(D473,2)&amp;":"&amp;MID(D473,3,2)&amp;":"&amp;MID(D473,5,2)&amp;":"&amp;MID(D473,7,2)&amp;":"&amp;MID(D473,9,2)&amp;":"&amp;RIGHT(D473,2)</f>
        <v/>
      </c>
      <c r="F473" s="29" t="n">
        <v>44918</v>
      </c>
      <c r="G473" s="29" t="inlineStr">
        <is>
          <t>Hupac</t>
        </is>
      </c>
      <c r="H473" t="inlineStr">
        <is>
          <t>F655490530862C9E</t>
        </is>
      </c>
      <c r="I473">
        <f>IFERROR(_xlfn.IFNA(INDEX(Sensors_MANU!$C$2:$C$4692,MATCH($D473,Sensors_MANU!$B$2:$B$4692,0)),INDEX(Sensors_MANU!$C$2:$C$4692,MATCH($P473,Sensors_MANU!$A$2:$A$4692,0))),"")</f>
        <v/>
      </c>
      <c r="J473">
        <f>IFERROR(_xlfn.IFNA(INDEX(Sensors_MANU!$D$2:$D$4692,MATCH($D473,Sensors_MANU!$B$2:$B$4692,0)),INDEX(Sensors_MANU!$D$2:$D$4692,MATCH($P473,Sensors_MANU!$A$2:$A$4692,0))),"")</f>
        <v/>
      </c>
      <c r="K473" s="27" t="inlineStr">
        <is>
          <t>33854556814-3</t>
        </is>
      </c>
      <c r="L473" s="27" t="inlineStr">
        <is>
          <t>4b</t>
        </is>
      </c>
      <c r="M473" s="27" t="n">
        <v>88160384</v>
      </c>
      <c r="N473" s="99">
        <f>IFERROR(INDEX(Sensors_MANU!$G$2:$G$4692,MATCH($P473,Sensors_MANU!$A$2:$A$4692,0)),)</f>
        <v/>
      </c>
      <c r="O473" s="6" t="inlineStr">
        <is>
          <t>v15</t>
        </is>
      </c>
      <c r="P473" t="n">
        <v>4978776</v>
      </c>
    </row>
    <row r="474">
      <c r="A474" s="32">
        <f>IFERROR(_xlfn.IFNA(INDEX(Sensors_MANU!$E$2:$E$4692,MATCH($D474,Sensors_MANU!$B$2:$B$4692,0)),INDEX(Sensors_MANU!$E$2:$E$4692,MATCH($P474,Sensors_MANU!$A$2:$A$4692,0))),"")</f>
        <v/>
      </c>
      <c r="B474" s="24">
        <f>IFERROR(INDEX(Companies!$A$3:$A$101,MATCH(A474,Companies!$B$3:$B$101,0)),"")</f>
        <v/>
      </c>
      <c r="C474">
        <f>IFERROR(_xlfn.IFNA(INDEX(Sensors_MANU!$F$2:$F$4692,MATCH($D474,Sensors_MANU!$B$2:$B$4692,0)),INDEX(Sensors_MANU!$F$2:$F$4692,MATCH($P474,Sensors_MANU!$A$2:$A$4692,0))),"")</f>
        <v/>
      </c>
      <c r="D474" t="inlineStr">
        <is>
          <t>CD8E4A47BC85</t>
        </is>
      </c>
      <c r="E474">
        <f>LEFT(D474,2)&amp;":"&amp;MID(D474,3,2)&amp;":"&amp;MID(D474,5,2)&amp;":"&amp;MID(D474,7,2)&amp;":"&amp;MID(D474,9,2)&amp;":"&amp;RIGHT(D474,2)</f>
        <v/>
      </c>
      <c r="F474" s="29" t="n">
        <v>44918</v>
      </c>
      <c r="G474" s="29" t="inlineStr">
        <is>
          <t>Hupac</t>
        </is>
      </c>
      <c r="H474" t="inlineStr">
        <is>
          <t>1F71866F93476752</t>
        </is>
      </c>
      <c r="I474">
        <f>IFERROR(_xlfn.IFNA(INDEX(Sensors_MANU!$C$2:$C$4692,MATCH($D474,Sensors_MANU!$B$2:$B$4692,0)),INDEX(Sensors_MANU!$C$2:$C$4692,MATCH($P474,Sensors_MANU!$A$2:$A$4692,0))),"")</f>
        <v/>
      </c>
      <c r="J474">
        <f>IFERROR(_xlfn.IFNA(INDEX(Sensors_MANU!$D$2:$D$4692,MATCH($D474,Sensors_MANU!$B$2:$B$4692,0)),INDEX(Sensors_MANU!$D$2:$D$4692,MATCH($P474,Sensors_MANU!$A$2:$A$4692,0))),"")</f>
        <v/>
      </c>
      <c r="K474" s="27" t="inlineStr">
        <is>
          <t>33854956710-9</t>
        </is>
      </c>
      <c r="L474" s="27" t="inlineStr">
        <is>
          <t>3a</t>
        </is>
      </c>
      <c r="M474" s="27" t="n">
        <v>88140103</v>
      </c>
      <c r="N474" s="99">
        <f>IFERROR(INDEX(Sensors_MANU!$G$2:$G$4692,MATCH($P474,Sensors_MANU!$A$2:$A$4692,0)),)</f>
        <v/>
      </c>
      <c r="O474" s="6" t="inlineStr">
        <is>
          <t>v16</t>
        </is>
      </c>
      <c r="P474" t="n">
        <v>4978807</v>
      </c>
    </row>
    <row r="475">
      <c r="A475" s="32" t="inlineStr">
        <is>
          <t>RAILRELEASE</t>
        </is>
      </c>
      <c r="B475" s="24">
        <f>IFERROR(INDEX(Companies!$A$3:$A$101,MATCH(A475,Companies!$B$3:$B$101,0)),"")</f>
        <v/>
      </c>
      <c r="D475" t="inlineStr">
        <is>
          <t>C95C60367AB5</t>
        </is>
      </c>
      <c r="E475">
        <f>LEFT(D475,2)&amp;":"&amp;MID(D475,3,2)&amp;":"&amp;MID(D475,5,2)&amp;":"&amp;MID(D475,7,2)&amp;":"&amp;MID(D475,9,2)&amp;":"&amp;RIGHT(D475,2)</f>
        <v/>
      </c>
      <c r="F475" s="29" t="n">
        <v>45064</v>
      </c>
      <c r="G475" s="29" t="inlineStr">
        <is>
          <t>Viezo</t>
        </is>
      </c>
      <c r="H475" t="inlineStr">
        <is>
          <t>FC5E5468F25D4ED4</t>
        </is>
      </c>
      <c r="J475" s="71" t="inlineStr">
        <is>
          <t>PR2203-254</t>
        </is>
      </c>
      <c r="K475" s="27" t="inlineStr">
        <is>
          <t>37844576159-6</t>
        </is>
      </c>
      <c r="L475" s="27" t="inlineStr">
        <is>
          <t>2R</t>
        </is>
      </c>
      <c r="M475" s="27" t="n"/>
      <c r="N475" s="99">
        <f>IFERROR(INDEX(Sensors_MANU!$G$2:$G$4692,MATCH($P475,Sensors_MANU!$A$2:$A$4692,0)),)</f>
        <v/>
      </c>
      <c r="O475" s="6" t="inlineStr">
        <is>
          <t>v16</t>
        </is>
      </c>
      <c r="P475" t="n">
        <v>4978803</v>
      </c>
    </row>
    <row r="476">
      <c r="A476" s="32" t="inlineStr">
        <is>
          <t>RAILRELEASE</t>
        </is>
      </c>
      <c r="B476" s="24">
        <f>IFERROR(INDEX(Companies!$A$3:$A$101,MATCH(A476,Companies!$B$3:$B$101,0)),"")</f>
        <v/>
      </c>
      <c r="C476">
        <f>IFERROR(_xlfn.IFNA(INDEX(Sensors_MANU!$F$2:$F$4692,MATCH($D476,Sensors_MANU!$B$2:$B$4692,0)),INDEX(Sensors_MANU!$F$2:$F$4692,MATCH($P476,Sensors_MANU!$A$2:$A$4692,0))),"")</f>
        <v/>
      </c>
      <c r="D476" t="inlineStr">
        <is>
          <t>C6308AB27DC8</t>
        </is>
      </c>
      <c r="E476">
        <f>LEFT(D476,2)&amp;":"&amp;MID(D476,3,2)&amp;":"&amp;MID(D476,5,2)&amp;":"&amp;MID(D476,7,2)&amp;":"&amp;MID(D476,9,2)&amp;":"&amp;RIGHT(D476,2)</f>
        <v/>
      </c>
      <c r="F476" s="29" t="n">
        <v>45064</v>
      </c>
      <c r="G476" s="29" t="inlineStr">
        <is>
          <t>Viezo</t>
        </is>
      </c>
      <c r="H476" t="inlineStr">
        <is>
          <t>3677B08B1C64AA5D</t>
        </is>
      </c>
      <c r="J476" s="71" t="inlineStr">
        <is>
          <t>PR2203-256</t>
        </is>
      </c>
      <c r="K476" s="27" t="inlineStr">
        <is>
          <t>37844576158-8</t>
        </is>
      </c>
      <c r="L476" s="27" t="inlineStr">
        <is>
          <t>1R</t>
        </is>
      </c>
      <c r="M476" s="27" t="n"/>
      <c r="N476" s="99">
        <f>IFERROR(INDEX(Sensors_MANU!$G$2:$G$4692,MATCH($P476,Sensors_MANU!$A$2:$A$4692,0)),)</f>
        <v/>
      </c>
      <c r="O476" s="6" t="inlineStr">
        <is>
          <t>v16</t>
        </is>
      </c>
      <c r="P476" t="n">
        <v>4978619</v>
      </c>
    </row>
    <row r="477">
      <c r="A477" s="32" t="inlineStr">
        <is>
          <t>RAILRELEASE</t>
        </is>
      </c>
      <c r="B477" s="24">
        <f>IFERROR(INDEX(Companies!$A$3:$A$101,MATCH(A477,Companies!$B$3:$B$101,0)),"")</f>
        <v/>
      </c>
      <c r="D477" t="inlineStr">
        <is>
          <t>C22A4ECB6353</t>
        </is>
      </c>
      <c r="E477">
        <f>LEFT(D477,2)&amp;":"&amp;MID(D477,3,2)&amp;":"&amp;MID(D477,5,2)&amp;":"&amp;MID(D477,7,2)&amp;":"&amp;MID(D477,9,2)&amp;":"&amp;RIGHT(D477,2)</f>
        <v/>
      </c>
      <c r="F477" s="29" t="n">
        <v>45064</v>
      </c>
      <c r="G477" s="29" t="inlineStr">
        <is>
          <t>Viezo</t>
        </is>
      </c>
      <c r="H477" t="inlineStr">
        <is>
          <t>C9C6919301CF32CB</t>
        </is>
      </c>
      <c r="J477" s="71" t="inlineStr">
        <is>
          <t>PR2203-257</t>
        </is>
      </c>
      <c r="K477" s="27" t="inlineStr">
        <is>
          <t>37844576159-6</t>
        </is>
      </c>
      <c r="L477" s="27" t="inlineStr">
        <is>
          <t>4L</t>
        </is>
      </c>
      <c r="M477" s="27" t="n"/>
      <c r="N477" s="99">
        <f>IFERROR(INDEX(Sensors_MANU!$G$2:$G$4692,MATCH($P477,Sensors_MANU!$A$2:$A$4692,0)),)</f>
        <v/>
      </c>
      <c r="O477" s="6" t="inlineStr">
        <is>
          <t>v17</t>
        </is>
      </c>
      <c r="P477" t="n">
        <v>4978875</v>
      </c>
    </row>
    <row r="478">
      <c r="A478" s="32" t="inlineStr">
        <is>
          <t>TANKWAGON</t>
        </is>
      </c>
      <c r="B478" s="24">
        <f>IFERROR(INDEX(Companies!$A$3:$A$101,MATCH(A478,Companies!$B$3:$B$101,0)),"")</f>
        <v/>
      </c>
      <c r="C478">
        <f>IFERROR(_xlfn.IFNA(INDEX(Sensors_MANU!$F$2:$F$4692,MATCH($D478,Sensors_MANU!$B$2:$B$4692,0)),INDEX(Sensors_MANU!$F$2:$F$4692,MATCH($P478,Sensors_MANU!$A$2:$A$4692,0))),"")</f>
        <v/>
      </c>
      <c r="D478" s="104" t="inlineStr">
        <is>
          <t>FD12384785E8</t>
        </is>
      </c>
      <c r="E478">
        <f>LEFT(D478,2)&amp;":"&amp;MID(D478,3,2)&amp;":"&amp;MID(D478,5,2)&amp;":"&amp;MID(D478,7,2)&amp;":"&amp;MID(D478,9,2)&amp;":"&amp;RIGHT(D478,2)</f>
        <v/>
      </c>
      <c r="H478" s="2" t="inlineStr">
        <is>
          <t>DD7E8C87BD951BF8</t>
        </is>
      </c>
      <c r="J478" t="inlineStr">
        <is>
          <t>PR2203-260</t>
        </is>
      </c>
      <c r="M478" s="27" t="n"/>
      <c r="N478" s="99">
        <f>IFERROR(INDEX(Sensors_MANU!$G$2:$G$4692,MATCH($P478,Sensors_MANU!$A$2:$A$4692,0)),)</f>
        <v/>
      </c>
      <c r="O478" s="6" t="inlineStr">
        <is>
          <t>V26</t>
        </is>
      </c>
      <c r="P478" t="n">
        <v>4978468</v>
      </c>
    </row>
    <row r="479">
      <c r="A479" s="32">
        <f>IFERROR(_xlfn.IFNA(INDEX(Sensors_MANU!$E$2:$E$4692,MATCH($D479,Sensors_MANU!$B$2:$B$4692,0)),INDEX(Sensors_MANU!$E$2:$E$4692,MATCH($P479,Sensors_MANU!$A$2:$A$4692,0))),"")</f>
        <v/>
      </c>
      <c r="B479" s="24">
        <f>IFERROR(INDEX(Companies!$A$3:$A$101,MATCH(A479,Companies!$B$3:$B$101,0)),"")</f>
        <v/>
      </c>
      <c r="C479">
        <f>IFERROR(_xlfn.IFNA(INDEX(Sensors_MANU!$F$2:$F$4692,MATCH($D479,Sensors_MANU!$B$2:$B$4692,0)),INDEX(Sensors_MANU!$F$2:$F$4692,MATCH($P479,Sensors_MANU!$A$2:$A$4692,0))),"")</f>
        <v/>
      </c>
      <c r="D479" t="inlineStr">
        <is>
          <t>E03B6A4E90E1</t>
        </is>
      </c>
      <c r="E479">
        <f>LEFT(D479,2)&amp;":"&amp;MID(D479,3,2)&amp;":"&amp;MID(D479,5,2)&amp;":"&amp;MID(D479,7,2)&amp;":"&amp;MID(D479,9,2)&amp;":"&amp;RIGHT(D479,2)</f>
        <v/>
      </c>
      <c r="F479" s="29" t="n">
        <v>44910</v>
      </c>
      <c r="G479" s="29" t="inlineStr">
        <is>
          <t>Viezo</t>
        </is>
      </c>
      <c r="H479" t="inlineStr">
        <is>
          <t>0B16AACEAC66E34B</t>
        </is>
      </c>
      <c r="I479">
        <f>IFERROR(_xlfn.IFNA(INDEX(Sensors_MANU!$C$2:$C$4692,MATCH($D479,Sensors_MANU!$B$2:$B$4692,0)),INDEX(Sensors_MANU!$C$2:$C$4692,MATCH($P479,Sensors_MANU!$A$2:$A$4692,0))),"")</f>
        <v/>
      </c>
      <c r="J479">
        <f>IFERROR(_xlfn.IFNA(INDEX(Sensors_MANU!$D$2:$D$4692,MATCH($D479,Sensors_MANU!$B$2:$B$4692,0)),INDEX(Sensors_MANU!$D$2:$D$4692,MATCH($P479,Sensors_MANU!$A$2:$A$4692,0))),"")</f>
        <v/>
      </c>
      <c r="K479" s="27" t="inlineStr">
        <is>
          <t>31835377921-4</t>
        </is>
      </c>
      <c r="L479" s="27" t="inlineStr">
        <is>
          <t>3R</t>
        </is>
      </c>
      <c r="M479" s="27" t="n"/>
      <c r="N479" s="99">
        <f>IFERROR(INDEX(Sensors_MANU!$G$2:$G$4692,MATCH($P479,Sensors_MANU!$A$2:$A$4692,0)),)</f>
        <v/>
      </c>
      <c r="O479" s="6" t="inlineStr">
        <is>
          <t>v16</t>
        </is>
      </c>
      <c r="P479" t="n">
        <v>4978630</v>
      </c>
    </row>
    <row r="480">
      <c r="A480" s="32">
        <f>IFERROR(_xlfn.IFNA(INDEX(Sensors_MANU!$E$2:$E$4692,MATCH($D480,Sensors_MANU!$B$2:$B$4692,0)),INDEX(Sensors_MANU!$E$2:$E$4692,MATCH($P480,Sensors_MANU!$A$2:$A$4692,0))),"")</f>
        <v/>
      </c>
      <c r="B480" s="24">
        <f>IFERROR(INDEX(Companies!$A$3:$A$101,MATCH(A480,Companies!$B$3:$B$101,0)),"")</f>
        <v/>
      </c>
      <c r="C480">
        <f>IFERROR(_xlfn.IFNA(INDEX(Sensors_MANU!$F$2:$F$4692,MATCH($D480,Sensors_MANU!$B$2:$B$4692,0)),INDEX(Sensors_MANU!$F$2:$F$4692,MATCH($P480,Sensors_MANU!$A$2:$A$4692,0))),"")</f>
        <v/>
      </c>
      <c r="D480" t="inlineStr">
        <is>
          <t>E5C9B0BFB7D2</t>
        </is>
      </c>
      <c r="E480">
        <f>LEFT(D480,2)&amp;":"&amp;MID(D480,3,2)&amp;":"&amp;MID(D480,5,2)&amp;":"&amp;MID(D480,7,2)&amp;":"&amp;MID(D480,9,2)&amp;":"&amp;RIGHT(D480,2)</f>
        <v/>
      </c>
      <c r="F480" s="29" t="n">
        <v>44918</v>
      </c>
      <c r="G480" s="29" t="inlineStr">
        <is>
          <t>Hupac</t>
        </is>
      </c>
      <c r="H480" t="inlineStr">
        <is>
          <t>0A3E4045A6B1DEF6</t>
        </is>
      </c>
      <c r="I480">
        <f>IFERROR(_xlfn.IFNA(INDEX(Sensors_MANU!$C$2:$C$4692,MATCH($D480,Sensors_MANU!$B$2:$B$4692,0)),INDEX(Sensors_MANU!$C$2:$C$4692,MATCH($P480,Sensors_MANU!$A$2:$A$4692,0))),"")</f>
        <v/>
      </c>
      <c r="J480">
        <f>IFERROR(_xlfn.IFNA(INDEX(Sensors_MANU!$D$2:$D$4692,MATCH($D480,Sensors_MANU!$B$2:$B$4692,0)),INDEX(Sensors_MANU!$D$2:$D$4692,MATCH($P480,Sensors_MANU!$A$2:$A$4692,0))),"")</f>
        <v/>
      </c>
      <c r="K480" s="27" t="inlineStr">
        <is>
          <t>33854556814-3</t>
        </is>
      </c>
      <c r="L480" s="27" t="inlineStr">
        <is>
          <t>5a</t>
        </is>
      </c>
      <c r="M480" s="61" t="inlineStr">
        <is>
          <t>88171436</t>
        </is>
      </c>
    </row>
    <row r="481">
      <c r="A481" s="32" t="inlineStr">
        <is>
          <t>GREENCARGO</t>
        </is>
      </c>
      <c r="B481" s="24">
        <f>IFERROR(INDEX(Companies!$A$3:$A$101,MATCH(A481,Companies!$B$3:$B$101,0)),"")</f>
        <v/>
      </c>
      <c r="C481">
        <f>IFERROR(_xlfn.IFNA(INDEX(Sensors_MANU!$F$2:$F$4692,MATCH($D481,Sensors_MANU!$B$2:$B$4692,0)),INDEX(Sensors_MANU!$F$2:$F$4692,MATCH($P481,Sensors_MANU!$A$2:$A$4692,0))),"")</f>
        <v/>
      </c>
      <c r="D481" t="inlineStr">
        <is>
          <t>EA646F2B40BE</t>
        </is>
      </c>
      <c r="E481">
        <f>LEFT(D481,2)&amp;":"&amp;MID(D481,3,2)&amp;":"&amp;MID(D481,5,2)&amp;":"&amp;MID(D481,7,2)&amp;":"&amp;MID(D481,9,2)&amp;":"&amp;RIGHT(D481,2)</f>
        <v/>
      </c>
      <c r="H481" t="inlineStr">
        <is>
          <t>4BD95168650877F4</t>
        </is>
      </c>
      <c r="I481">
        <f>IFERROR(_xlfn.IFNA(INDEX(Sensors_MANU!$C$2:$C$4692,MATCH($D481,Sensors_MANU!$B$2:$B$4692,0)),INDEX(Sensors_MANU!$C$2:$C$4692,MATCH($P481,Sensors_MANU!$A$2:$A$4692,0))),"")</f>
        <v/>
      </c>
      <c r="J481">
        <f>IFERROR(_xlfn.IFNA(INDEX(Sensors_MANU!$D$2:$D$4692,MATCH($D481,Sensors_MANU!$B$2:$B$4692,0)),INDEX(Sensors_MANU!$D$2:$D$4692,MATCH($P481,Sensors_MANU!$A$2:$A$4692,0))),"")</f>
        <v/>
      </c>
      <c r="M481" s="27" t="n"/>
      <c r="N481" s="99">
        <f>IFERROR(INDEX(Sensors_MANU!$G$2:$G$4692,MATCH($P481,Sensors_MANU!$A$2:$A$4692,0)),)</f>
        <v/>
      </c>
      <c r="O481" s="6" t="inlineStr">
        <is>
          <t>v16</t>
        </is>
      </c>
      <c r="P481" t="n">
        <v>4978909</v>
      </c>
    </row>
    <row r="482">
      <c r="A482" s="32">
        <f>IFERROR(_xlfn.IFNA(INDEX(Sensors_MANU!$E$2:$E$4692,MATCH($D482,Sensors_MANU!$B$2:$B$4692,0)),INDEX(Sensors_MANU!$E$2:$E$4692,MATCH($P482,Sensors_MANU!$A$2:$A$4692,0))),"")</f>
        <v/>
      </c>
      <c r="B482" s="24">
        <f>IFERROR(INDEX(Companies!$A$3:$A$101,MATCH(A482,Companies!$B$3:$B$101,0)),"")</f>
        <v/>
      </c>
      <c r="C482">
        <f>IFERROR(_xlfn.IFNA(INDEX(Sensors_MANU!$F$2:$F$4692,MATCH($D482,Sensors_MANU!$B$2:$B$4692,0)),INDEX(Sensors_MANU!$F$2:$F$4692,MATCH($P482,Sensors_MANU!$A$2:$A$4692,0))),"")</f>
        <v/>
      </c>
      <c r="D482" t="inlineStr">
        <is>
          <t>DC98ED28049D</t>
        </is>
      </c>
      <c r="E482" s="24">
        <f>LEFT(D482,2)&amp;":"&amp;MID(D482,3,2)&amp;":"&amp;MID(D482,5,2)&amp;":"&amp;MID(D482,7,2)&amp;":"&amp;MID(D482,9,2)&amp;":"&amp;RIGHT(D482,2)</f>
        <v/>
      </c>
      <c r="F482" s="29" t="n">
        <v>44910</v>
      </c>
      <c r="G482" s="29" t="inlineStr">
        <is>
          <t>Viezo</t>
        </is>
      </c>
      <c r="H482" t="inlineStr">
        <is>
          <t>64F2848E1B44B819</t>
        </is>
      </c>
      <c r="I482">
        <f>IFERROR(_xlfn.IFNA(INDEX(Sensors_MANU!$C$2:$C$4692,MATCH($D482,Sensors_MANU!$B$2:$B$4692,0)),INDEX(Sensors_MANU!$C$2:$C$4692,MATCH($P482,Sensors_MANU!$A$2:$A$4692,0))),"")</f>
        <v/>
      </c>
      <c r="J482">
        <f>IFERROR(_xlfn.IFNA(INDEX(Sensors_MANU!$D$2:$D$4692,MATCH($D482,Sensors_MANU!$B$2:$B$4692,0)),INDEX(Sensors_MANU!$D$2:$D$4692,MATCH($P482,Sensors_MANU!$A$2:$A$4692,0))),"")</f>
        <v/>
      </c>
      <c r="K482" s="27" t="inlineStr">
        <is>
          <t>31833916514-0</t>
        </is>
      </c>
      <c r="L482" s="27" t="inlineStr">
        <is>
          <t>2L</t>
        </is>
      </c>
      <c r="O482" s="6" t="inlineStr">
        <is>
          <t>V25</t>
        </is>
      </c>
    </row>
    <row r="483">
      <c r="B483" s="24">
        <f>IFERROR(INDEX(Companies!$A$3:$A$101,MATCH(A483,Companies!$B$3:$B$101,0)),"")</f>
        <v/>
      </c>
      <c r="C483">
        <f>IFERROR(_xlfn.IFNA(INDEX(Sensors_MANU!$F$2:$F$4692,MATCH($D483,Sensors_MANU!$B$2:$B$4692,0)),INDEX(Sensors_MANU!$F$2:$F$4692,MATCH($P483,Sensors_MANU!$A$2:$A$4692,0))),"")</f>
        <v/>
      </c>
      <c r="D483" t="inlineStr">
        <is>
          <t>F62029FD1A0E</t>
        </is>
      </c>
      <c r="E483">
        <f>LEFT(D483,2)&amp;":"&amp;MID(D483,3,2)&amp;":"&amp;MID(D483,5,2)&amp;":"&amp;MID(D483,7,2)&amp;":"&amp;MID(D483,9,2)&amp;":"&amp;RIGHT(D483,2)</f>
        <v/>
      </c>
      <c r="H483" t="inlineStr">
        <is>
          <t>5A9611CC0F7FF048</t>
        </is>
      </c>
      <c r="I483">
        <f>IFERROR(_xlfn.IFNA(INDEX(Sensors_MANU!$C$2:$C$4692,MATCH($D483,Sensors_MANU!$B$2:$B$4692,0)),INDEX(Sensors_MANU!$C$2:$C$4692,MATCH($P483,Sensors_MANU!$A$2:$A$4692,0))),"")</f>
        <v/>
      </c>
      <c r="J483" s="107">
        <f>IFERROR(_xlfn.IFNA(INDEX(Sensors_MANU!$D$2:$D$4692,MATCH($D483,Sensors_MANU!$B$2:$B$4692,0)),INDEX(Sensors_MANU!$D$2:$D$4692,MATCH($P483,Sensors_MANU!$A$2:$A$4692,0))),"")</f>
        <v/>
      </c>
      <c r="M483" s="27" t="n"/>
      <c r="N483" s="99">
        <f>IFERROR(INDEX(Sensors_MANU!$G$2:$G$4692,MATCH($P483,Sensors_MANU!$A$2:$A$4692,0)),)</f>
        <v/>
      </c>
      <c r="O483" s="6" t="inlineStr">
        <is>
          <t>v16</t>
        </is>
      </c>
      <c r="P483" t="n">
        <v>4978784</v>
      </c>
    </row>
    <row r="484">
      <c r="A484" s="32" t="inlineStr">
        <is>
          <t>TANKWAGON</t>
        </is>
      </c>
      <c r="B484" s="24">
        <f>IFERROR(INDEX(Companies!$A$3:$A$101,MATCH(A484,Companies!$B$3:$B$101,0)),"")</f>
        <v/>
      </c>
      <c r="C484">
        <f>IFERROR(_xlfn.IFNA(INDEX(Sensors_MANU!$F$2:$F$4692,MATCH($D484,Sensors_MANU!$B$2:$B$4692,0)),INDEX(Sensors_MANU!$F$2:$F$4692,MATCH($P484,Sensors_MANU!$A$2:$A$4692,0))),"")</f>
        <v/>
      </c>
      <c r="D484" s="104" t="inlineStr">
        <is>
          <t>EC0C709467B1</t>
        </is>
      </c>
      <c r="E484">
        <f>LEFT(D484,2)&amp;":"&amp;MID(D484,3,2)&amp;":"&amp;MID(D484,5,2)&amp;":"&amp;MID(D484,7,2)&amp;":"&amp;MID(D484,9,2)&amp;":"&amp;RIGHT(D484,2)</f>
        <v/>
      </c>
      <c r="H484" s="2" t="inlineStr">
        <is>
          <t>21BE7B71EA4EF1AF</t>
        </is>
      </c>
      <c r="J484">
        <f>IFERROR(_xlfn.IFNA(INDEX(Sensors_MANU!$D$2:$D$4692,MATCH($D484,Sensors_MANU!$B$2:$B$4692,0)),INDEX(Sensors_MANU!$D$2:$D$4692,MATCH($P484,Sensors_MANU!$A$2:$A$4692,0))),"")</f>
        <v/>
      </c>
      <c r="M484" s="27" t="n"/>
      <c r="N484" s="99">
        <f>IFERROR(INDEX(Sensors_MANU!$G$2:$G$4692,MATCH($P484,Sensors_MANU!$A$2:$A$4692,0)),)</f>
        <v/>
      </c>
      <c r="O484" s="6" t="inlineStr">
        <is>
          <t>V26</t>
        </is>
      </c>
      <c r="P484" t="n">
        <v>4978800</v>
      </c>
    </row>
    <row r="485">
      <c r="A485" s="32">
        <f>IFERROR(_xlfn.IFNA(INDEX(Sensors_MANU!$E$2:$E$4692,MATCH($D485,Sensors_MANU!$B$2:$B$4692,0)),INDEX(Sensors_MANU!$E$2:$E$4692,MATCH($P485,Sensors_MANU!$A$2:$A$4692,0))),"")</f>
        <v/>
      </c>
      <c r="B485" s="24">
        <f>IFERROR(INDEX(Companies!$A$3:$A$101,MATCH(A485,Companies!$B$3:$B$101,0)),"")</f>
        <v/>
      </c>
      <c r="C485">
        <f>IFERROR(_xlfn.IFNA(INDEX(Sensors_MANU!$F$2:$F$4692,MATCH($D485,Sensors_MANU!$B$2:$B$4692,0)),INDEX(Sensors_MANU!$F$2:$F$4692,MATCH($P485,Sensors_MANU!$A$2:$A$4692,0))),"")</f>
        <v/>
      </c>
      <c r="D485" s="25" t="inlineStr">
        <is>
          <t>D8415EC1FA95</t>
        </is>
      </c>
      <c r="E485" s="24">
        <f>LEFT(D485,2)&amp;":"&amp;MID(D485,3,2)&amp;":"&amp;MID(D485,5,2)&amp;":"&amp;MID(D485,7,2)&amp;":"&amp;MID(D485,9,2)&amp;":"&amp;RIGHT(D485,2)</f>
        <v/>
      </c>
      <c r="H485" t="inlineStr">
        <is>
          <t>29C763F8678265F0</t>
        </is>
      </c>
      <c r="I485">
        <f>IFERROR(_xlfn.IFNA(INDEX(Sensors_MANU!$C$2:$C$4692,MATCH($D485,Sensors_MANU!$B$2:$B$4692,0)),INDEX(Sensors_MANU!$C$2:$C$4692,MATCH($P485,Sensors_MANU!$A$2:$A$4692,0))),"")</f>
        <v/>
      </c>
      <c r="J485">
        <f>IFERROR(_xlfn.IFNA(INDEX(Sensors_MANU!$D$2:$D$4692,MATCH($D485,Sensors_MANU!$B$2:$B$4692,0)),INDEX(Sensors_MANU!$D$2:$D$4692,MATCH($P485,Sensors_MANU!$A$2:$A$4692,0))),"")</f>
        <v/>
      </c>
      <c r="O485" s="6" t="inlineStr">
        <is>
          <t>V23</t>
        </is>
      </c>
    </row>
    <row r="486">
      <c r="A486" s="32" t="inlineStr">
        <is>
          <t>CARGONET</t>
        </is>
      </c>
      <c r="B486" s="24">
        <f>IFERROR(INDEX(Companies!$A$3:$A$101,MATCH(A486,Companies!$B$3:$B$101,0)),"")</f>
        <v/>
      </c>
      <c r="D486" t="inlineStr">
        <is>
          <t>D5364F4A15DA</t>
        </is>
      </c>
      <c r="E486">
        <f>LEFT(D486,2)&amp;":"&amp;MID(D486,3,2)&amp;":"&amp;MID(D486,5,2)&amp;":"&amp;MID(D486,7,2)&amp;":"&amp;MID(D486,9,2)&amp;":"&amp;RIGHT(D486,2)</f>
        <v/>
      </c>
      <c r="H486" t="inlineStr">
        <is>
          <t>F89D225D162EC998</t>
        </is>
      </c>
      <c r="I486">
        <f>IFERROR(_xlfn.IFNA(INDEX(Sensors_MANU!$C$2:$C$4692,MATCH($D486,Sensors_MANU!$B$2:$B$4692,0)),INDEX(Sensors_MANU!$C$2:$C$4692,MATCH($P486,Sensors_MANU!$A$2:$A$4692,0))),"")</f>
        <v/>
      </c>
      <c r="J486" t="inlineStr">
        <is>
          <t>PR2203-269</t>
        </is>
      </c>
      <c r="K486" s="27" t="inlineStr">
        <is>
          <t>33764955305-0</t>
        </is>
      </c>
      <c r="L486" s="27" t="inlineStr">
        <is>
          <t>4L</t>
        </is>
      </c>
    </row>
    <row r="487">
      <c r="A487" s="32" t="inlineStr">
        <is>
          <t>RAILRELEASE</t>
        </is>
      </c>
      <c r="B487" s="24">
        <f>IFERROR(INDEX(Companies!$A$3:$A$101,MATCH(A487,Companies!$B$3:$B$101,0)),"")</f>
        <v/>
      </c>
      <c r="D487" t="inlineStr">
        <is>
          <t>D91F7BC5C583</t>
        </is>
      </c>
      <c r="E487" s="24">
        <f>LEFT(D487,2)&amp;":"&amp;MID(D487,3,2)&amp;":"&amp;MID(D487,5,2)&amp;":"&amp;MID(D487,7,2)&amp;":"&amp;MID(D487,9,2)&amp;":"&amp;RIGHT(D487,2)</f>
        <v/>
      </c>
      <c r="F487" s="29" t="n">
        <v>45064</v>
      </c>
      <c r="G487" s="29" t="inlineStr">
        <is>
          <t>Viezo</t>
        </is>
      </c>
      <c r="H487" t="inlineStr">
        <is>
          <t>ADD6B7A0EE0275ED</t>
        </is>
      </c>
      <c r="J487" s="71">
        <f>IFERROR(_xlfn.IFNA(INDEX(Sensors_MANU!$D$2:$D$4692,MATCH($D487,Sensors_MANU!$B$2:$B$4692,0)),INDEX(Sensors_MANU!$D$2:$D$4692,MATCH($P487,Sensors_MANU!$A$2:$A$4692,0))),"")</f>
        <v/>
      </c>
      <c r="K487" s="27" t="inlineStr">
        <is>
          <t>37844576159-6</t>
        </is>
      </c>
      <c r="L487" s="27" t="inlineStr">
        <is>
          <t>1R</t>
        </is>
      </c>
      <c r="O487" s="6" t="inlineStr">
        <is>
          <t>V24</t>
        </is>
      </c>
    </row>
    <row r="488">
      <c r="A488" s="32">
        <f>IFERROR(_xlfn.IFNA(INDEX(Sensors_MANU!$E$2:$E$4692,MATCH($D488,Sensors_MANU!$B$2:$B$4692,0)),INDEX(Sensors_MANU!$E$2:$E$4692,MATCH($P488,Sensors_MANU!$A$2:$A$4692,0))),"")</f>
        <v/>
      </c>
      <c r="B488" s="24">
        <f>IFERROR(INDEX(Companies!$A$3:$A$101,MATCH(A488,Companies!$B$3:$B$101,0)),"")</f>
        <v/>
      </c>
      <c r="C488">
        <f>IFERROR(_xlfn.IFNA(INDEX(Sensors_MANU!$F$2:$F$4692,MATCH($D488,Sensors_MANU!$B$2:$B$4692,0)),INDEX(Sensors_MANU!$F$2:$F$4692,MATCH($P488,Sensors_MANU!$A$2:$A$4692,0))),"")</f>
        <v/>
      </c>
      <c r="D488" t="inlineStr">
        <is>
          <t>CF674338977B</t>
        </is>
      </c>
      <c r="E488">
        <f>LEFT(D488,2)&amp;":"&amp;MID(D488,3,2)&amp;":"&amp;MID(D488,5,2)&amp;":"&amp;MID(D488,7,2)&amp;":"&amp;MID(D488,9,2)&amp;":"&amp;RIGHT(D488,2)</f>
        <v/>
      </c>
      <c r="F488" s="29" t="n">
        <v>44910</v>
      </c>
      <c r="G488" s="29" t="inlineStr">
        <is>
          <t>Viezo</t>
        </is>
      </c>
      <c r="H488" t="inlineStr">
        <is>
          <t>AA59A288840A84E4</t>
        </is>
      </c>
      <c r="I488">
        <f>IFERROR(_xlfn.IFNA(INDEX(Sensors_MANU!$C$2:$C$4692,MATCH($D488,Sensors_MANU!$B$2:$B$4692,0)),INDEX(Sensors_MANU!$C$2:$C$4692,MATCH($P488,Sensors_MANU!$A$2:$A$4692,0))),"")</f>
        <v/>
      </c>
      <c r="J488">
        <f>IFERROR(_xlfn.IFNA(INDEX(Sensors_MANU!$D$2:$D$4692,MATCH($D488,Sensors_MANU!$B$2:$B$4692,0)),INDEX(Sensors_MANU!$D$2:$D$4692,MATCH($P488,Sensors_MANU!$A$2:$A$4692,0))),"")</f>
        <v/>
      </c>
      <c r="K488" s="27" t="inlineStr">
        <is>
          <t>31833936025-3</t>
        </is>
      </c>
      <c r="L488" s="27" t="inlineStr">
        <is>
          <t>2R</t>
        </is>
      </c>
      <c r="M488" s="27" t="n"/>
      <c r="N488" s="99">
        <f>IFERROR(INDEX(Sensors_MANU!$G$2:$G$4692,MATCH($P488,Sensors_MANU!$A$2:$A$4692,0)),)</f>
        <v/>
      </c>
      <c r="O488" s="6" t="inlineStr">
        <is>
          <t>v16</t>
        </is>
      </c>
      <c r="P488" t="n">
        <v>4978770</v>
      </c>
    </row>
    <row r="489">
      <c r="A489" s="32">
        <f>IFERROR(_xlfn.IFNA(INDEX(Sensors_MANU!$E$2:$E$4692,MATCH($D489,Sensors_MANU!$B$2:$B$4692,0)),INDEX(Sensors_MANU!$E$2:$E$4692,MATCH($P489,Sensors_MANU!$A$2:$A$4692,0))),"")</f>
        <v/>
      </c>
      <c r="B489" s="24">
        <f>IFERROR(INDEX(Companies!$A$3:$A$101,MATCH(A489,Companies!$B$3:$B$101,0)),"")</f>
        <v/>
      </c>
      <c r="C489">
        <f>IFERROR(_xlfn.IFNA(INDEX(Sensors_MANU!$F$2:$F$4692,MATCH($D489,Sensors_MANU!$B$2:$B$4692,0)),INDEX(Sensors_MANU!$F$2:$F$4692,MATCH($P489,Sensors_MANU!$A$2:$A$4692,0))),"")</f>
        <v/>
      </c>
      <c r="D489" s="50" t="inlineStr">
        <is>
          <t>C56A57A9D669</t>
        </is>
      </c>
      <c r="E489" s="24">
        <f>LEFT(D489,2)&amp;":"&amp;MID(D489,3,2)&amp;":"&amp;MID(D489,5,2)&amp;":"&amp;MID(D489,7,2)&amp;":"&amp;MID(D489,9,2)&amp;":"&amp;RIGHT(D489,2)</f>
        <v/>
      </c>
      <c r="H489" s="26" t="inlineStr">
        <is>
          <t>37431CED48376C9A</t>
        </is>
      </c>
      <c r="I489">
        <f>IFERROR(_xlfn.IFNA(INDEX(Sensors_MANU!$C$2:$C$4692,MATCH($D489,Sensors_MANU!$B$2:$B$4692,0)),INDEX(Sensors_MANU!$C$2:$C$4692,MATCH($P489,Sensors_MANU!$A$2:$A$4692,0))),"")</f>
        <v/>
      </c>
      <c r="J489">
        <f>IFERROR(_xlfn.IFNA(INDEX(Sensors_MANU!$D$2:$D$4692,MATCH($D489,Sensors_MANU!$B$2:$B$4692,0)),INDEX(Sensors_MANU!$D$2:$D$4692,MATCH($P489,Sensors_MANU!$A$2:$A$4692,0))),"")</f>
        <v/>
      </c>
      <c r="O489" s="6" t="inlineStr">
        <is>
          <t>V23</t>
        </is>
      </c>
    </row>
    <row r="490">
      <c r="A490" s="32" t="inlineStr">
        <is>
          <t>CARGONET</t>
        </is>
      </c>
      <c r="B490" s="24">
        <f>IFERROR(INDEX(Companies!$A$3:$A$101,MATCH(A490,Companies!$B$3:$B$101,0)),"")</f>
        <v/>
      </c>
      <c r="D490" t="inlineStr">
        <is>
          <t>F97CD8503D12</t>
        </is>
      </c>
      <c r="E490">
        <f>LEFT(D490,2)&amp;":"&amp;MID(D490,3,2)&amp;":"&amp;MID(D490,5,2)&amp;":"&amp;MID(D490,7,2)&amp;":"&amp;MID(D490,9,2)&amp;":"&amp;RIGHT(D490,2)</f>
        <v/>
      </c>
      <c r="H490" t="inlineStr">
        <is>
          <t>CD3E1A9E4ED2D5E6</t>
        </is>
      </c>
      <c r="J490" t="inlineStr">
        <is>
          <t>PR2203-273</t>
        </is>
      </c>
      <c r="K490" s="27" t="inlineStr">
        <is>
          <t>33764955324-1</t>
        </is>
      </c>
      <c r="L490" s="27" t="inlineStr">
        <is>
          <t>4R</t>
        </is>
      </c>
    </row>
    <row r="491">
      <c r="B491" s="24">
        <f>IFERROR(INDEX(Companies!$A$3:$A$101,MATCH(A491,Companies!$B$3:$B$101,0)),"")</f>
        <v/>
      </c>
      <c r="C491">
        <f>IFERROR(_xlfn.IFNA(INDEX(Sensors_MANU!$F$2:$F$4692,MATCH($D491,Sensors_MANU!$B$2:$B$4692,0)),INDEX(Sensors_MANU!$F$2:$F$4692,MATCH($P491,Sensors_MANU!$A$2:$A$4692,0))),"")</f>
        <v/>
      </c>
      <c r="D491" t="inlineStr">
        <is>
          <t>F72F11494BC2</t>
        </is>
      </c>
      <c r="E491">
        <f>LEFT(D491,2)&amp;":"&amp;MID(D491,3,2)&amp;":"&amp;MID(D491,5,2)&amp;":"&amp;MID(D491,7,2)&amp;":"&amp;MID(D491,9,2)&amp;":"&amp;RIGHT(D491,2)</f>
        <v/>
      </c>
      <c r="H491" t="inlineStr">
        <is>
          <t>1AA6AE5486EBE9EA</t>
        </is>
      </c>
      <c r="I491">
        <f>IFERROR(_xlfn.IFNA(INDEX(Sensors_MANU!$C$2:$C$4692,MATCH($D491,Sensors_MANU!$B$2:$B$4692,0)),INDEX(Sensors_MANU!$C$2:$C$4692,MATCH($P491,Sensors_MANU!$A$2:$A$4692,0))),"")</f>
        <v/>
      </c>
      <c r="J491">
        <f>IFERROR(_xlfn.IFNA(INDEX(Sensors_MANU!$D$2:$D$4692,MATCH($D491,Sensors_MANU!$B$2:$B$4692,0)),INDEX(Sensors_MANU!$D$2:$D$4692,MATCH($P491,Sensors_MANU!$A$2:$A$4692,0))),"")</f>
        <v/>
      </c>
      <c r="M491" s="27" t="n"/>
      <c r="N491" s="99">
        <f>IFERROR(INDEX(Sensors_MANU!$G$2:$G$4692,MATCH($P491,Sensors_MANU!$A$2:$A$4692,0)),)</f>
        <v/>
      </c>
      <c r="O491" s="6" t="inlineStr">
        <is>
          <t>v16</t>
        </is>
      </c>
      <c r="P491" t="n">
        <v>4978745</v>
      </c>
    </row>
    <row r="492">
      <c r="A492" s="32">
        <f>IFERROR(_xlfn.IFNA(INDEX(Sensors_MANU!$E$2:$E$4692,MATCH($D492,Sensors_MANU!$B$2:$B$4692,0)),INDEX(Sensors_MANU!$E$2:$E$4692,MATCH($P492,Sensors_MANU!$A$2:$A$4692,0))),"")</f>
        <v/>
      </c>
      <c r="B492" s="24">
        <f>IFERROR(INDEX(Companies!$A$3:$A$101,MATCH(A492,Companies!$B$3:$B$101,0)),"")</f>
        <v/>
      </c>
      <c r="C492">
        <f>IFERROR(_xlfn.IFNA(INDEX(Sensors_MANU!$F$2:$F$4692,MATCH($D492,Sensors_MANU!$B$2:$B$4692,0)),INDEX(Sensors_MANU!$F$2:$F$4692,MATCH($P492,Sensors_MANU!$A$2:$A$4692,0))),"")</f>
        <v/>
      </c>
      <c r="D492" t="inlineStr">
        <is>
          <t>C22E7345D4FA</t>
        </is>
      </c>
      <c r="E492" s="24">
        <f>LEFT(D492,2)&amp;":"&amp;MID(D492,3,2)&amp;":"&amp;MID(D492,5,2)&amp;":"&amp;MID(D492,7,2)&amp;":"&amp;MID(D492,9,2)&amp;":"&amp;RIGHT(D492,2)</f>
        <v/>
      </c>
      <c r="H492" t="inlineStr">
        <is>
          <t>E3CC0B03DC3B774C</t>
        </is>
      </c>
      <c r="I492">
        <f>IFERROR(_xlfn.IFNA(INDEX(Sensors_MANU!$C$2:$C$4692,MATCH($D492,Sensors_MANU!$B$2:$B$4692,0)),INDEX(Sensors_MANU!$C$2:$C$4692,MATCH($P492,Sensors_MANU!$A$2:$A$4692,0))),"")</f>
        <v/>
      </c>
      <c r="J492" s="64">
        <f>IFERROR(_xlfn.IFNA(INDEX(Sensors_MANU!$D$2:$D$4692,MATCH($D492,Sensors_MANU!$B$2:$B$4692,0)),INDEX(Sensors_MANU!$D$2:$D$4692,MATCH($P492,Sensors_MANU!$A$2:$A$4692,0))),"")</f>
        <v/>
      </c>
      <c r="K492" s="27" t="inlineStr">
        <is>
          <t>43714378393-8</t>
        </is>
      </c>
      <c r="L492" s="27" t="inlineStr">
        <is>
          <t>2R</t>
        </is>
      </c>
      <c r="N492" s="99">
        <f>IFERROR(INDEX(Sensors_MANU!$G$2:$G$4692,MATCH($P492,Sensors_MANU!$A$2:$A$4692,0)),)</f>
        <v/>
      </c>
      <c r="O492" s="6" t="inlineStr">
        <is>
          <t>v17</t>
        </is>
      </c>
      <c r="P492" t="n">
        <v>4978791</v>
      </c>
    </row>
    <row r="493">
      <c r="B493" s="24">
        <f>IFERROR(INDEX(Companies!$A$3:$A$101,MATCH(A493,Companies!$B$3:$B$101,0)),"")</f>
        <v/>
      </c>
      <c r="C493">
        <f>IFERROR(_xlfn.IFNA(INDEX(Sensors_MANU!$F$2:$F$4692,MATCH($D493,Sensors_MANU!$B$2:$B$4692,0)),INDEX(Sensors_MANU!$F$2:$F$4692,MATCH($P493,Sensors_MANU!$A$2:$A$4692,0))),"")</f>
        <v/>
      </c>
      <c r="D493" t="inlineStr">
        <is>
          <t>C5AB7EA65297</t>
        </is>
      </c>
      <c r="E493">
        <f>LEFT(D493,2)&amp;":"&amp;MID(D493,3,2)&amp;":"&amp;MID(D493,5,2)&amp;":"&amp;MID(D493,7,2)&amp;":"&amp;MID(D493,9,2)&amp;":"&amp;RIGHT(D493,2)</f>
        <v/>
      </c>
      <c r="H493" t="inlineStr">
        <is>
          <t>F43D27045436EE04</t>
        </is>
      </c>
      <c r="I493">
        <f>IFERROR(_xlfn.IFNA(INDEX(Sensors_MANU!$C$2:$C$4692,MATCH($D493,Sensors_MANU!$B$2:$B$4692,0)),INDEX(Sensors_MANU!$C$2:$C$4692,MATCH($P493,Sensors_MANU!$A$2:$A$4692,0))),"")</f>
        <v/>
      </c>
      <c r="J493">
        <f>IFERROR(_xlfn.IFNA(INDEX(Sensors_MANU!$D$2:$D$4692,MATCH($D493,Sensors_MANU!$B$2:$B$4692,0)),INDEX(Sensors_MANU!$D$2:$D$4692,MATCH($P493,Sensors_MANU!$A$2:$A$4692,0))),"")</f>
        <v/>
      </c>
      <c r="M493" s="27" t="n"/>
      <c r="N493" s="99">
        <f>IFERROR(INDEX(Sensors_MANU!$G$2:$G$4692,MATCH($P493,Sensors_MANU!$A$2:$A$4692,0)),)</f>
        <v/>
      </c>
      <c r="O493" s="6" t="inlineStr">
        <is>
          <t>v16</t>
        </is>
      </c>
      <c r="P493" t="n">
        <v>4978510</v>
      </c>
    </row>
    <row r="494">
      <c r="A494" s="32">
        <f>IFERROR(_xlfn.IFNA(INDEX(Sensors_MANU!$E$2:$E$4692,MATCH($D494,Sensors_MANU!$B$2:$B$4692,0)),INDEX(Sensors_MANU!$E$2:$E$4692,MATCH($P494,Sensors_MANU!$A$2:$A$4692,0))),"")</f>
        <v/>
      </c>
      <c r="B494" s="24">
        <f>IFERROR(INDEX(Companies!$A$3:$A$101,MATCH(A494,Companies!$B$3:$B$101,0)),"")</f>
        <v/>
      </c>
      <c r="C494">
        <f>IFERROR(_xlfn.IFNA(INDEX(Sensors_MANU!$F$2:$F$4692,MATCH($D494,Sensors_MANU!$B$2:$B$4692,0)),INDEX(Sensors_MANU!$F$2:$F$4692,MATCH($P494,Sensors_MANU!$A$2:$A$4692,0))),"")</f>
        <v/>
      </c>
      <c r="D494" t="inlineStr">
        <is>
          <t>C5148FD6BC61</t>
        </is>
      </c>
      <c r="E494">
        <f>LEFT(D494,2)&amp;":"&amp;MID(D494,3,2)&amp;":"&amp;MID(D494,5,2)&amp;":"&amp;MID(D494,7,2)&amp;":"&amp;MID(D494,9,2)&amp;":"&amp;RIGHT(D494,2)</f>
        <v/>
      </c>
      <c r="F494" s="29" t="n">
        <v>44910</v>
      </c>
      <c r="G494" s="29" t="inlineStr">
        <is>
          <t>Viezo</t>
        </is>
      </c>
      <c r="H494" t="inlineStr">
        <is>
          <t>270490C4262CB82F</t>
        </is>
      </c>
      <c r="I494">
        <f>IFERROR(_xlfn.IFNA(INDEX(Sensors_MANU!$C$2:$C$4692,MATCH($D494,Sensors_MANU!$B$2:$B$4692,0)),INDEX(Sensors_MANU!$C$2:$C$4692,MATCH($P494,Sensors_MANU!$A$2:$A$4692,0))),"")</f>
        <v/>
      </c>
      <c r="J494">
        <f>IFERROR(_xlfn.IFNA(INDEX(Sensors_MANU!$D$2:$D$4692,MATCH($D494,Sensors_MANU!$B$2:$B$4692,0)),INDEX(Sensors_MANU!$D$2:$D$4692,MATCH($P494,Sensors_MANU!$A$2:$A$4692,0))),"")</f>
        <v/>
      </c>
      <c r="K494" s="27" t="inlineStr">
        <is>
          <t>31833916501-7</t>
        </is>
      </c>
      <c r="L494" s="27" t="inlineStr">
        <is>
          <t>3L</t>
        </is>
      </c>
      <c r="M494" s="27" t="n"/>
      <c r="N494" s="99">
        <f>IFERROR(INDEX(Sensors_MANU!$G$2:$G$4692,MATCH($P494,Sensors_MANU!$A$2:$A$4692,0)),)</f>
        <v/>
      </c>
      <c r="O494" s="6" t="inlineStr">
        <is>
          <t>v16</t>
        </is>
      </c>
      <c r="P494" t="n">
        <v>4978907</v>
      </c>
    </row>
    <row r="495">
      <c r="A495" s="32">
        <f>IFERROR(_xlfn.IFNA(INDEX(Sensors_MANU!$E$2:$E$4692,MATCH($D495,Sensors_MANU!$B$2:$B$4692,0)),INDEX(Sensors_MANU!$E$2:$E$4692,MATCH($P495,Sensors_MANU!$A$2:$A$4692,0))),"")</f>
        <v/>
      </c>
      <c r="B495" s="24">
        <f>IFERROR(INDEX(Companies!$A$3:$A$101,MATCH(A495,Companies!$B$3:$B$101,0)),"")</f>
        <v/>
      </c>
      <c r="C495">
        <f>IFERROR(_xlfn.IFNA(INDEX(Sensors_MANU!$F$2:$F$4692,MATCH($D495,Sensors_MANU!$B$2:$B$4692,0)),INDEX(Sensors_MANU!$F$2:$F$4692,MATCH($P495,Sensors_MANU!$A$2:$A$4692,0))),"")</f>
        <v/>
      </c>
      <c r="D495" t="inlineStr">
        <is>
          <t>EC0D5EBAA33C</t>
        </is>
      </c>
      <c r="E495">
        <f>LEFT(D495,2)&amp;":"&amp;MID(D495,3,2)&amp;":"&amp;MID(D495,5,2)&amp;":"&amp;MID(D495,7,2)&amp;":"&amp;MID(D495,9,2)&amp;":"&amp;RIGHT(D495,2)</f>
        <v/>
      </c>
      <c r="F495" s="29" t="n">
        <v>44910</v>
      </c>
      <c r="G495" s="29" t="inlineStr">
        <is>
          <t>Viezo</t>
        </is>
      </c>
      <c r="H495" t="inlineStr">
        <is>
          <t>9295A5272CAE1BB7</t>
        </is>
      </c>
      <c r="I495">
        <f>IFERROR(_xlfn.IFNA(INDEX(Sensors_MANU!$C$2:$C$4692,MATCH($D495,Sensors_MANU!$B$2:$B$4692,0)),INDEX(Sensors_MANU!$C$2:$C$4692,MATCH($P495,Sensors_MANU!$A$2:$A$4692,0))),"")</f>
        <v/>
      </c>
      <c r="J495">
        <f>IFERROR(_xlfn.IFNA(INDEX(Sensors_MANU!$D$2:$D$4692,MATCH($D495,Sensors_MANU!$B$2:$B$4692,0)),INDEX(Sensors_MANU!$D$2:$D$4692,MATCH($P495,Sensors_MANU!$A$2:$A$4692,0))),"")</f>
        <v/>
      </c>
      <c r="K495" s="27" t="inlineStr">
        <is>
          <t>31833918084-2</t>
        </is>
      </c>
      <c r="L495" s="27" t="inlineStr">
        <is>
          <t>2L</t>
        </is>
      </c>
      <c r="M495" s="27" t="n"/>
      <c r="N495" s="99">
        <f>IFERROR(INDEX(Sensors_MANU!$G$2:$G$4692,MATCH($P495,Sensors_MANU!$A$2:$A$4692,0)),)</f>
        <v/>
      </c>
      <c r="O495" s="6" t="inlineStr">
        <is>
          <t>v16</t>
        </is>
      </c>
      <c r="P495" t="n">
        <v>4978872</v>
      </c>
    </row>
    <row r="496">
      <c r="A496" s="32" t="inlineStr">
        <is>
          <t>RAILRELEASE</t>
        </is>
      </c>
      <c r="B496" s="24">
        <f>IFERROR(INDEX(Companies!$A$3:$A$101,MATCH(A496,Companies!$B$3:$B$101,0)),"")</f>
        <v/>
      </c>
      <c r="D496" t="inlineStr">
        <is>
          <t>CB8DB1B93011</t>
        </is>
      </c>
      <c r="E496">
        <f>LEFT(D496,2)&amp;":"&amp;MID(D496,3,2)&amp;":"&amp;MID(D496,5,2)&amp;":"&amp;MID(D496,7,2)&amp;":"&amp;MID(D496,9,2)&amp;":"&amp;RIGHT(D496,2)</f>
        <v/>
      </c>
      <c r="F496" s="29" t="n">
        <v>45064</v>
      </c>
      <c r="G496" s="29" t="inlineStr">
        <is>
          <t>Viezo</t>
        </is>
      </c>
      <c r="H496" t="inlineStr">
        <is>
          <t>F0F3ED69355987EB</t>
        </is>
      </c>
      <c r="J496" s="71">
        <f>IFERROR(_xlfn.IFNA(INDEX(Sensors_MANU!$D$2:$D$4692,MATCH($D496,Sensors_MANU!$B$2:$B$4692,0)),INDEX(Sensors_MANU!$D$2:$D$4692,MATCH($P496,Sensors_MANU!$A$2:$A$4692,0))),"")</f>
        <v/>
      </c>
      <c r="K496" s="27" t="inlineStr">
        <is>
          <t>37844576158-8</t>
        </is>
      </c>
      <c r="L496" s="27" t="inlineStr">
        <is>
          <t>2L</t>
        </is>
      </c>
      <c r="M496" s="27" t="n"/>
      <c r="N496" s="99">
        <f>IFERROR(INDEX(Sensors_MANU!$G$2:$G$4692,MATCH($P496,Sensors_MANU!$A$2:$A$4692,0)),)</f>
        <v/>
      </c>
      <c r="O496" s="6" t="inlineStr">
        <is>
          <t>v15</t>
        </is>
      </c>
      <c r="P496" t="n">
        <v>4978632</v>
      </c>
    </row>
    <row r="497">
      <c r="A497" s="32">
        <f>IFERROR(_xlfn.IFNA(INDEX(Sensors_MANU!$E$2:$E$4692,MATCH($D497,Sensors_MANU!$B$2:$B$4692,0)),INDEX(Sensors_MANU!$E$2:$E$4692,MATCH($P497,Sensors_MANU!$A$2:$A$4692,0))),"")</f>
        <v/>
      </c>
      <c r="B497" s="24">
        <f>IFERROR(INDEX(Companies!$A$3:$A$101,MATCH(A497,Companies!$B$3:$B$101,0)),"")</f>
        <v/>
      </c>
      <c r="C497">
        <f>IFERROR(_xlfn.IFNA(INDEX(Sensors_MANU!$F$2:$F$4692,MATCH($D497,Sensors_MANU!$B$2:$B$4692,0)),INDEX(Sensors_MANU!$F$2:$F$4692,MATCH($P497,Sensors_MANU!$A$2:$A$4692,0))),"")</f>
        <v/>
      </c>
      <c r="D497" t="inlineStr">
        <is>
          <t>FAC7B697FCB4</t>
        </is>
      </c>
      <c r="E497" s="24">
        <f>LEFT(D497,2)&amp;":"&amp;MID(D497,3,2)&amp;":"&amp;MID(D497,5,2)&amp;":"&amp;MID(D497,7,2)&amp;":"&amp;MID(D497,9,2)&amp;":"&amp;RIGHT(D497,2)</f>
        <v/>
      </c>
      <c r="H497" t="inlineStr">
        <is>
          <t>6228832106FC12A8</t>
        </is>
      </c>
      <c r="I497">
        <f>IFERROR(_xlfn.IFNA(INDEX(Sensors_MANU!$C$2:$C$4692,MATCH($D497,Sensors_MANU!$B$2:$B$4692,0)),INDEX(Sensors_MANU!$C$2:$C$4692,MATCH($P497,Sensors_MANU!$A$2:$A$4692,0))),"")</f>
        <v/>
      </c>
      <c r="J497" s="64">
        <f>IFERROR(_xlfn.IFNA(INDEX(Sensors_MANU!$D$2:$D$4692,MATCH($D497,Sensors_MANU!$B$2:$B$4692,0)),INDEX(Sensors_MANU!$D$2:$D$4692,MATCH($P497,Sensors_MANU!$A$2:$A$4692,0))),"")</f>
        <v/>
      </c>
      <c r="K497" s="27" t="inlineStr">
        <is>
          <t>43714378393-8</t>
        </is>
      </c>
      <c r="L497" s="27" t="inlineStr">
        <is>
          <t>2L</t>
        </is>
      </c>
      <c r="N497" s="99">
        <f>IFERROR(INDEX(Sensors_MANU!$G$2:$G$4692,MATCH($P497,Sensors_MANU!$A$2:$A$4692,0)),)</f>
        <v/>
      </c>
      <c r="O497" s="6" t="inlineStr">
        <is>
          <t>v17</t>
        </is>
      </c>
      <c r="P497" t="n">
        <v>4978737</v>
      </c>
    </row>
    <row r="498">
      <c r="B498" s="24">
        <f>IFERROR(INDEX(Companies!$A$3:$A$101,MATCH(A498,Companies!$B$3:$B$101,0)),"")</f>
        <v/>
      </c>
      <c r="C498">
        <f>IFERROR(_xlfn.IFNA(INDEX(Sensors_MANU!$F$2:$F$4692,MATCH($D498,Sensors_MANU!$B$2:$B$4692,0)),INDEX(Sensors_MANU!$F$2:$F$4692,MATCH($P498,Sensors_MANU!$A$2:$A$4692,0))),"")</f>
        <v/>
      </c>
      <c r="D498" t="inlineStr">
        <is>
          <t>F002E4BC2FB8</t>
        </is>
      </c>
      <c r="E498" s="24">
        <f>LEFT(D498,2)&amp;":"&amp;MID(D498,3,2)&amp;":"&amp;MID(D498,5,2)&amp;":"&amp;MID(D498,7,2)&amp;":"&amp;MID(D498,9,2)&amp;":"&amp;RIGHT(D498,2)</f>
        <v/>
      </c>
      <c r="H498" t="inlineStr">
        <is>
          <t>F333DEA9C0BFB089</t>
        </is>
      </c>
      <c r="I498">
        <f>IFERROR(_xlfn.IFNA(INDEX(Sensors_MANU!$C$2:$C$4692,MATCH($D498,Sensors_MANU!$B$2:$B$4692,0)),INDEX(Sensors_MANU!$C$2:$C$4692,MATCH($P498,Sensors_MANU!$A$2:$A$4692,0))),"")</f>
        <v/>
      </c>
      <c r="J498">
        <f>IFERROR(_xlfn.IFNA(INDEX(Sensors_MANU!$D$2:$D$4692,MATCH($D498,Sensors_MANU!$B$2:$B$4692,0)),INDEX(Sensors_MANU!$D$2:$D$4692,MATCH($P498,Sensors_MANU!$A$2:$A$4692,0))),"")</f>
        <v/>
      </c>
      <c r="N498" s="99">
        <f>IFERROR(INDEX(Sensors_MANU!$G$2:$G$4692,MATCH($P498,Sensors_MANU!$A$2:$A$4692,0)),)</f>
        <v/>
      </c>
      <c r="O498" s="6" t="inlineStr">
        <is>
          <t>v17</t>
        </is>
      </c>
      <c r="P498" t="n">
        <v>4978821</v>
      </c>
    </row>
    <row r="499">
      <c r="A499" s="32" t="inlineStr">
        <is>
          <t>TANKWAGON</t>
        </is>
      </c>
      <c r="B499" s="24">
        <f>IFERROR(INDEX(Companies!$A$3:$A$101,MATCH(A499,Companies!$B$3:$B$101,0)),"")</f>
        <v/>
      </c>
      <c r="C499">
        <f>IFERROR(_xlfn.IFNA(INDEX(Sensors_MANU!$F$2:$F$4692,MATCH($D499,Sensors_MANU!$B$2:$B$4692,0)),INDEX(Sensors_MANU!$F$2:$F$4692,MATCH($P499,Sensors_MANU!$A$2:$A$4692,0))),"")</f>
        <v/>
      </c>
      <c r="D499" t="inlineStr">
        <is>
          <t>F23835A8342B</t>
        </is>
      </c>
      <c r="E499">
        <f>LEFT(D499,2)&amp;":"&amp;MID(D499,3,2)&amp;":"&amp;MID(D499,5,2)&amp;":"&amp;MID(D499,7,2)&amp;":"&amp;MID(D499,9,2)&amp;":"&amp;RIGHT(D499,2)</f>
        <v/>
      </c>
      <c r="F499" s="29" t="n">
        <v>45222</v>
      </c>
      <c r="G499" s="29" t="inlineStr">
        <is>
          <t>Tankwagon</t>
        </is>
      </c>
      <c r="H499" s="2" t="inlineStr">
        <is>
          <t>A120E64F6B1EDF31</t>
        </is>
      </c>
      <c r="I499">
        <f>IFERROR(_xlfn.IFNA(INDEX(Sensors_MANU!$C$2:$C$4692,MATCH($D499,Sensors_MANU!$B$2:$B$4692,0)),INDEX(Sensors_MANU!$C$2:$C$4692,MATCH($P499,Sensors_MANU!$A$2:$A$4692,0))),"")</f>
        <v/>
      </c>
      <c r="J499">
        <f>IFERROR(_xlfn.IFNA(INDEX(Sensors_MANU!$D$2:$D$4692,MATCH($D499,Sensors_MANU!$B$2:$B$4692,0)),INDEX(Sensors_MANU!$D$2:$D$4692,MATCH($P499,Sensors_MANU!$A$2:$A$4692,0))),"")</f>
        <v/>
      </c>
      <c r="K499" s="27" t="inlineStr">
        <is>
          <t>33857929905-2</t>
        </is>
      </c>
      <c r="L499" s="27" t="inlineStr">
        <is>
          <t>3R</t>
        </is>
      </c>
      <c r="M499" s="27" t="n"/>
      <c r="N499" s="99">
        <f>IFERROR(INDEX(Sensors_MANU!$G$2:$G$4692,MATCH($P499,Sensors_MANU!$A$2:$A$4692,0)),)</f>
        <v/>
      </c>
      <c r="O499" s="6" t="inlineStr">
        <is>
          <t>V26</t>
        </is>
      </c>
      <c r="P499" t="n">
        <v>4978606</v>
      </c>
    </row>
    <row r="500">
      <c r="A500" s="32">
        <f>IFERROR(_xlfn.IFNA(INDEX(Sensors_MANU!$E$2:$E$4692,MATCH($D500,Sensors_MANU!$B$2:$B$4692,0)),INDEX(Sensors_MANU!$E$2:$E$4692,MATCH($P500,Sensors_MANU!$A$2:$A$4692,0))),"")</f>
        <v/>
      </c>
      <c r="B500" s="24">
        <f>IFERROR(INDEX(Companies!$A$3:$A$101,MATCH(A500,Companies!$B$3:$B$101,0)),"")</f>
        <v/>
      </c>
      <c r="C500">
        <f>IFERROR(_xlfn.IFNA(INDEX(Sensors_MANU!$F$2:$F$4692,MATCH($D500,Sensors_MANU!$B$2:$B$4692,0)),INDEX(Sensors_MANU!$F$2:$F$4692,MATCH($P500,Sensors_MANU!$A$2:$A$4692,0))),"")</f>
        <v/>
      </c>
      <c r="D500" t="inlineStr">
        <is>
          <t>CCF6BBC9758F</t>
        </is>
      </c>
      <c r="E500" s="24">
        <f>LEFT(D500,2)&amp;":"&amp;MID(D500,3,2)&amp;":"&amp;MID(D500,5,2)&amp;":"&amp;MID(D500,7,2)&amp;":"&amp;MID(D500,9,2)&amp;":"&amp;RIGHT(D500,2)</f>
        <v/>
      </c>
      <c r="H500" t="inlineStr">
        <is>
          <t>8C097BF9E70294FB</t>
        </is>
      </c>
      <c r="I500">
        <f>IFERROR(_xlfn.IFNA(INDEX(Sensors_MANU!$C$2:$C$4692,MATCH($D500,Sensors_MANU!$B$2:$B$4692,0)),INDEX(Sensors_MANU!$C$2:$C$4692,MATCH($P500,Sensors_MANU!$A$2:$A$4692,0))),"")</f>
        <v/>
      </c>
      <c r="J500">
        <f>IFERROR(_xlfn.IFNA(INDEX(Sensors_MANU!$D$2:$D$4692,MATCH($D500,Sensors_MANU!$B$2:$B$4692,0)),INDEX(Sensors_MANU!$D$2:$D$4692,MATCH($P500,Sensors_MANU!$A$2:$A$4692,0))),"")</f>
        <v/>
      </c>
      <c r="O500" s="6" t="inlineStr">
        <is>
          <t>V24</t>
        </is>
      </c>
    </row>
    <row r="501">
      <c r="A501" s="32">
        <f>IFERROR(_xlfn.IFNA(INDEX(Sensors_MANU!$E$2:$E$4692,MATCH($D501,Sensors_MANU!$B$2:$B$4692,0)),INDEX(Sensors_MANU!$E$2:$E$4692,MATCH($P501,Sensors_MANU!$A$2:$A$4692,0))),"")</f>
        <v/>
      </c>
      <c r="B501" s="24" t="inlineStr">
        <is>
          <t>64818ba10166b80f8d06f5fa</t>
        </is>
      </c>
      <c r="C501">
        <f>IFERROR(_xlfn.IFNA(INDEX(Sensors_MANU!$F$2:$F$4692,MATCH($D501,Sensors_MANU!$B$2:$B$4692,0)),INDEX(Sensors_MANU!$F$2:$F$4692,MATCH($P501,Sensors_MANU!$A$2:$A$4692,0))),"")</f>
        <v/>
      </c>
      <c r="D501" t="inlineStr">
        <is>
          <t>F622A312B251</t>
        </is>
      </c>
      <c r="E501" s="24">
        <f>LEFT(D501,2)&amp;":"&amp;MID(D501,3,2)&amp;":"&amp;MID(D501,5,2)&amp;":"&amp;MID(D501,7,2)&amp;":"&amp;MID(D501,9,2)&amp;":"&amp;RIGHT(D501,2)</f>
        <v/>
      </c>
      <c r="F501" s="29" t="n">
        <v>45090</v>
      </c>
      <c r="G501" s="29" t="inlineStr">
        <is>
          <t>VIEZO</t>
        </is>
      </c>
      <c r="H501" t="inlineStr">
        <is>
          <t>9CE4504A85929377</t>
        </is>
      </c>
      <c r="I501">
        <f>IFERROR(_xlfn.IFNA(INDEX(Sensors_MANU!$C$2:$C$4692,MATCH($D501,Sensors_MANU!$B$2:$B$4692,0)),INDEX(Sensors_MANU!$C$2:$C$4692,MATCH($P501,Sensors_MANU!$A$2:$A$4692,0))),"")</f>
        <v/>
      </c>
      <c r="J501">
        <f>IFERROR(_xlfn.IFNA(INDEX(Sensors_MANU!$D$2:$D$4692,MATCH($D501,Sensors_MANU!$B$2:$B$4692,0)),INDEX(Sensors_MANU!$D$2:$D$4692,MATCH($P501,Sensors_MANU!$A$2:$A$4692,0))),"")</f>
        <v/>
      </c>
      <c r="K501" s="27" t="inlineStr">
        <is>
          <t>33802742481-5</t>
        </is>
      </c>
      <c r="L501" s="27" t="inlineStr">
        <is>
          <t>3L</t>
        </is>
      </c>
      <c r="O501" s="6" t="inlineStr">
        <is>
          <t>V24</t>
        </is>
      </c>
    </row>
    <row r="502">
      <c r="A502" s="32" t="inlineStr">
        <is>
          <t>CARGONET</t>
        </is>
      </c>
      <c r="B502" s="24" t="inlineStr">
        <is>
          <t>64818ba10166b80f8d06f5fa</t>
        </is>
      </c>
      <c r="D502" t="inlineStr">
        <is>
          <t>D17350EDC925</t>
        </is>
      </c>
      <c r="E502" s="24">
        <f>LEFT(D502,2)&amp;":"&amp;MID(D502,3,2)&amp;":"&amp;MID(D502,5,2)&amp;":"&amp;MID(D502,7,2)&amp;":"&amp;MID(D502,9,2)&amp;":"&amp;RIGHT(D502,2)</f>
        <v/>
      </c>
      <c r="H502" t="inlineStr">
        <is>
          <t>D84AE69D1AFB09AF</t>
        </is>
      </c>
      <c r="J502" t="inlineStr">
        <is>
          <t>PR2203-288</t>
        </is>
      </c>
      <c r="K502" s="27" t="inlineStr">
        <is>
          <t>33764955305-0</t>
        </is>
      </c>
      <c r="L502" s="27" t="inlineStr">
        <is>
          <t>3R</t>
        </is>
      </c>
    </row>
    <row r="503">
      <c r="A503" s="32">
        <f>IFERROR(_xlfn.IFNA(INDEX(Sensors_MANU!$E$2:$E$4692,MATCH($D503,Sensors_MANU!$B$2:$B$4692,0)),INDEX(Sensors_MANU!$E$2:$E$4692,MATCH($P503,Sensors_MANU!$A$2:$A$4692,0))),"")</f>
        <v/>
      </c>
      <c r="B503" s="24">
        <f>IFERROR(INDEX(Companies!$A$3:$A$101,MATCH(A503,Companies!$B$3:$B$101,0)),"")</f>
        <v/>
      </c>
      <c r="C503" t="inlineStr">
        <is>
          <t>cargo</t>
        </is>
      </c>
      <c r="D503" t="inlineStr">
        <is>
          <t>FEA14F83EB0E</t>
        </is>
      </c>
      <c r="E503" s="24">
        <f>LEFT(D503,2)&amp;":"&amp;MID(D503,3,2)&amp;":"&amp;MID(D503,5,2)&amp;":"&amp;MID(D503,7,2)&amp;":"&amp;MID(D503,9,2)&amp;":"&amp;RIGHT(D503,2)</f>
        <v/>
      </c>
      <c r="F503" s="29" t="n">
        <v>44910</v>
      </c>
      <c r="G503" s="29" t="inlineStr">
        <is>
          <t>Viezo</t>
        </is>
      </c>
      <c r="H503" t="inlineStr">
        <is>
          <t>B80745BF786617A5</t>
        </is>
      </c>
      <c r="I503">
        <f>IFERROR(_xlfn.IFNA(INDEX(Sensors_MANU!$C$2:$C$4692,MATCH($D503,Sensors_MANU!$B$2:$B$4692,0)),INDEX(Sensors_MANU!$C$2:$C$4692,MATCH($P503,Sensors_MANU!$A$2:$A$4692,0))),"")</f>
        <v/>
      </c>
      <c r="J503">
        <f>IFERROR(_xlfn.IFNA(INDEX(Sensors_MANU!$D$2:$D$4692,MATCH($D503,Sensors_MANU!$B$2:$B$4692,0)),INDEX(Sensors_MANU!$D$2:$D$4692,MATCH($P503,Sensors_MANU!$A$2:$A$4692,0))),"")</f>
        <v/>
      </c>
      <c r="K503" s="27" t="inlineStr">
        <is>
          <t>31835376007-3</t>
        </is>
      </c>
      <c r="L503" s="27" t="inlineStr">
        <is>
          <t>2L</t>
        </is>
      </c>
      <c r="M503" s="27" t="n"/>
      <c r="N503" s="99">
        <f>IFERROR(INDEX(Sensors_MANU!$G$2:$G$4692,MATCH($P503,Sensors_MANU!$A$2:$A$4692,0)),)</f>
        <v/>
      </c>
      <c r="O503" s="6" t="inlineStr">
        <is>
          <t>v17</t>
        </is>
      </c>
      <c r="P503" t="n">
        <v>4978740</v>
      </c>
    </row>
    <row r="504">
      <c r="A504" s="32" t="inlineStr">
        <is>
          <t>TANKWAGON</t>
        </is>
      </c>
      <c r="B504" s="24">
        <f>IFERROR(INDEX(Companies!$A$3:$A$101,MATCH(A504,Companies!$B$3:$B$101,0)),"")</f>
        <v/>
      </c>
      <c r="C504">
        <f>IFERROR(_xlfn.IFNA(INDEX(Sensors_MANU!$F$2:$F$4692,MATCH($D504,Sensors_MANU!$B$2:$B$4692,0)),INDEX(Sensors_MANU!$F$2:$F$4692,MATCH($P504,Sensors_MANU!$A$2:$A$4692,0))),"")</f>
        <v/>
      </c>
      <c r="D504" t="inlineStr">
        <is>
          <t>F7A7C0426710</t>
        </is>
      </c>
      <c r="E504" s="24">
        <f>LEFT(D504,2)&amp;":"&amp;MID(D504,3,2)&amp;":"&amp;MID(D504,5,2)&amp;":"&amp;MID(D504,7,2)&amp;":"&amp;MID(D504,9,2)&amp;":"&amp;RIGHT(D504,2)</f>
        <v/>
      </c>
      <c r="H504" s="2" t="inlineStr">
        <is>
          <t>EAF097FC437CA462</t>
        </is>
      </c>
      <c r="J504" s="109" t="inlineStr">
        <is>
          <t>PR2203-290</t>
        </is>
      </c>
      <c r="O504" s="6" t="inlineStr">
        <is>
          <t>V26</t>
        </is>
      </c>
    </row>
    <row r="505">
      <c r="A505" s="26" t="inlineStr">
        <is>
          <t>TANKWAGON</t>
        </is>
      </c>
      <c r="B505" s="24">
        <f>IFERROR(INDEX(Companies!$A$3:$A$101,MATCH(A505,Companies!$B$3:$B$101,0)),"")</f>
        <v/>
      </c>
      <c r="C505">
        <f>IFERROR(_xlfn.IFNA(INDEX(Sensors_MANU!$F$2:$F$4692,MATCH($D505,Sensors_MANU!$B$2:$B$4692,0)),INDEX(Sensors_MANU!$F$2:$F$4692,MATCH($P505,Sensors_MANU!$A$2:$A$4692,0))),"")</f>
        <v/>
      </c>
      <c r="D505" t="inlineStr">
        <is>
          <t>FC788743CBA7</t>
        </is>
      </c>
      <c r="E505">
        <f>LEFT(D505,2)&amp;":"&amp;MID(D505,3,2)&amp;":"&amp;MID(D505,5,2)&amp;":"&amp;MID(D505,7,2)&amp;":"&amp;MID(D505,9,2)&amp;":"&amp;RIGHT(D505,2)</f>
        <v/>
      </c>
      <c r="F505" s="29" t="n">
        <v>45222</v>
      </c>
      <c r="G505" s="29" t="inlineStr">
        <is>
          <t>Tankwagon</t>
        </is>
      </c>
      <c r="H505" s="2" t="inlineStr">
        <is>
          <t>73EA1F7389D8CCE3</t>
        </is>
      </c>
      <c r="I505">
        <f>IFERROR(_xlfn.IFNA(INDEX(Sensors_MANU!$C$2:$C$4692,MATCH($D505,Sensors_MANU!$B$2:$B$4692,0)),INDEX(Sensors_MANU!$C$2:$C$4692,MATCH($P505,Sensors_MANU!$A$2:$A$4692,0))),"")</f>
        <v/>
      </c>
      <c r="J505">
        <f>IFERROR(_xlfn.IFNA(INDEX(Sensors_MANU!$D$2:$D$4692,MATCH($D505,Sensors_MANU!$B$2:$B$4692,0)),INDEX(Sensors_MANU!$D$2:$D$4692,MATCH($P505,Sensors_MANU!$A$2:$A$4692,0))),"")</f>
        <v/>
      </c>
      <c r="K505" s="27" t="inlineStr">
        <is>
          <t>33857929905-2</t>
        </is>
      </c>
      <c r="L505" s="27" t="inlineStr">
        <is>
          <t>4L</t>
        </is>
      </c>
      <c r="M505" s="27" t="n"/>
      <c r="N505" s="99">
        <f>IFERROR(INDEX(Sensors_MANU!$G$2:$G$4692,MATCH($P505,Sensors_MANU!$A$2:$A$4692,0)),)</f>
        <v/>
      </c>
      <c r="O505" s="6" t="inlineStr">
        <is>
          <t>V26</t>
        </is>
      </c>
      <c r="P505" t="n">
        <v>4978819</v>
      </c>
    </row>
    <row r="506">
      <c r="A506" s="32">
        <f>IFERROR(_xlfn.IFNA(INDEX(Sensors_MANU!$E$2:$E$4692,MATCH($D506,Sensors_MANU!$B$2:$B$4692,0)),INDEX(Sensors_MANU!$E$2:$E$4692,MATCH($P506,Sensors_MANU!$A$2:$A$4692,0))),"")</f>
        <v/>
      </c>
      <c r="B506" s="24">
        <f>IFERROR(INDEX(Companies!$A$3:$A$101,MATCH(A506,Companies!$B$3:$B$101,0)),"")</f>
        <v/>
      </c>
      <c r="C506" t="inlineStr">
        <is>
          <t>Cargo</t>
        </is>
      </c>
      <c r="D506" t="inlineStr">
        <is>
          <t>E2988D48AFFC</t>
        </is>
      </c>
      <c r="E506">
        <f>LEFT(D506,2)&amp;":"&amp;MID(D506,3,2)&amp;":"&amp;MID(D506,5,2)&amp;":"&amp;MID(D506,7,2)&amp;":"&amp;MID(D506,9,2)&amp;":"&amp;RIGHT(D506,2)</f>
        <v/>
      </c>
      <c r="F506" s="29" t="n">
        <v>44910</v>
      </c>
      <c r="G506" s="29" t="inlineStr">
        <is>
          <t>Viezo</t>
        </is>
      </c>
      <c r="H506" t="inlineStr">
        <is>
          <t>9E9F46671AEB9A3D</t>
        </is>
      </c>
      <c r="I506" s="6">
        <f>IFERROR(_xlfn.IFNA(INDEX(Sensors_MANU!$C$2:$C$4692,MATCH($D506,Sensors_MANU!$B$2:$B$4692,0)),INDEX(Sensors_MANU!$C$2:$C$4692,MATCH($P506,Sensors_MANU!$A$2:$A$4692,0))),"")</f>
        <v/>
      </c>
      <c r="J506">
        <f>IFERROR(_xlfn.IFNA(INDEX(Sensors_MANU!$D$2:$D$4692,MATCH($D506,Sensors_MANU!$B$2:$B$4692,0)),INDEX(Sensors_MANU!$D$2:$D$4692,MATCH($P506,Sensors_MANU!$A$2:$A$4692,0))),"")</f>
        <v/>
      </c>
      <c r="K506" s="27" t="inlineStr">
        <is>
          <t>33854506221-2</t>
        </is>
      </c>
      <c r="L506" s="27" t="inlineStr">
        <is>
          <t>1a</t>
        </is>
      </c>
      <c r="M506" s="27" t="n">
        <v>88110868</v>
      </c>
      <c r="N506" s="99">
        <f>IFERROR(INDEX(Sensors_MANU!$G$2:$G$4692,MATCH($P506,Sensors_MANU!$A$2:$A$4692,0)),)</f>
        <v/>
      </c>
      <c r="O506" s="6" t="inlineStr">
        <is>
          <t>v15</t>
        </is>
      </c>
      <c r="P506" t="n">
        <v>4978878</v>
      </c>
    </row>
    <row r="507">
      <c r="A507" s="32">
        <f>IFERROR(_xlfn.IFNA(INDEX(Sensors_MANU!$E$2:$E$4692,MATCH($D507,Sensors_MANU!$B$2:$B$4692,0)),INDEX(Sensors_MANU!$E$2:$E$4692,MATCH($P507,Sensors_MANU!$A$2:$A$4692,0))),"")</f>
        <v/>
      </c>
      <c r="B507" s="24">
        <f>IFERROR(INDEX(Companies!$A$3:$A$101,MATCH(A507,Companies!$B$3:$B$101,0)),"")</f>
        <v/>
      </c>
      <c r="C507">
        <f>IFERROR(_xlfn.IFNA(INDEX(Sensors_MANU!$F$2:$F$4692,MATCH($D507,Sensors_MANU!$B$2:$B$4692,0)),INDEX(Sensors_MANU!$F$2:$F$4692,MATCH($P507,Sensors_MANU!$A$2:$A$4692,0))),"")</f>
        <v/>
      </c>
      <c r="D507" s="25" t="inlineStr">
        <is>
          <t>F2765BDB7305</t>
        </is>
      </c>
      <c r="E507" s="24">
        <f>LEFT(D507,2)&amp;":"&amp;MID(D507,3,2)&amp;":"&amp;MID(D507,5,2)&amp;":"&amp;MID(D507,7,2)&amp;":"&amp;MID(D507,9,2)&amp;":"&amp;RIGHT(D507,2)</f>
        <v/>
      </c>
      <c r="H507" t="inlineStr">
        <is>
          <t>7B4E6DB21B48263B</t>
        </is>
      </c>
      <c r="I507">
        <f>IFERROR(_xlfn.IFNA(INDEX(Sensors_MANU!$C$2:$C$4692,MATCH($D507,Sensors_MANU!$B$2:$B$4692,0)),INDEX(Sensors_MANU!$C$2:$C$4692,MATCH($P507,Sensors_MANU!$A$2:$A$4692,0))),"")</f>
        <v/>
      </c>
      <c r="J507">
        <f>IFERROR(_xlfn.IFNA(INDEX(Sensors_MANU!$D$2:$D$4692,MATCH($D507,Sensors_MANU!$B$2:$B$4692,0)),INDEX(Sensors_MANU!$D$2:$D$4692,MATCH($P507,Sensors_MANU!$A$2:$A$4692,0))),"")</f>
        <v/>
      </c>
      <c r="O507" s="6" t="inlineStr">
        <is>
          <t>V23</t>
        </is>
      </c>
    </row>
    <row r="508">
      <c r="A508" s="32" t="inlineStr">
        <is>
          <t>TANKWAGON</t>
        </is>
      </c>
      <c r="B508" s="24">
        <f>IFERROR(INDEX(Companies!$A$3:$A$101,MATCH(A508,Companies!$B$3:$B$101,0)),"")</f>
        <v/>
      </c>
      <c r="C508">
        <f>IFERROR(_xlfn.IFNA(INDEX(Sensors_MANU!$F$2:$F$4692,MATCH($D508,Sensors_MANU!$B$2:$B$4692,0)),INDEX(Sensors_MANU!$F$2:$F$4692,MATCH($P508,Sensors_MANU!$A$2:$A$4692,0))),"")</f>
        <v/>
      </c>
      <c r="D508" s="25" t="inlineStr">
        <is>
          <t>C6CD3D10A46A</t>
        </is>
      </c>
      <c r="E508" s="24">
        <f>LEFT(D508,2)&amp;":"&amp;MID(D508,3,2)&amp;":"&amp;MID(D508,5,2)&amp;":"&amp;MID(D508,7,2)&amp;":"&amp;MID(D508,9,2)&amp;":"&amp;RIGHT(D508,2)</f>
        <v/>
      </c>
      <c r="H508" s="2" t="inlineStr">
        <is>
          <t>56F8791F52578356</t>
        </is>
      </c>
      <c r="I508">
        <f>IFERROR(_xlfn.IFNA(INDEX(Sensors_MANU!$C$2:$C$4692,MATCH($D508,Sensors_MANU!$B$2:$B$4692,0)),INDEX(Sensors_MANU!$C$2:$C$4692,MATCH($P508,Sensors_MANU!$A$2:$A$4692,0))),"")</f>
        <v/>
      </c>
      <c r="J508" s="109">
        <f>IFERROR(_xlfn.IFNA(INDEX(Sensors_MANU!$D$2:$D$4692,MATCH($D508,Sensors_MANU!$B$2:$B$4692,0)),INDEX(Sensors_MANU!$D$2:$D$4692,MATCH($P508,Sensors_MANU!$A$2:$A$4692,0))),"")</f>
        <v/>
      </c>
      <c r="O508" s="6" t="inlineStr">
        <is>
          <t>V26</t>
        </is>
      </c>
    </row>
    <row r="509">
      <c r="A509" s="32" t="inlineStr">
        <is>
          <t>RAILRELEASE</t>
        </is>
      </c>
      <c r="B509" s="24">
        <f>IFERROR(INDEX(Companies!$A$3:$A$101,MATCH(A509,Companies!$B$3:$B$101,0)),"")</f>
        <v/>
      </c>
      <c r="D509" t="inlineStr">
        <is>
          <t>FC183B3DE5E5</t>
        </is>
      </c>
      <c r="E509" s="7">
        <f>LEFT(D509,2)&amp;":"&amp;MID(D509,3,2)&amp;":"&amp;MID(D509,5,2)&amp;":"&amp;MID(D509,7,2)&amp;":"&amp;MID(D509,9,2)&amp;":"&amp;RIGHT(D509,2)</f>
        <v/>
      </c>
      <c r="F509" s="29" t="n">
        <v>45064</v>
      </c>
      <c r="G509" s="29" t="inlineStr">
        <is>
          <t>Viezo</t>
        </is>
      </c>
      <c r="H509" t="inlineStr">
        <is>
          <t>E49EBB40E092ED1B</t>
        </is>
      </c>
      <c r="J509" s="71" t="inlineStr">
        <is>
          <t>PR2203-295</t>
        </is>
      </c>
      <c r="K509" s="27" t="inlineStr">
        <is>
          <t>37844576159-6</t>
        </is>
      </c>
      <c r="L509" s="27" t="inlineStr">
        <is>
          <t>3R</t>
        </is>
      </c>
      <c r="N509" s="99">
        <f>IFERROR(INDEX(Sensors_MANU!$G$2:$G$4692,MATCH($P509,Sensors_MANU!$A$2:$A$4692,0)),)</f>
        <v/>
      </c>
      <c r="O509" s="6" t="inlineStr">
        <is>
          <t>v17</t>
        </is>
      </c>
      <c r="P509" t="n">
        <v>4978822</v>
      </c>
    </row>
    <row r="510">
      <c r="A510" s="32">
        <f>IFERROR(_xlfn.IFNA(INDEX(Sensors_MANU!$E$2:$E$4692,MATCH($D510,Sensors_MANU!$B$2:$B$4692,0)),INDEX(Sensors_MANU!$E$2:$E$4692,MATCH($P510,Sensors_MANU!$A$2:$A$4692,0))),"")</f>
        <v/>
      </c>
      <c r="B510" s="24">
        <f>IFERROR(INDEX(Companies!$A$3:$A$101,MATCH(A510,Companies!$B$3:$B$101,0)),"")</f>
        <v/>
      </c>
      <c r="C510">
        <f>IFERROR(_xlfn.IFNA(INDEX(Sensors_MANU!$F$2:$F$4692,MATCH($D510,Sensors_MANU!$B$2:$B$4692,0)),INDEX(Sensors_MANU!$F$2:$F$4692,MATCH($P510,Sensors_MANU!$A$2:$A$4692,0))),"")</f>
        <v/>
      </c>
      <c r="D510" t="inlineStr">
        <is>
          <t>D3A2615CD07A</t>
        </is>
      </c>
      <c r="E510">
        <f>LEFT(D510,2)&amp;":"&amp;MID(D510,3,2)&amp;":"&amp;MID(D510,5,2)&amp;":"&amp;MID(D510,7,2)&amp;":"&amp;MID(D510,9,2)&amp;":"&amp;RIGHT(D510,2)</f>
        <v/>
      </c>
      <c r="F510" s="29" t="n">
        <v>44964</v>
      </c>
      <c r="G510" s="29" t="inlineStr">
        <is>
          <t>Renfe</t>
        </is>
      </c>
      <c r="H510" t="inlineStr">
        <is>
          <t>50D4A9EA911C4270</t>
        </is>
      </c>
      <c r="I510">
        <f>IFERROR(_xlfn.IFNA(INDEX(Sensors_MANU!$C$2:$C$4692,MATCH($D510,Sensors_MANU!$B$2:$B$4692,0)),INDEX(Sensors_MANU!$C$2:$C$4692,MATCH($P510,Sensors_MANU!$A$2:$A$4692,0))),"")</f>
        <v/>
      </c>
      <c r="J510" s="68">
        <f>IFERROR(_xlfn.IFNA(INDEX(Sensors_MANU!$D$2:$D$4692,MATCH($D510,Sensors_MANU!$B$2:$B$4692,0)),INDEX(Sensors_MANU!$D$2:$D$4692,MATCH($P510,Sensors_MANU!$A$2:$A$4692,0))),"")</f>
        <v/>
      </c>
      <c r="K510" s="27" t="n">
        <v>529004</v>
      </c>
      <c r="L510" s="27" t="inlineStr">
        <is>
          <t>4L</t>
        </is>
      </c>
      <c r="M510" s="27" t="n"/>
      <c r="N510" s="99" t="inlineStr">
        <is>
          <t>replaced the lost one</t>
        </is>
      </c>
      <c r="O510" s="6" t="inlineStr">
        <is>
          <t>v16</t>
        </is>
      </c>
      <c r="P510" t="n">
        <v>4978806</v>
      </c>
    </row>
    <row r="511">
      <c r="A511" s="26" t="inlineStr">
        <is>
          <t>VIEZO</t>
        </is>
      </c>
      <c r="B511" s="24">
        <f>IFERROR(INDEX(Companies!$A$3:$A$101,MATCH(A511,Companies!$B$3:$B$101,0)),"")</f>
        <v/>
      </c>
      <c r="C511">
        <f>IFERROR(_xlfn.IFNA(INDEX(Sensors_MANU!$F$2:$F$4692,MATCH($D511,Sensors_MANU!$B$2:$B$4692,0)),INDEX(Sensors_MANU!$F$2:$F$4692,MATCH($P511,Sensors_MANU!$A$2:$A$4692,0))),"")</f>
        <v/>
      </c>
      <c r="D511" t="inlineStr">
        <is>
          <t>C8E7E49D92A0</t>
        </is>
      </c>
      <c r="E511">
        <f>LEFT(D511,2)&amp;":"&amp;MID(D511,3,2)&amp;":"&amp;MID(D511,5,2)&amp;":"&amp;MID(D511,7,2)&amp;":"&amp;MID(D511,9,2)&amp;":"&amp;RIGHT(D511,2)</f>
        <v/>
      </c>
      <c r="H511" t="inlineStr">
        <is>
          <t>FBC1F9C4EDC2E30F</t>
        </is>
      </c>
      <c r="J511">
        <f>IFERROR(_xlfn.IFNA(INDEX(Sensors_MANU!$D$2:$D$4692,MATCH($D511,Sensors_MANU!$B$2:$B$4692,0)),INDEX(Sensors_MANU!$D$2:$D$4692,MATCH($P511,Sensors_MANU!$A$2:$A$4692,0))),"")</f>
        <v/>
      </c>
      <c r="M511" s="27" t="n"/>
      <c r="N511" s="99">
        <f>IFERROR(INDEX(Sensors_MANU!$G$2:$G$4692,MATCH($P511,Sensors_MANU!$A$2:$A$4692,0)),)</f>
        <v/>
      </c>
      <c r="O511" s="6" t="inlineStr">
        <is>
          <t>v16</t>
        </is>
      </c>
      <c r="P511" t="n">
        <v>4978611</v>
      </c>
    </row>
    <row r="512">
      <c r="A512" s="32">
        <f>IFERROR(_xlfn.IFNA(INDEX(Sensors_MANU!$E$2:$E$4692,MATCH($D512,Sensors_MANU!$B$2:$B$4692,0)),INDEX(Sensors_MANU!$E$2:$E$4692,MATCH($P512,Sensors_MANU!$A$2:$A$4692,0))),"")</f>
        <v/>
      </c>
      <c r="B512" s="24">
        <f>IFERROR(INDEX(Companies!$A$3:$A$101,MATCH(A512,Companies!$B$3:$B$101,0)),"")</f>
        <v/>
      </c>
      <c r="C512">
        <f>IFERROR(_xlfn.IFNA(INDEX(Sensors_MANU!$F$2:$F$4692,MATCH($D512,Sensors_MANU!$B$2:$B$4692,0)),INDEX(Sensors_MANU!$F$2:$F$4692,MATCH($P512,Sensors_MANU!$A$2:$A$4692,0))),"")</f>
        <v/>
      </c>
      <c r="D512" s="25" t="inlineStr">
        <is>
          <t>DF4776B62F50</t>
        </is>
      </c>
      <c r="E512" s="24">
        <f>LEFT(D512,2)&amp;":"&amp;MID(D512,3,2)&amp;":"&amp;MID(D512,5,2)&amp;":"&amp;MID(D512,7,2)&amp;":"&amp;MID(D512,9,2)&amp;":"&amp;RIGHT(D512,2)</f>
        <v/>
      </c>
      <c r="F512" s="29" t="n">
        <v>44910</v>
      </c>
      <c r="G512" s="29" t="inlineStr">
        <is>
          <t>Viezo</t>
        </is>
      </c>
      <c r="H512" t="inlineStr">
        <is>
          <t>0AE834325D0D9D8D</t>
        </is>
      </c>
      <c r="I512">
        <f>IFERROR(_xlfn.IFNA(INDEX(Sensors_MANU!$C$2:$C$4692,MATCH($D512,Sensors_MANU!$B$2:$B$4692,0)),INDEX(Sensors_MANU!$C$2:$C$4692,MATCH($P512,Sensors_MANU!$A$2:$A$4692,0))),"")</f>
        <v/>
      </c>
      <c r="J512">
        <f>IFERROR(_xlfn.IFNA(INDEX(Sensors_MANU!$D$2:$D$4692,MATCH($D512,Sensors_MANU!$B$2:$B$4692,0)),INDEX(Sensors_MANU!$D$2:$D$4692,MATCH($P512,Sensors_MANU!$A$2:$A$4692,0))),"")</f>
        <v/>
      </c>
      <c r="K512" s="27" t="inlineStr">
        <is>
          <t>31834575297-2</t>
        </is>
      </c>
      <c r="L512" s="27" t="inlineStr">
        <is>
          <t>4R</t>
        </is>
      </c>
      <c r="O512" s="6" t="inlineStr">
        <is>
          <t>V23</t>
        </is>
      </c>
    </row>
    <row r="513">
      <c r="A513" s="32">
        <f>IFERROR(_xlfn.IFNA(INDEX(Sensors_MANU!$E$2:$E$4692,MATCH($D513,Sensors_MANU!$B$2:$B$4692,0)),INDEX(Sensors_MANU!$E$2:$E$4692,MATCH($P513,Sensors_MANU!$A$2:$A$4692,0))),"")</f>
        <v/>
      </c>
      <c r="B513" s="24">
        <f>IFERROR(INDEX(Companies!$A$3:$A$101,MATCH(A513,Companies!$B$3:$B$101,0)),"")</f>
        <v/>
      </c>
      <c r="C513">
        <f>IFERROR(_xlfn.IFNA(INDEX(Sensors_MANU!$F$2:$F$4692,MATCH($D513,Sensors_MANU!$B$2:$B$4692,0)),INDEX(Sensors_MANU!$F$2:$F$4692,MATCH($P513,Sensors_MANU!$A$2:$A$4692,0))),"")</f>
        <v/>
      </c>
      <c r="D513" t="inlineStr">
        <is>
          <t>DADFF84D64F2</t>
        </is>
      </c>
      <c r="E513">
        <f>LEFT(D513,2)&amp;":"&amp;MID(D513,3,2)&amp;":"&amp;MID(D513,5,2)&amp;":"&amp;MID(D513,7,2)&amp;":"&amp;MID(D513,9,2)&amp;":"&amp;RIGHT(D513,2)</f>
        <v/>
      </c>
      <c r="F513" s="29" t="n">
        <v>44918</v>
      </c>
      <c r="G513" s="29" t="inlineStr">
        <is>
          <t>Hupac</t>
        </is>
      </c>
      <c r="H513" t="inlineStr">
        <is>
          <t>86404A6084DCA6D6</t>
        </is>
      </c>
      <c r="I513">
        <f>IFERROR(_xlfn.IFNA(INDEX(Sensors_MANU!$C$2:$C$4692,MATCH($D513,Sensors_MANU!$B$2:$B$4692,0)),INDEX(Sensors_MANU!$C$2:$C$4692,MATCH($P513,Sensors_MANU!$A$2:$A$4692,0))),"")</f>
        <v/>
      </c>
      <c r="J513">
        <f>IFERROR(_xlfn.IFNA(INDEX(Sensors_MANU!$D$2:$D$4692,MATCH($D513,Sensors_MANU!$B$2:$B$4692,0)),INDEX(Sensors_MANU!$D$2:$D$4692,MATCH($P513,Sensors_MANU!$A$2:$A$4692,0))),"")</f>
        <v/>
      </c>
      <c r="K513" s="27" t="inlineStr">
        <is>
          <t>33854956673-9</t>
        </is>
      </c>
      <c r="L513" s="27" t="inlineStr">
        <is>
          <t>4b</t>
        </is>
      </c>
      <c r="M513" s="27" t="n">
        <v>88160060</v>
      </c>
      <c r="N513" s="99">
        <f>IFERROR(INDEX(Sensors_MANU!$G$2:$G$4692,MATCH($P513,Sensors_MANU!$A$2:$A$4692,0)),)</f>
        <v/>
      </c>
      <c r="O513" s="6" t="inlineStr">
        <is>
          <t>v16</t>
        </is>
      </c>
      <c r="P513" t="n">
        <v>4978723</v>
      </c>
    </row>
    <row r="514">
      <c r="A514" s="32" t="inlineStr">
        <is>
          <t>VIEZO</t>
        </is>
      </c>
      <c r="B514" s="24">
        <f>IFERROR(INDEX(Companies!$A$3:$A$101,MATCH(A514,Companies!$B$3:$B$101,0)),"")</f>
        <v/>
      </c>
      <c r="C514">
        <f>IFERROR(_xlfn.IFNA(INDEX(Sensors_MANU!$F$2:$F$4692,MATCH($D514,Sensors_MANU!$B$2:$B$4692,0)),INDEX(Sensors_MANU!$F$2:$F$4692,MATCH($P514,Sensors_MANU!$A$2:$A$4692,0))),"")</f>
        <v/>
      </c>
      <c r="D514" t="inlineStr">
        <is>
          <t>CB74C66DC77A</t>
        </is>
      </c>
      <c r="E514" s="24">
        <f>LEFT(D514,2)&amp;":"&amp;MID(D514,3,2)&amp;":"&amp;MID(D514,5,2)&amp;":"&amp;MID(D514,7,2)&amp;":"&amp;MID(D514,9,2)&amp;":"&amp;RIGHT(D514,2)</f>
        <v/>
      </c>
      <c r="H514" t="inlineStr">
        <is>
          <t>31F416397F41FC8F</t>
        </is>
      </c>
      <c r="J514" t="inlineStr">
        <is>
          <t>PR2203-301</t>
        </is>
      </c>
      <c r="O514" s="6" t="inlineStr">
        <is>
          <t>v17</t>
        </is>
      </c>
      <c r="P514" t="n">
        <v>4978827</v>
      </c>
    </row>
    <row r="515">
      <c r="A515" s="32">
        <f>IFERROR(_xlfn.IFNA(INDEX(Sensors_MANU!$E$2:$E$4692,MATCH($D515,Sensors_MANU!$B$2:$B$4692,0)),INDEX(Sensors_MANU!$E$2:$E$4692,MATCH($P515,Sensors_MANU!$A$2:$A$4692,0))),"")</f>
        <v/>
      </c>
      <c r="B515" s="24">
        <f>IFERROR(INDEX(Companies!$A$3:$A$101,MATCH(A515,Companies!$B$3:$B$101,0)),"")</f>
        <v/>
      </c>
      <c r="C515">
        <f>IFERROR(_xlfn.IFNA(INDEX(Sensors_MANU!$F$2:$F$4692,MATCH($D515,Sensors_MANU!$B$2:$B$4692,0)),INDEX(Sensors_MANU!$F$2:$F$4692,MATCH($P515,Sensors_MANU!$A$2:$A$4692,0))),"")</f>
        <v/>
      </c>
      <c r="D515" t="inlineStr">
        <is>
          <t>D80BB4F08BED</t>
        </is>
      </c>
      <c r="E515">
        <f>LEFT(D515,2)&amp;":"&amp;MID(D515,3,2)&amp;":"&amp;MID(D515,5,2)&amp;":"&amp;MID(D515,7,2)&amp;":"&amp;MID(D515,9,2)&amp;":"&amp;RIGHT(D515,2)</f>
        <v/>
      </c>
      <c r="F515" s="29" t="n">
        <v>44910</v>
      </c>
      <c r="G515" s="29" t="inlineStr">
        <is>
          <t>Viezo</t>
        </is>
      </c>
      <c r="H515" t="inlineStr">
        <is>
          <t>4421492136A63253</t>
        </is>
      </c>
      <c r="I515">
        <f>IFERROR(_xlfn.IFNA(INDEX(Sensors_MANU!$C$2:$C$4692,MATCH($D515,Sensors_MANU!$B$2:$B$4692,0)),INDEX(Sensors_MANU!$C$2:$C$4692,MATCH($P515,Sensors_MANU!$A$2:$A$4692,0))),"")</f>
        <v/>
      </c>
      <c r="J515">
        <f>IFERROR(_xlfn.IFNA(INDEX(Sensors_MANU!$D$2:$D$4692,MATCH($D515,Sensors_MANU!$B$2:$B$4692,0)),INDEX(Sensors_MANU!$D$2:$D$4692,MATCH($P515,Sensors_MANU!$A$2:$A$4692,0))),"")</f>
        <v/>
      </c>
      <c r="K515" s="27" t="inlineStr">
        <is>
          <t>31833916501-7</t>
        </is>
      </c>
      <c r="L515" s="27" t="inlineStr">
        <is>
          <t>2L</t>
        </is>
      </c>
      <c r="M515" s="27" t="n"/>
      <c r="N515" s="99">
        <f>IFERROR(INDEX(Sensors_MANU!$G$2:$G$4692,MATCH($P515,Sensors_MANU!$A$2:$A$4692,0)),)</f>
        <v/>
      </c>
      <c r="O515" s="6" t="inlineStr">
        <is>
          <t>v16</t>
        </is>
      </c>
      <c r="P515" t="n">
        <v>4978795</v>
      </c>
    </row>
    <row r="516">
      <c r="A516" s="32">
        <f>IFERROR(_xlfn.IFNA(INDEX(Sensors_MANU!$E$2:$E$4692,MATCH($D516,Sensors_MANU!$B$2:$B$4692,0)),INDEX(Sensors_MANU!$E$2:$E$4692,MATCH($P516,Sensors_MANU!$A$2:$A$4692,0))),"")</f>
        <v/>
      </c>
      <c r="B516" s="24">
        <f>IFERROR(INDEX(Companies!$A$3:$A$101,MATCH(A516,Companies!$B$3:$B$101,0)),"")</f>
        <v/>
      </c>
      <c r="C516">
        <f>IFERROR(_xlfn.IFNA(INDEX(Sensors_MANU!$F$2:$F$4692,MATCH($D516,Sensors_MANU!$B$2:$B$4692,0)),INDEX(Sensors_MANU!$F$2:$F$4692,MATCH($P516,Sensors_MANU!$A$2:$A$4692,0))),"")</f>
        <v/>
      </c>
      <c r="D516" t="inlineStr">
        <is>
          <t>DA19AAE88081</t>
        </is>
      </c>
      <c r="E516" s="24">
        <f>LEFT(D516,2)&amp;":"&amp;MID(D516,3,2)&amp;":"&amp;MID(D516,5,2)&amp;":"&amp;MID(D516,7,2)&amp;":"&amp;MID(D516,9,2)&amp;":"&amp;RIGHT(D516,2)</f>
        <v/>
      </c>
      <c r="H516" t="inlineStr">
        <is>
          <t>EA589F3CEECE2CE0</t>
        </is>
      </c>
      <c r="I516">
        <f>IFERROR(_xlfn.IFNA(INDEX(Sensors_MANU!$C$2:$C$4692,MATCH($D516,Sensors_MANU!$B$2:$B$4692,0)),INDEX(Sensors_MANU!$C$2:$C$4692,MATCH($P516,Sensors_MANU!$A$2:$A$4692,0))),"")</f>
        <v/>
      </c>
      <c r="J516">
        <f>IFERROR(_xlfn.IFNA(INDEX(Sensors_MANU!$D$2:$D$4692,MATCH($D516,Sensors_MANU!$B$2:$B$4692,0)),INDEX(Sensors_MANU!$D$2:$D$4692,MATCH($P516,Sensors_MANU!$A$2:$A$4692,0))),"")</f>
        <v/>
      </c>
      <c r="O516" s="6" t="inlineStr">
        <is>
          <t>V24</t>
        </is>
      </c>
    </row>
    <row r="517">
      <c r="B517" s="24">
        <f>IFERROR(INDEX(Companies!$A$3:$A$101,MATCH(A517,Companies!$B$3:$B$101,0)),"")</f>
        <v/>
      </c>
      <c r="C517">
        <f>IFERROR(_xlfn.IFNA(INDEX(Sensors_MANU!$F$2:$F$4692,MATCH($D517,Sensors_MANU!$B$2:$B$4692,0)),INDEX(Sensors_MANU!$F$2:$F$4692,MATCH($P517,Sensors_MANU!$A$2:$A$4692,0))),"")</f>
        <v/>
      </c>
      <c r="D517" t="inlineStr">
        <is>
          <t>F0FE663D83F5</t>
        </is>
      </c>
      <c r="E517">
        <f>LEFT(D517,2)&amp;":"&amp;MID(D517,3,2)&amp;":"&amp;MID(D517,5,2)&amp;":"&amp;MID(D517,7,2)&amp;":"&amp;MID(D517,9,2)&amp;":"&amp;RIGHT(D517,2)</f>
        <v/>
      </c>
      <c r="H517" t="inlineStr">
        <is>
          <t>75ECAA7972C8BA59</t>
        </is>
      </c>
      <c r="I517">
        <f>IFERROR(_xlfn.IFNA(INDEX(Sensors_MANU!$C$2:$C$4692,MATCH($D517,Sensors_MANU!$B$2:$B$4692,0)),INDEX(Sensors_MANU!$C$2:$C$4692,MATCH($P517,Sensors_MANU!$A$2:$A$4692,0))),"")</f>
        <v/>
      </c>
      <c r="J517" s="108">
        <f>IFERROR(_xlfn.IFNA(INDEX(Sensors_MANU!$D$2:$D$4692,MATCH($D517,Sensors_MANU!$B$2:$B$4692,0)),INDEX(Sensors_MANU!$D$2:$D$4692,MATCH($P517,Sensors_MANU!$A$2:$A$4692,0))),"")</f>
        <v/>
      </c>
      <c r="M517" s="27" t="n"/>
      <c r="N517" s="99">
        <f>IFERROR(INDEX(Sensors_MANU!$G$2:$G$4692,MATCH($P517,Sensors_MANU!$A$2:$A$4692,0)),)</f>
        <v/>
      </c>
      <c r="O517" s="6" t="inlineStr">
        <is>
          <t>v16</t>
        </is>
      </c>
      <c r="P517" t="n">
        <v>4978782</v>
      </c>
    </row>
    <row r="518">
      <c r="A518" s="32">
        <f>IFERROR(_xlfn.IFNA(INDEX(Sensors_MANU!$E$2:$E$4692,MATCH($D518,Sensors_MANU!$B$2:$B$4692,0)),INDEX(Sensors_MANU!$E$2:$E$4692,MATCH($P518,Sensors_MANU!$A$2:$A$4692,0))),"")</f>
        <v/>
      </c>
      <c r="B518" s="24" t="inlineStr">
        <is>
          <t>64818ba10166b80f8d06f5fa</t>
        </is>
      </c>
      <c r="C518">
        <f>IFERROR(_xlfn.IFNA(INDEX(Sensors_MANU!$F$2:$F$4692,MATCH($D518,Sensors_MANU!$B$2:$B$4692,0)),INDEX(Sensors_MANU!$F$2:$F$4692,MATCH($P518,Sensors_MANU!$A$2:$A$4692,0))),"")</f>
        <v/>
      </c>
      <c r="D518" t="inlineStr">
        <is>
          <t>CB929D3BD75E</t>
        </is>
      </c>
      <c r="E518" s="24">
        <f>LEFT(D518,2)&amp;":"&amp;MID(D518,3,2)&amp;":"&amp;MID(D518,5,2)&amp;":"&amp;MID(D518,7,2)&amp;":"&amp;MID(D518,9,2)&amp;":"&amp;RIGHT(D518,2)</f>
        <v/>
      </c>
      <c r="F518" s="29" t="n">
        <v>45090</v>
      </c>
      <c r="G518" s="29" t="inlineStr">
        <is>
          <t>VIEZO</t>
        </is>
      </c>
      <c r="H518" t="inlineStr">
        <is>
          <t>A2BA4ED008846AF4</t>
        </is>
      </c>
      <c r="I518">
        <f>IFERROR(_xlfn.IFNA(INDEX(Sensors_MANU!$C$2:$C$4692,MATCH($D518,Sensors_MANU!$B$2:$B$4692,0)),INDEX(Sensors_MANU!$C$2:$C$4692,MATCH($P518,Sensors_MANU!$A$2:$A$4692,0))),"")</f>
        <v/>
      </c>
      <c r="J518">
        <f>IFERROR(_xlfn.IFNA(INDEX(Sensors_MANU!$D$2:$D$4692,MATCH($D518,Sensors_MANU!$B$2:$B$4692,0)),INDEX(Sensors_MANU!$D$2:$D$4692,MATCH($P518,Sensors_MANU!$A$2:$A$4692,0))),"")</f>
        <v/>
      </c>
      <c r="K518" s="27" t="inlineStr">
        <is>
          <t>33802742481-5</t>
        </is>
      </c>
      <c r="L518" s="27" t="inlineStr">
        <is>
          <t>2L</t>
        </is>
      </c>
      <c r="O518" s="6" t="inlineStr">
        <is>
          <t>V25</t>
        </is>
      </c>
    </row>
    <row r="519">
      <c r="A519" s="32">
        <f>IFERROR(_xlfn.IFNA(INDEX(Sensors_MANU!$E$2:$E$4692,MATCH($D519,Sensors_MANU!$B$2:$B$4692,0)),INDEX(Sensors_MANU!$E$2:$E$4692,MATCH($P519,Sensors_MANU!$A$2:$A$4692,0))),"")</f>
        <v/>
      </c>
      <c r="B519" s="24">
        <f>IFERROR(INDEX(Companies!$A$3:$A$101,MATCH(A519,Companies!$B$3:$B$101,0)),"")</f>
        <v/>
      </c>
      <c r="C519">
        <f>IFERROR(_xlfn.IFNA(INDEX(Sensors_MANU!$F$2:$F$4692,MATCH($D519,Sensors_MANU!$B$2:$B$4692,0)),INDEX(Sensors_MANU!$F$2:$F$4692,MATCH($P519,Sensors_MANU!$A$2:$A$4692,0))),"")</f>
        <v/>
      </c>
      <c r="D519" t="inlineStr">
        <is>
          <t>CB444A62223C</t>
        </is>
      </c>
      <c r="E519">
        <f>LEFT(D519,2)&amp;":"&amp;MID(D519,3,2)&amp;":"&amp;MID(D519,5,2)&amp;":"&amp;MID(D519,7,2)&amp;":"&amp;MID(D519,9,2)&amp;":"&amp;RIGHT(D519,2)</f>
        <v/>
      </c>
      <c r="F519" s="29" t="n">
        <v>44918</v>
      </c>
      <c r="G519" s="29" t="inlineStr">
        <is>
          <t>Hupac</t>
        </is>
      </c>
      <c r="H519" t="inlineStr">
        <is>
          <t>0AB4DF48047F0888</t>
        </is>
      </c>
      <c r="I519">
        <f>IFERROR(_xlfn.IFNA(INDEX(Sensors_MANU!$C$2:$C$4692,MATCH($D519,Sensors_MANU!$B$2:$B$4692,0)),INDEX(Sensors_MANU!$C$2:$C$4692,MATCH($P519,Sensors_MANU!$A$2:$A$4692,0))),"")</f>
        <v/>
      </c>
      <c r="J519">
        <f>IFERROR(_xlfn.IFNA(INDEX(Sensors_MANU!$D$2:$D$4692,MATCH($D519,Sensors_MANU!$B$2:$B$4692,0)),INDEX(Sensors_MANU!$D$2:$D$4692,MATCH($P519,Sensors_MANU!$A$2:$A$4692,0))),"")</f>
        <v/>
      </c>
      <c r="K519" s="27" t="inlineStr">
        <is>
          <t>33854556814-3</t>
        </is>
      </c>
      <c r="L519" s="27" t="inlineStr">
        <is>
          <t>3a</t>
        </is>
      </c>
      <c r="M519" s="27" t="n">
        <v>88160384</v>
      </c>
      <c r="N519" s="99">
        <f>IFERROR(INDEX(Sensors_MANU!$G$2:$G$4692,MATCH($P519,Sensors_MANU!$A$2:$A$4692,0)),)</f>
        <v/>
      </c>
      <c r="O519" s="6" t="inlineStr">
        <is>
          <t>v16</t>
        </is>
      </c>
      <c r="P519" t="n">
        <v>4978536</v>
      </c>
    </row>
    <row r="520">
      <c r="A520" s="32">
        <f>IFERROR(_xlfn.IFNA(INDEX(Sensors_MANU!$E$2:$E$4692,MATCH($D520,Sensors_MANU!$B$2:$B$4692,0)),INDEX(Sensors_MANU!$E$2:$E$4692,MATCH($P520,Sensors_MANU!$A$2:$A$4692,0))),"")</f>
        <v/>
      </c>
      <c r="B520" s="24">
        <f>IFERROR(INDEX(Companies!$A$3:$A$101,MATCH(A520,Companies!$B$3:$B$101,0)),"")</f>
        <v/>
      </c>
      <c r="C520">
        <f>IFERROR(_xlfn.IFNA(INDEX(Sensors_MANU!$F$2:$F$4692,MATCH($D520,Sensors_MANU!$B$2:$B$4692,0)),INDEX(Sensors_MANU!$F$2:$F$4692,MATCH($P520,Sensors_MANU!$A$2:$A$4692,0))),"")</f>
        <v/>
      </c>
      <c r="D520" t="inlineStr">
        <is>
          <t>D5DA6F2BC635</t>
        </is>
      </c>
      <c r="E520">
        <f>LEFT(D520,2)&amp;":"&amp;MID(D520,3,2)&amp;":"&amp;MID(D520,5,2)&amp;":"&amp;MID(D520,7,2)&amp;":"&amp;MID(D520,9,2)&amp;":"&amp;RIGHT(D520,2)</f>
        <v/>
      </c>
      <c r="H520" t="inlineStr">
        <is>
          <t>85A3C43601FDB7EB</t>
        </is>
      </c>
      <c r="I520">
        <f>IFERROR(_xlfn.IFNA(INDEX(Sensors_MANU!$C$2:$C$4692,MATCH($D520,Sensors_MANU!$B$2:$B$4692,0)),INDEX(Sensors_MANU!$C$2:$C$4692,MATCH($P520,Sensors_MANU!$A$2:$A$4692,0))),"")</f>
        <v/>
      </c>
      <c r="J520">
        <f>IFERROR(_xlfn.IFNA(INDEX(Sensors_MANU!$D$2:$D$4692,MATCH($D520,Sensors_MANU!$B$2:$B$4692,0)),INDEX(Sensors_MANU!$D$2:$D$4692,MATCH($P520,Sensors_MANU!$A$2:$A$4692,0))),"")</f>
        <v/>
      </c>
      <c r="M520" s="27" t="n"/>
      <c r="N520" s="99">
        <f>IFERROR(INDEX(Sensors_MANU!$G$2:$G$4692,MATCH($P520,Sensors_MANU!$A$2:$A$4692,0)),)</f>
        <v/>
      </c>
      <c r="O520" s="6" t="inlineStr">
        <is>
          <t>v16</t>
        </is>
      </c>
      <c r="P520" t="n">
        <v>4978769</v>
      </c>
    </row>
    <row r="521">
      <c r="A521" s="32">
        <f>IFERROR(_xlfn.IFNA(INDEX(Sensors_MANU!$E$2:$E$4692,MATCH($D521,Sensors_MANU!$B$2:$B$4692,0)),INDEX(Sensors_MANU!$E$2:$E$4692,MATCH($P521,Sensors_MANU!$A$2:$A$4692,0))),"")</f>
        <v/>
      </c>
      <c r="B521" s="24">
        <f>IFERROR(INDEX(Companies!$A$3:$A$101,MATCH(A521,Companies!$B$3:$B$101,0)),"")</f>
        <v/>
      </c>
      <c r="D521" t="inlineStr">
        <is>
          <t>CA9C77375F6E</t>
        </is>
      </c>
      <c r="E521">
        <f>LEFT(D521,2)&amp;":"&amp;MID(D521,3,2)&amp;":"&amp;MID(D521,5,2)&amp;":"&amp;MID(D521,7,2)&amp;":"&amp;MID(D521,9,2)&amp;":"&amp;RIGHT(D521,2)</f>
        <v/>
      </c>
      <c r="F521" s="29" t="n">
        <v>44953</v>
      </c>
      <c r="G521" s="29" t="inlineStr">
        <is>
          <t>Fertagus</t>
        </is>
      </c>
      <c r="H521" t="inlineStr">
        <is>
          <t>C64F42D50781DF38</t>
        </is>
      </c>
      <c r="I521">
        <f>IFERROR(_xlfn.IFNA(INDEX(Sensors_MANU!$C$2:$C$4692,MATCH($D521,Sensors_MANU!$B$2:$B$4692,0)),INDEX(Sensors_MANU!$C$2:$C$4692,MATCH($P521,Sensors_MANU!$A$2:$A$4692,0))),"")</f>
        <v/>
      </c>
      <c r="J521">
        <f>IFERROR(_xlfn.IFNA(INDEX(Sensors_MANU!$D$2:$D$4692,MATCH($D521,Sensors_MANU!$B$2:$B$4692,0)),INDEX(Sensors_MANU!$D$2:$D$4692,MATCH($P521,Sensors_MANU!$A$2:$A$4692,0))),"")</f>
        <v/>
      </c>
      <c r="K521" s="27" t="inlineStr">
        <is>
          <t>M3505</t>
        </is>
      </c>
      <c r="L521" s="27" t="inlineStr">
        <is>
          <t>3L</t>
        </is>
      </c>
    </row>
    <row r="522">
      <c r="A522" s="32" t="inlineStr">
        <is>
          <t>TANKWAGON</t>
        </is>
      </c>
      <c r="B522" s="24">
        <f>IFERROR(INDEX(Companies!$A$3:$A$101,MATCH(A522,Companies!$B$3:$B$101,0)),"")</f>
        <v/>
      </c>
      <c r="C522">
        <f>IFERROR(_xlfn.IFNA(INDEX(Sensors_MANU!$F$2:$F$4692,MATCH($D522,Sensors_MANU!$B$2:$B$4692,0)),INDEX(Sensors_MANU!$F$2:$F$4692,MATCH($P522,Sensors_MANU!$A$2:$A$4692,0))),"")</f>
        <v/>
      </c>
      <c r="D522" s="104" t="inlineStr">
        <is>
          <t>EE0BEFEA4824</t>
        </is>
      </c>
      <c r="E522">
        <f>LEFT(D522,2)&amp;":"&amp;MID(D522,3,2)&amp;":"&amp;MID(D522,5,2)&amp;":"&amp;MID(D522,7,2)&amp;":"&amp;MID(D522,9,2)&amp;":"&amp;RIGHT(D522,2)</f>
        <v/>
      </c>
      <c r="H522" s="2" t="inlineStr">
        <is>
          <t>CE9C6532D5BED508</t>
        </is>
      </c>
      <c r="I522">
        <f>IFERROR(_xlfn.IFNA(INDEX(Sensors_MANU!$C$2:$C$4692,MATCH($D522,Sensors_MANU!$B$2:$B$4692,0)),INDEX(Sensors_MANU!$C$2:$C$4692,MATCH($P522,Sensors_MANU!$A$2:$A$4692,0))),"")</f>
        <v/>
      </c>
      <c r="J522" t="inlineStr">
        <is>
          <t>PR2203-311</t>
        </is>
      </c>
      <c r="M522" s="27" t="n"/>
      <c r="N522" s="99">
        <f>IFERROR(INDEX(Sensors_MANU!$G$2:$G$4692,MATCH($P522,Sensors_MANU!$A$2:$A$4692,0)),)</f>
        <v/>
      </c>
      <c r="O522" s="6" t="inlineStr">
        <is>
          <t>V26</t>
        </is>
      </c>
      <c r="P522" t="n">
        <v>4978797</v>
      </c>
    </row>
    <row r="523">
      <c r="A523" s="32">
        <f>IFERROR(_xlfn.IFNA(INDEX(Sensors_MANU!$E$2:$E$4692,MATCH($D523,Sensors_MANU!$B$2:$B$4692,0)),INDEX(Sensors_MANU!$E$2:$E$4692,MATCH($P523,Sensors_MANU!$A$2:$A$4692,0))),"")</f>
        <v/>
      </c>
      <c r="B523" s="24">
        <f>IFERROR(INDEX(Companies!$A$3:$A$101,MATCH(A523,Companies!$B$3:$B$101,0)),"")</f>
        <v/>
      </c>
      <c r="C523">
        <f>IFERROR(_xlfn.IFNA(INDEX(Sensors_MANU!$F$2:$F$4692,MATCH($D523,Sensors_MANU!$B$2:$B$4692,0)),INDEX(Sensors_MANU!$F$2:$F$4692,MATCH($P523,Sensors_MANU!$A$2:$A$4692,0))),"")</f>
        <v/>
      </c>
      <c r="D523" t="inlineStr">
        <is>
          <t>EB8C57BC29C3</t>
        </is>
      </c>
      <c r="E523">
        <f>LEFT(D523,2)&amp;":"&amp;MID(D523,3,2)&amp;":"&amp;MID(D523,5,2)&amp;":"&amp;MID(D523,7,2)&amp;":"&amp;MID(D523,9,2)&amp;":"&amp;RIGHT(D523,2)</f>
        <v/>
      </c>
      <c r="H523" t="inlineStr">
        <is>
          <t>EFFA1F16CFA46F69</t>
        </is>
      </c>
      <c r="I523">
        <f>IFERROR(_xlfn.IFNA(INDEX(Sensors_MANU!$C$2:$C$4692,MATCH($D523,Sensors_MANU!$B$2:$B$4692,0)),INDEX(Sensors_MANU!$C$2:$C$4692,MATCH($P523,Sensors_MANU!$A$2:$A$4692,0))),"")</f>
        <v/>
      </c>
      <c r="J523">
        <f>IFERROR(_xlfn.IFNA(INDEX(Sensors_MANU!$D$2:$D$4692,MATCH($D523,Sensors_MANU!$B$2:$B$4692,0)),INDEX(Sensors_MANU!$D$2:$D$4692,MATCH($P523,Sensors_MANU!$A$2:$A$4692,0))),"")</f>
        <v/>
      </c>
      <c r="N523" s="99">
        <f>IFERROR(INDEX(Sensors_MANU!$G$2:$G$4692,MATCH($P523,Sensors_MANU!$A$2:$A$4692,0)),)</f>
        <v/>
      </c>
      <c r="O523" s="6" t="inlineStr">
        <is>
          <t>v16</t>
        </is>
      </c>
      <c r="P523" t="n">
        <v>4978855</v>
      </c>
    </row>
    <row r="524">
      <c r="A524" s="32">
        <f>IFERROR(_xlfn.IFNA(INDEX(Sensors_MANU!$E$2:$E$4692,MATCH($D524,Sensors_MANU!$B$2:$B$4692,0)),INDEX(Sensors_MANU!$E$2:$E$4692,MATCH($P524,Sensors_MANU!$A$2:$A$4692,0))),"")</f>
        <v/>
      </c>
      <c r="B524" s="24">
        <f>IFERROR(INDEX(Companies!$A$3:$A$101,MATCH(A524,Companies!$B$3:$B$101,0)),"")</f>
        <v/>
      </c>
      <c r="C524">
        <f>IFERROR(_xlfn.IFNA(INDEX(Sensors_MANU!$F$2:$F$4692,MATCH($D524,Sensors_MANU!$B$2:$B$4692,0)),INDEX(Sensors_MANU!$F$2:$F$4692,MATCH($P524,Sensors_MANU!$A$2:$A$4692,0))),"")</f>
        <v/>
      </c>
      <c r="D524" s="25" t="inlineStr">
        <is>
          <t>E9B11154B728</t>
        </is>
      </c>
      <c r="E524" s="24">
        <f>LEFT(D524,2)&amp;":"&amp;MID(D524,3,2)&amp;":"&amp;MID(D524,5,2)&amp;":"&amp;MID(D524,7,2)&amp;":"&amp;MID(D524,9,2)&amp;":"&amp;RIGHT(D524,2)</f>
        <v/>
      </c>
      <c r="H524" t="inlineStr">
        <is>
          <t>48197F62E4F27CAA</t>
        </is>
      </c>
      <c r="I524">
        <f>IFERROR(_xlfn.IFNA(INDEX(Sensors_MANU!$C$2:$C$4692,MATCH($D524,Sensors_MANU!$B$2:$B$4692,0)),INDEX(Sensors_MANU!$C$2:$C$4692,MATCH($P524,Sensors_MANU!$A$2:$A$4692,0))),"")</f>
        <v/>
      </c>
      <c r="J524">
        <f>IFERROR(_xlfn.IFNA(INDEX(Sensors_MANU!$D$2:$D$4692,MATCH($D524,Sensors_MANU!$B$2:$B$4692,0)),INDEX(Sensors_MANU!$D$2:$D$4692,MATCH($P524,Sensors_MANU!$A$2:$A$4692,0))),"")</f>
        <v/>
      </c>
      <c r="O524" s="6" t="inlineStr">
        <is>
          <t>V23</t>
        </is>
      </c>
    </row>
    <row r="525">
      <c r="A525" s="32">
        <f>IFERROR(_xlfn.IFNA(INDEX(Sensors_MANU!$E$2:$E$4692,MATCH($D525,Sensors_MANU!$B$2:$B$4692,0)),INDEX(Sensors_MANU!$E$2:$E$4692,MATCH($P525,Sensors_MANU!$A$2:$A$4692,0))),"")</f>
        <v/>
      </c>
      <c r="B525" s="24" t="inlineStr">
        <is>
          <t>64818ba10166b80f8d06f5fa</t>
        </is>
      </c>
      <c r="C525">
        <f>IFERROR(_xlfn.IFNA(INDEX(Sensors_MANU!$F$2:$F$4692,MATCH($D525,Sensors_MANU!$B$2:$B$4692,0)),INDEX(Sensors_MANU!$F$2:$F$4692,MATCH($P525,Sensors_MANU!$A$2:$A$4692,0))),"")</f>
        <v/>
      </c>
      <c r="D525" t="inlineStr">
        <is>
          <t>C823E2D34CD1</t>
        </is>
      </c>
      <c r="E525" s="24">
        <f>LEFT(D525,2)&amp;":"&amp;MID(D525,3,2)&amp;":"&amp;MID(D525,5,2)&amp;":"&amp;MID(D525,7,2)&amp;":"&amp;MID(D525,9,2)&amp;":"&amp;RIGHT(D525,2)</f>
        <v/>
      </c>
      <c r="F525" s="29" t="n">
        <v>45090</v>
      </c>
      <c r="G525" s="29" t="inlineStr">
        <is>
          <t>VIEZO</t>
        </is>
      </c>
      <c r="H525" t="inlineStr">
        <is>
          <t>5CDC72E4C7294181</t>
        </is>
      </c>
      <c r="I525">
        <f>IFERROR(_xlfn.IFNA(INDEX(Sensors_MANU!$C$2:$C$4692,MATCH($D525,Sensors_MANU!$B$2:$B$4692,0)),INDEX(Sensors_MANU!$C$2:$C$4692,MATCH($P525,Sensors_MANU!$A$2:$A$4692,0))),"")</f>
        <v/>
      </c>
      <c r="J525">
        <f>IFERROR(_xlfn.IFNA(INDEX(Sensors_MANU!$D$2:$D$4692,MATCH($D525,Sensors_MANU!$B$2:$B$4692,0)),INDEX(Sensors_MANU!$D$2:$D$4692,MATCH($P525,Sensors_MANU!$A$2:$A$4692,0))),"")</f>
        <v/>
      </c>
      <c r="K525" s="27" t="inlineStr">
        <is>
          <t>33802742481-5</t>
        </is>
      </c>
      <c r="L525" s="27" t="inlineStr">
        <is>
          <t>1L</t>
        </is>
      </c>
      <c r="O525" s="6" t="inlineStr">
        <is>
          <t>V25</t>
        </is>
      </c>
    </row>
    <row r="526">
      <c r="A526" s="32">
        <f>IFERROR(_xlfn.IFNA(INDEX(Sensors_MANU!$E$2:$E$4692,MATCH($D526,Sensors_MANU!$B$2:$B$4692,0)),INDEX(Sensors_MANU!$E$2:$E$4692,MATCH($P526,Sensors_MANU!$A$2:$A$4692,0))),"")</f>
        <v/>
      </c>
      <c r="B526" s="24">
        <f>IFERROR(INDEX(Companies!$A$3:$A$101,MATCH(A526,Companies!$B$3:$B$101,0)),"")</f>
        <v/>
      </c>
      <c r="C526">
        <f>IFERROR(_xlfn.IFNA(INDEX(Sensors_MANU!$F$2:$F$4692,MATCH($D526,Sensors_MANU!$B$2:$B$4692,0)),INDEX(Sensors_MANU!$F$2:$F$4692,MATCH($P526,Sensors_MANU!$A$2:$A$4692,0))),"")</f>
        <v/>
      </c>
      <c r="D526" t="inlineStr">
        <is>
          <t>D270CA80C5E7</t>
        </is>
      </c>
      <c r="E526">
        <f>LEFT(D526,2)&amp;":"&amp;MID(D526,3,2)&amp;":"&amp;MID(D526,5,2)&amp;":"&amp;MID(D526,7,2)&amp;":"&amp;MID(D526,9,2)&amp;":"&amp;RIGHT(D526,2)</f>
        <v/>
      </c>
      <c r="H526" t="inlineStr">
        <is>
          <t>988D6261331E0466</t>
        </is>
      </c>
      <c r="I526">
        <f>IFERROR(_xlfn.IFNA(INDEX(Sensors_MANU!$C$2:$C$4692,MATCH($D526,Sensors_MANU!$B$2:$B$4692,0)),INDEX(Sensors_MANU!$C$2:$C$4692,MATCH($P526,Sensors_MANU!$A$2:$A$4692,0))),"")</f>
        <v/>
      </c>
      <c r="J526">
        <f>IFERROR(_xlfn.IFNA(INDEX(Sensors_MANU!$D$2:$D$4692,MATCH($D526,Sensors_MANU!$B$2:$B$4692,0)),INDEX(Sensors_MANU!$D$2:$D$4692,MATCH($P526,Sensors_MANU!$A$2:$A$4692,0))),"")</f>
        <v/>
      </c>
      <c r="M526" s="27" t="n"/>
      <c r="N526" s="99">
        <f>IFERROR(INDEX(Sensors_MANU!$G$2:$G$4692,MATCH($P526,Sensors_MANU!$A$2:$A$4692,0)),)</f>
        <v/>
      </c>
      <c r="O526" s="6" t="inlineStr">
        <is>
          <t>v16</t>
        </is>
      </c>
      <c r="P526" t="n">
        <v>4978905</v>
      </c>
    </row>
    <row r="527">
      <c r="A527" s="32">
        <f>IFERROR(_xlfn.IFNA(INDEX(Sensors_MANU!$E$2:$E$4692,MATCH($D527,Sensors_MANU!$B$2:$B$4692,0)),INDEX(Sensors_MANU!$E$2:$E$4692,MATCH($P527,Sensors_MANU!$A$2:$A$4692,0))),"")</f>
        <v/>
      </c>
      <c r="B527" s="24">
        <f>IFERROR(INDEX(Companies!$A$3:$A$101,MATCH(A527,Companies!$B$3:$B$101,0)),"")</f>
        <v/>
      </c>
      <c r="D527" t="inlineStr">
        <is>
          <t>FA2F2CC8CA8A</t>
        </is>
      </c>
      <c r="E527">
        <f>LEFT(D527,2)&amp;":"&amp;MID(D527,3,2)&amp;":"&amp;MID(D527,5,2)&amp;":"&amp;MID(D527,7,2)&amp;":"&amp;MID(D527,9,2)&amp;":"&amp;RIGHT(D527,2)</f>
        <v/>
      </c>
      <c r="H527" t="inlineStr">
        <is>
          <t>874168E9EFE75DB9</t>
        </is>
      </c>
      <c r="I527">
        <f>IFERROR(_xlfn.IFNA(INDEX(Sensors_MANU!$C$2:$C$4692,MATCH($D527,Sensors_MANU!$B$2:$B$4692,0)),INDEX(Sensors_MANU!$C$2:$C$4692,MATCH($P527,Sensors_MANU!$A$2:$A$4692,0))),"")</f>
        <v/>
      </c>
      <c r="J527">
        <f>IFERROR(_xlfn.IFNA(INDEX(Sensors_MANU!$D$2:$D$4692,MATCH($D527,Sensors_MANU!$B$2:$B$4692,0)),INDEX(Sensors_MANU!$D$2:$D$4692,MATCH($P527,Sensors_MANU!$A$2:$A$4692,0))),"")</f>
        <v/>
      </c>
      <c r="K527" s="27" t="inlineStr">
        <is>
          <t>BAH103</t>
        </is>
      </c>
      <c r="L527" s="27" t="inlineStr">
        <is>
          <t>1L</t>
        </is>
      </c>
    </row>
    <row r="528">
      <c r="A528" s="32">
        <f>IFERROR(_xlfn.IFNA(INDEX(Sensors_MANU!$E$2:$E$4692,MATCH($D528,Sensors_MANU!$B$2:$B$4692,0)),INDEX(Sensors_MANU!$E$2:$E$4692,MATCH($P528,Sensors_MANU!$A$2:$A$4692,0))),"")</f>
        <v/>
      </c>
      <c r="B528" s="24">
        <f>IFERROR(INDEX(Companies!$A$3:$A$101,MATCH(A528,Companies!$B$3:$B$101,0)),"")</f>
        <v/>
      </c>
      <c r="D528" t="inlineStr">
        <is>
          <t>C521A9816032</t>
        </is>
      </c>
      <c r="E528">
        <f>LEFT(D528,2)&amp;":"&amp;MID(D528,3,2)&amp;":"&amp;MID(D528,5,2)&amp;":"&amp;MID(D528,7,2)&amp;":"&amp;MID(D528,9,2)&amp;":"&amp;RIGHT(D528,2)</f>
        <v/>
      </c>
      <c r="F528" s="29" t="n">
        <v>44953</v>
      </c>
      <c r="G528" s="29" t="inlineStr">
        <is>
          <t>Fertagus</t>
        </is>
      </c>
      <c r="H528" t="inlineStr">
        <is>
          <t>5ECEA44962D088A2</t>
        </is>
      </c>
      <c r="I528">
        <f>IFERROR(_xlfn.IFNA(INDEX(Sensors_MANU!$C$2:$C$4692,MATCH($D528,Sensors_MANU!$B$2:$B$4692,0)),INDEX(Sensors_MANU!$C$2:$C$4692,MATCH($P528,Sensors_MANU!$A$2:$A$4692,0))),"")</f>
        <v/>
      </c>
      <c r="J528">
        <f>IFERROR(_xlfn.IFNA(INDEX(Sensors_MANU!$D$2:$D$4692,MATCH($D528,Sensors_MANU!$B$2:$B$4692,0)),INDEX(Sensors_MANU!$D$2:$D$4692,MATCH($P528,Sensors_MANU!$A$2:$A$4692,0))),"")</f>
        <v/>
      </c>
      <c r="K528" s="27" t="inlineStr">
        <is>
          <t>M3555</t>
        </is>
      </c>
      <c r="L528" s="27" t="inlineStr">
        <is>
          <t>4L</t>
        </is>
      </c>
    </row>
    <row r="529">
      <c r="A529" s="32" t="inlineStr">
        <is>
          <t>TANKWAGON</t>
        </is>
      </c>
      <c r="B529" s="24">
        <f>IFERROR(INDEX(Companies!$A$3:$A$101,MATCH(A529,Companies!$B$3:$B$101,0)),"")</f>
        <v/>
      </c>
      <c r="C529">
        <f>IFERROR(_xlfn.IFNA(INDEX(Sensors_MANU!$F$2:$F$4692,MATCH($D529,Sensors_MANU!$B$2:$B$4692,0)),INDEX(Sensors_MANU!$F$2:$F$4692,MATCH($P529,Sensors_MANU!$A$2:$A$4692,0))),"")</f>
        <v/>
      </c>
      <c r="D529" s="104" t="inlineStr">
        <is>
          <t>FF5E145CE845</t>
        </is>
      </c>
      <c r="E529">
        <f>LEFT(D529,2)&amp;":"&amp;MID(D529,3,2)&amp;":"&amp;MID(D529,5,2)&amp;":"&amp;MID(D529,7,2)&amp;":"&amp;MID(D529,9,2)&amp;":"&amp;RIGHT(D529,2)</f>
        <v/>
      </c>
      <c r="H529" s="2" t="inlineStr">
        <is>
          <t>2031908D188A4B6D</t>
        </is>
      </c>
      <c r="J529">
        <f>IFERROR(_xlfn.IFNA(INDEX(Sensors_MANU!$D$2:$D$4692,MATCH($D529,Sensors_MANU!$B$2:$B$4692,0)),INDEX(Sensors_MANU!$D$2:$D$4692,MATCH($P529,Sensors_MANU!$A$2:$A$4692,0))),"")</f>
        <v/>
      </c>
      <c r="M529" s="27" t="n"/>
      <c r="N529" s="99">
        <f>IFERROR(INDEX(Sensors_MANU!$G$2:$G$4692,MATCH($P529,Sensors_MANU!$A$2:$A$4692,0)),)</f>
        <v/>
      </c>
      <c r="O529" s="6" t="inlineStr">
        <is>
          <t>V26</t>
        </is>
      </c>
      <c r="P529" t="n">
        <v>4978654</v>
      </c>
    </row>
    <row r="530">
      <c r="A530" s="32">
        <f>IFERROR(_xlfn.IFNA(INDEX(Sensors_MANU!$E$2:$E$4692,MATCH($D530,Sensors_MANU!$B$2:$B$4692,0)),INDEX(Sensors_MANU!$E$2:$E$4692,MATCH($P530,Sensors_MANU!$A$2:$A$4692,0))),"")</f>
        <v/>
      </c>
      <c r="B530" s="24">
        <f>IFERROR(INDEX(Companies!$A$3:$A$101,MATCH(A530,Companies!$B$3:$B$101,0)),"")</f>
        <v/>
      </c>
      <c r="C530">
        <f>IFERROR(_xlfn.IFNA(INDEX(Sensors_MANU!$F$2:$F$4692,MATCH($D530,Sensors_MANU!$B$2:$B$4692,0)),INDEX(Sensors_MANU!$F$2:$F$4692,MATCH($P530,Sensors_MANU!$A$2:$A$4692,0))),"")</f>
        <v/>
      </c>
      <c r="D530" t="inlineStr">
        <is>
          <t>ED314776022E</t>
        </is>
      </c>
      <c r="E530">
        <f>LEFT(D530,2)&amp;":"&amp;MID(D530,3,2)&amp;":"&amp;MID(D530,5,2)&amp;":"&amp;MID(D530,7,2)&amp;":"&amp;MID(D530,9,2)&amp;":"&amp;RIGHT(D530,2)</f>
        <v/>
      </c>
      <c r="F530" s="29" t="n">
        <v>44910</v>
      </c>
      <c r="G530" s="29" t="inlineStr">
        <is>
          <t>Viezo</t>
        </is>
      </c>
      <c r="H530" t="inlineStr">
        <is>
          <t>843BF4EE2A39AFDD</t>
        </is>
      </c>
      <c r="I530">
        <f>IFERROR(_xlfn.IFNA(INDEX(Sensors_MANU!$C$2:$C$4692,MATCH($D530,Sensors_MANU!$B$2:$B$4692,0)),INDEX(Sensors_MANU!$C$2:$C$4692,MATCH($P530,Sensors_MANU!$A$2:$A$4692,0))),"")</f>
        <v/>
      </c>
      <c r="J530">
        <f>IFERROR(_xlfn.IFNA(INDEX(Sensors_MANU!$D$2:$D$4692,MATCH($D530,Sensors_MANU!$B$2:$B$4692,0)),INDEX(Sensors_MANU!$D$2:$D$4692,MATCH($P530,Sensors_MANU!$A$2:$A$4692,0))),"")</f>
        <v/>
      </c>
      <c r="K530" s="27" t="inlineStr">
        <is>
          <t>31834575297-2</t>
        </is>
      </c>
      <c r="L530" s="27" t="inlineStr">
        <is>
          <t>2L</t>
        </is>
      </c>
      <c r="M530" s="27" t="n"/>
      <c r="N530" s="99">
        <f>IFERROR(INDEX(Sensors_MANU!$G$2:$G$4692,MATCH($P530,Sensors_MANU!$A$2:$A$4692,0)),)</f>
        <v/>
      </c>
      <c r="O530" s="6" t="inlineStr">
        <is>
          <t>v16</t>
        </is>
      </c>
      <c r="P530" t="n">
        <v>4978661</v>
      </c>
    </row>
    <row r="531">
      <c r="A531" s="32">
        <f>IFERROR(_xlfn.IFNA(INDEX(Sensors_MANU!$E$2:$E$4692,MATCH($D531,Sensors_MANU!$B$2:$B$4692,0)),INDEX(Sensors_MANU!$E$2:$E$4692,MATCH($P531,Sensors_MANU!$A$2:$A$4692,0))),"")</f>
        <v/>
      </c>
      <c r="B531" s="24">
        <f>IFERROR(INDEX(Companies!$A$3:$A$101,MATCH(A531,Companies!$B$3:$B$101,0)),"")</f>
        <v/>
      </c>
      <c r="C531">
        <f>IFERROR(_xlfn.IFNA(INDEX(Sensors_MANU!$F$2:$F$4692,MATCH($D531,Sensors_MANU!$B$2:$B$4692,0)),INDEX(Sensors_MANU!$F$2:$F$4692,MATCH($P531,Sensors_MANU!$A$2:$A$4692,0))),"")</f>
        <v/>
      </c>
      <c r="D531" t="inlineStr">
        <is>
          <t>D3D96FE91109</t>
        </is>
      </c>
      <c r="E531">
        <f>LEFT(D531,2)&amp;":"&amp;MID(D531,3,2)&amp;":"&amp;MID(D531,5,2)&amp;":"&amp;MID(D531,7,2)&amp;":"&amp;MID(D531,9,2)&amp;":"&amp;RIGHT(D531,2)</f>
        <v/>
      </c>
      <c r="F531" s="29" t="n">
        <v>44910</v>
      </c>
      <c r="G531" s="29" t="inlineStr">
        <is>
          <t>Viezo</t>
        </is>
      </c>
      <c r="H531" t="inlineStr">
        <is>
          <t>80D7A296E7230BA0</t>
        </is>
      </c>
      <c r="I531">
        <f>IFERROR(_xlfn.IFNA(INDEX(Sensors_MANU!$C$2:$C$4692,MATCH($D531,Sensors_MANU!$B$2:$B$4692,0)),INDEX(Sensors_MANU!$C$2:$C$4692,MATCH($P531,Sensors_MANU!$A$2:$A$4692,0))),"")</f>
        <v/>
      </c>
      <c r="J531">
        <f>IFERROR(_xlfn.IFNA(INDEX(Sensors_MANU!$D$2:$D$4692,MATCH($D531,Sensors_MANU!$B$2:$B$4692,0)),INDEX(Sensors_MANU!$D$2:$D$4692,MATCH($P531,Sensors_MANU!$A$2:$A$4692,0))),"")</f>
        <v/>
      </c>
      <c r="K531" s="27" t="inlineStr">
        <is>
          <t>31833919338-1</t>
        </is>
      </c>
      <c r="L531" s="27" t="inlineStr">
        <is>
          <t>1R</t>
        </is>
      </c>
      <c r="M531" s="27" t="n"/>
      <c r="N531" s="99">
        <f>IFERROR(INDEX(Sensors_MANU!$G$2:$G$4692,MATCH($P531,Sensors_MANU!$A$2:$A$4692,0)),)</f>
        <v/>
      </c>
      <c r="O531" s="6" t="inlineStr">
        <is>
          <t>v16</t>
        </is>
      </c>
      <c r="P531" t="n">
        <v>4978660</v>
      </c>
    </row>
    <row r="532">
      <c r="A532" s="32" t="inlineStr">
        <is>
          <t>CARGONET</t>
        </is>
      </c>
      <c r="B532" s="24">
        <f>IFERROR(INDEX(Companies!$A$3:$A$101,MATCH(A532,Companies!$B$3:$B$101,0)),"")</f>
        <v/>
      </c>
      <c r="D532" t="inlineStr">
        <is>
          <t>C2D3807BBC32</t>
        </is>
      </c>
      <c r="E532">
        <f>LEFT(D532,2)&amp;":"&amp;MID(D532,3,2)&amp;":"&amp;MID(D532,5,2)&amp;":"&amp;MID(D532,7,2)&amp;":"&amp;MID(D532,9,2)&amp;":"&amp;RIGHT(D532,2)</f>
        <v/>
      </c>
      <c r="H532" t="inlineStr">
        <is>
          <t>7EDAB82877B9CC99</t>
        </is>
      </c>
      <c r="J532" t="inlineStr">
        <is>
          <t>PR2203-323</t>
        </is>
      </c>
      <c r="K532" s="27" t="inlineStr">
        <is>
          <t>33764955324-1</t>
        </is>
      </c>
      <c r="L532" s="27" t="inlineStr">
        <is>
          <t>1R</t>
        </is>
      </c>
    </row>
    <row r="533">
      <c r="A533" s="32">
        <f>IFERROR(_xlfn.IFNA(INDEX(Sensors_MANU!$E$2:$E$4692,MATCH($D533,Sensors_MANU!$B$2:$B$4692,0)),INDEX(Sensors_MANU!$E$2:$E$4692,MATCH($P533,Sensors_MANU!$A$2:$A$4692,0))),"")</f>
        <v/>
      </c>
      <c r="B533" s="24">
        <f>IFERROR(INDEX(Companies!$A$3:$A$101,MATCH(A533,Companies!$B$3:$B$101,0)),"")</f>
        <v/>
      </c>
      <c r="C533">
        <f>IFERROR(_xlfn.IFNA(INDEX(Sensors_MANU!$F$2:$F$4692,MATCH($D533,Sensors_MANU!$B$2:$B$4692,0)),INDEX(Sensors_MANU!$F$2:$F$4692,MATCH($P533,Sensors_MANU!$A$2:$A$4692,0))),"")</f>
        <v/>
      </c>
      <c r="D533" t="inlineStr">
        <is>
          <t>D2095303814F</t>
        </is>
      </c>
      <c r="E533">
        <f>LEFT(D533,2)&amp;":"&amp;MID(D533,3,2)&amp;":"&amp;MID(D533,5,2)&amp;":"&amp;MID(D533,7,2)&amp;":"&amp;MID(D533,9,2)&amp;":"&amp;RIGHT(D533,2)</f>
        <v/>
      </c>
      <c r="H533" t="inlineStr">
        <is>
          <t>3D8A4DC6C0ADD2CD</t>
        </is>
      </c>
      <c r="I533">
        <f>IFERROR(_xlfn.IFNA(INDEX(Sensors_MANU!$C$2:$C$4692,MATCH($D533,Sensors_MANU!$B$2:$B$4692,0)),INDEX(Sensors_MANU!$C$2:$C$4692,MATCH($P533,Sensors_MANU!$A$2:$A$4692,0))),"")</f>
        <v/>
      </c>
      <c r="J533">
        <f>IFERROR(_xlfn.IFNA(INDEX(Sensors_MANU!$D$2:$D$4692,MATCH($D533,Sensors_MANU!$B$2:$B$4692,0)),INDEX(Sensors_MANU!$D$2:$D$4692,MATCH($P533,Sensors_MANU!$A$2:$A$4692,0))),"")</f>
        <v/>
      </c>
      <c r="M533" s="27" t="n"/>
      <c r="N533" s="99">
        <f>IFERROR(INDEX(Sensors_MANU!$G$2:$G$4692,MATCH($P533,Sensors_MANU!$A$2:$A$4692,0)),)</f>
        <v/>
      </c>
      <c r="O533" s="6" t="inlineStr">
        <is>
          <t>v16</t>
        </is>
      </c>
      <c r="P533" t="n">
        <v>4978814</v>
      </c>
    </row>
    <row r="534">
      <c r="A534" s="32" t="inlineStr">
        <is>
          <t>CARGONET</t>
        </is>
      </c>
      <c r="B534" s="24">
        <f>IFERROR(INDEX(Companies!$A$3:$A$101,MATCH(A534,Companies!$B$3:$B$101,0)),"")</f>
        <v/>
      </c>
      <c r="D534" t="inlineStr">
        <is>
          <t>DEB0590EFAB9</t>
        </is>
      </c>
      <c r="E534">
        <f>LEFT(D534,2)&amp;":"&amp;MID(D534,3,2)&amp;":"&amp;MID(D534,5,2)&amp;":"&amp;MID(D534,7,2)&amp;":"&amp;MID(D534,9,2)&amp;":"&amp;RIGHT(D534,2)</f>
        <v/>
      </c>
      <c r="H534" t="inlineStr">
        <is>
          <t>2D92DEF9C3473717</t>
        </is>
      </c>
      <c r="I534">
        <f>IFERROR(_xlfn.IFNA(INDEX(Sensors_MANU!$C$2:$C$4692,MATCH($D534,Sensors_MANU!$B$2:$B$4692,0)),INDEX(Sensors_MANU!$C$2:$C$4692,MATCH($P534,Sensors_MANU!$A$2:$A$4692,0))),"")</f>
        <v/>
      </c>
      <c r="J534" t="inlineStr">
        <is>
          <t>PR2203-324</t>
        </is>
      </c>
      <c r="K534" s="27" t="inlineStr">
        <is>
          <t>33764955324-1</t>
        </is>
      </c>
      <c r="L534" s="27" t="inlineStr">
        <is>
          <t>2L</t>
        </is>
      </c>
    </row>
    <row r="535">
      <c r="A535" s="32" t="inlineStr">
        <is>
          <t>CARGONET</t>
        </is>
      </c>
      <c r="B535" s="24">
        <f>IFERROR(INDEX(Companies!$A$3:$A$101,MATCH(A535,Companies!$B$3:$B$101,0)),"")</f>
        <v/>
      </c>
      <c r="D535" t="inlineStr">
        <is>
          <t>C2737DDFDC30</t>
        </is>
      </c>
      <c r="E535">
        <f>LEFT(D535,2)&amp;":"&amp;MID(D535,3,2)&amp;":"&amp;MID(D535,5,2)&amp;":"&amp;MID(D535,7,2)&amp;":"&amp;MID(D535,9,2)&amp;":"&amp;RIGHT(D535,2)</f>
        <v/>
      </c>
      <c r="H535" t="inlineStr">
        <is>
          <t>5A5A59A1AA1424B9</t>
        </is>
      </c>
      <c r="J535" t="inlineStr">
        <is>
          <t>PR2203-325</t>
        </is>
      </c>
      <c r="K535" s="27" t="inlineStr">
        <is>
          <t>33764955305-0</t>
        </is>
      </c>
      <c r="L535" s="27" t="inlineStr">
        <is>
          <t>5L</t>
        </is>
      </c>
    </row>
    <row r="536">
      <c r="A536" s="32" t="inlineStr">
        <is>
          <t>CARGONET</t>
        </is>
      </c>
      <c r="B536" s="24">
        <f>IFERROR(INDEX(Companies!$A$3:$A$101,MATCH(A536,Companies!$B$3:$B$101,0)),"")</f>
        <v/>
      </c>
      <c r="C536">
        <f>IFERROR(_xlfn.IFNA(INDEX(Sensors_MANU!$F$2:$F$4692,MATCH($D536,Sensors_MANU!$B$2:$B$4692,0)),INDEX(Sensors_MANU!$F$2:$F$4692,MATCH($P536,Sensors_MANU!$A$2:$A$4692,0))),"")</f>
        <v/>
      </c>
      <c r="D536" t="inlineStr">
        <is>
          <t>E6FE974E133A</t>
        </is>
      </c>
      <c r="E536">
        <f>LEFT(D536,2)&amp;":"&amp;MID(D536,3,2)&amp;":"&amp;MID(D536,5,2)&amp;":"&amp;MID(D536,7,2)&amp;":"&amp;MID(D536,9,2)&amp;":"&amp;RIGHT(D536,2)</f>
        <v/>
      </c>
      <c r="H536" t="inlineStr">
        <is>
          <t>13CE07A789BA6C3B</t>
        </is>
      </c>
      <c r="I536">
        <f>IFERROR(_xlfn.IFNA(INDEX(Sensors_MANU!$C$2:$C$4692,MATCH($D536,Sensors_MANU!$B$2:$B$4692,0)),INDEX(Sensors_MANU!$C$2:$C$4692,MATCH($P536,Sensors_MANU!$A$2:$A$4692,0))),"")</f>
        <v/>
      </c>
      <c r="J536">
        <f>IFERROR(_xlfn.IFNA(INDEX(Sensors_MANU!$D$2:$D$4692,MATCH($D536,Sensors_MANU!$B$2:$B$4692,0)),INDEX(Sensors_MANU!$D$2:$D$4692,MATCH($P536,Sensors_MANU!$A$2:$A$4692,0))),"")</f>
        <v/>
      </c>
      <c r="K536" s="27" t="inlineStr">
        <is>
          <t>33764955305-0</t>
        </is>
      </c>
      <c r="L536" s="27" t="inlineStr">
        <is>
          <t>2L</t>
        </is>
      </c>
      <c r="N536" s="99">
        <f>IFERROR(INDEX(Sensors_MANU!$G$2:$G$4692,MATCH($P536,Sensors_MANU!$A$2:$A$4692,0)),)</f>
        <v/>
      </c>
      <c r="O536" s="6" t="inlineStr">
        <is>
          <t>v16</t>
        </is>
      </c>
      <c r="P536" t="n">
        <v>4978576</v>
      </c>
    </row>
    <row r="537">
      <c r="A537" s="32">
        <f>IFERROR(_xlfn.IFNA(INDEX(Sensors_MANU!$E$2:$E$4692,MATCH($D537,Sensors_MANU!$B$2:$B$4692,0)),INDEX(Sensors_MANU!$E$2:$E$4692,MATCH($P537,Sensors_MANU!$A$2:$A$4692,0))),"")</f>
        <v/>
      </c>
      <c r="B537" s="24" t="inlineStr">
        <is>
          <t>64818ba10166b80f8d06f5fa</t>
        </is>
      </c>
      <c r="C537">
        <f>IFERROR(_xlfn.IFNA(INDEX(Sensors_MANU!$F$2:$F$4692,MATCH($D537,Sensors_MANU!$B$2:$B$4692,0)),INDEX(Sensors_MANU!$F$2:$F$4692,MATCH($P537,Sensors_MANU!$A$2:$A$4692,0))),"")</f>
        <v/>
      </c>
      <c r="D537" t="inlineStr">
        <is>
          <t>CD8507758575</t>
        </is>
      </c>
      <c r="E537" s="24">
        <f>LEFT(D537,2)&amp;":"&amp;MID(D537,3,2)&amp;":"&amp;MID(D537,5,2)&amp;":"&amp;MID(D537,7,2)&amp;":"&amp;MID(D537,9,2)&amp;":"&amp;RIGHT(D537,2)</f>
        <v/>
      </c>
      <c r="F537" s="29" t="n">
        <v>45090</v>
      </c>
      <c r="G537" s="29" t="inlineStr">
        <is>
          <t>VIEZO</t>
        </is>
      </c>
      <c r="H537" t="inlineStr">
        <is>
          <t>BC2CC9FD4D2467B8</t>
        </is>
      </c>
      <c r="I537">
        <f>IFERROR(_xlfn.IFNA(INDEX(Sensors_MANU!$C$2:$C$4692,MATCH($D537,Sensors_MANU!$B$2:$B$4692,0)),INDEX(Sensors_MANU!$C$2:$C$4692,MATCH($P537,Sensors_MANU!$A$2:$A$4692,0))),"")</f>
        <v/>
      </c>
      <c r="J537">
        <f>IFERROR(_xlfn.IFNA(INDEX(Sensors_MANU!$D$2:$D$4692,MATCH($D537,Sensors_MANU!$B$2:$B$4692,0)),INDEX(Sensors_MANU!$D$2:$D$4692,MATCH($P537,Sensors_MANU!$A$2:$A$4692,0))),"")</f>
        <v/>
      </c>
      <c r="K537" s="27" t="inlineStr">
        <is>
          <t>33802742207-4</t>
        </is>
      </c>
      <c r="L537" s="27" t="inlineStr">
        <is>
          <t>1L</t>
        </is>
      </c>
      <c r="O537" s="6" t="inlineStr">
        <is>
          <t>V25</t>
        </is>
      </c>
    </row>
    <row r="538">
      <c r="A538" s="32">
        <f>IFERROR(_xlfn.IFNA(INDEX(Sensors_MANU!$E$2:$E$4692,MATCH($D538,Sensors_MANU!$B$2:$B$4692,0)),INDEX(Sensors_MANU!$E$2:$E$4692,MATCH($P538,Sensors_MANU!$A$2:$A$4692,0))),"")</f>
        <v/>
      </c>
      <c r="B538" s="24">
        <f>IFERROR(INDEX(Companies!$A$3:$A$101,MATCH(A538,Companies!$B$3:$B$101,0)),"")</f>
        <v/>
      </c>
      <c r="C538">
        <f>IFERROR(_xlfn.IFNA(INDEX(Sensors_MANU!$F$2:$F$4692,MATCH($D538,Sensors_MANU!$B$2:$B$4692,0)),INDEX(Sensors_MANU!$F$2:$F$4692,MATCH($P538,Sensors_MANU!$A$2:$A$4692,0))),"")</f>
        <v/>
      </c>
      <c r="D538" t="inlineStr">
        <is>
          <t>C892D0544A9E</t>
        </is>
      </c>
      <c r="E538">
        <f>LEFT(D538,2)&amp;":"&amp;MID(D538,3,2)&amp;":"&amp;MID(D538,5,2)&amp;":"&amp;MID(D538,7,2)&amp;":"&amp;MID(D538,9,2)&amp;":"&amp;RIGHT(D538,2)</f>
        <v/>
      </c>
      <c r="F538" s="29" t="n">
        <v>44918</v>
      </c>
      <c r="G538" s="29" t="inlineStr">
        <is>
          <t>Hupac</t>
        </is>
      </c>
      <c r="H538" t="inlineStr">
        <is>
          <t>6F4667928910F5F5</t>
        </is>
      </c>
      <c r="I538">
        <f>IFERROR(_xlfn.IFNA(INDEX(Sensors_MANU!$C$2:$C$4692,MATCH($D538,Sensors_MANU!$B$2:$B$4692,0)),INDEX(Sensors_MANU!$C$2:$C$4692,MATCH($P538,Sensors_MANU!$A$2:$A$4692,0))),"")</f>
        <v/>
      </c>
      <c r="J538">
        <f>IFERROR(_xlfn.IFNA(INDEX(Sensors_MANU!$D$2:$D$4692,MATCH($D538,Sensors_MANU!$B$2:$B$4692,0)),INDEX(Sensors_MANU!$D$2:$D$4692,MATCH($P538,Sensors_MANU!$A$2:$A$4692,0))),"")</f>
        <v/>
      </c>
      <c r="K538" s="27" t="inlineStr">
        <is>
          <t>33854956710-9</t>
        </is>
      </c>
      <c r="L538" s="27" t="inlineStr">
        <is>
          <t>1a</t>
        </is>
      </c>
      <c r="M538" s="61" t="inlineStr">
        <is>
          <t>88150062</t>
        </is>
      </c>
    </row>
    <row r="539">
      <c r="A539" s="32" t="inlineStr">
        <is>
          <t>TANKWAGON</t>
        </is>
      </c>
      <c r="B539" s="24">
        <f>IFERROR(INDEX(Companies!$A$3:$A$101,MATCH(A539,Companies!$B$3:$B$101,0)),"")</f>
        <v/>
      </c>
      <c r="C539">
        <f>IFERROR(_xlfn.IFNA(INDEX(Sensors_MANU!$F$2:$F$4692,MATCH($D539,Sensors_MANU!$B$2:$B$4692,0)),INDEX(Sensors_MANU!$F$2:$F$4692,MATCH($P539,Sensors_MANU!$A$2:$A$4692,0))),"")</f>
        <v/>
      </c>
      <c r="D539" s="104" t="inlineStr">
        <is>
          <t>E20DC7AE590D</t>
        </is>
      </c>
      <c r="E539">
        <f>LEFT(D539,2)&amp;":"&amp;MID(D539,3,2)&amp;":"&amp;MID(D539,5,2)&amp;":"&amp;MID(D539,7,2)&amp;":"&amp;MID(D539,9,2)&amp;":"&amp;RIGHT(D539,2)</f>
        <v/>
      </c>
      <c r="H539" s="2" t="inlineStr">
        <is>
          <t>8A5380742B6DD8D9</t>
        </is>
      </c>
      <c r="J539">
        <f>IFERROR(_xlfn.IFNA(INDEX(Sensors_MANU!$D$2:$D$4692,MATCH($D539,Sensors_MANU!$B$2:$B$4692,0)),INDEX(Sensors_MANU!$D$2:$D$4692,MATCH($P539,Sensors_MANU!$A$2:$A$4692,0))),"")</f>
        <v/>
      </c>
      <c r="M539" s="27" t="n"/>
      <c r="N539" s="99">
        <f>IFERROR(INDEX(Sensors_MANU!$G$2:$G$4692,MATCH($P539,Sensors_MANU!$A$2:$A$4692,0)),)</f>
        <v/>
      </c>
      <c r="O539" s="6" t="inlineStr">
        <is>
          <t>V26</t>
        </is>
      </c>
      <c r="P539" t="n">
        <v>4978873</v>
      </c>
    </row>
    <row r="540">
      <c r="A540" s="32">
        <f>IFERROR(_xlfn.IFNA(INDEX(Sensors_MANU!$E$2:$E$4692,MATCH($D540,Sensors_MANU!$B$2:$B$4692,0)),INDEX(Sensors_MANU!$E$2:$E$4692,MATCH($P540,Sensors_MANU!$A$2:$A$4692,0))),"")</f>
        <v/>
      </c>
      <c r="B540" s="24">
        <f>IFERROR(INDEX(Companies!$A$3:$A$101,MATCH(A540,Companies!$B$3:$B$101,0)),"")</f>
        <v/>
      </c>
      <c r="C540" t="inlineStr">
        <is>
          <t>cargo</t>
        </is>
      </c>
      <c r="D540" t="inlineStr">
        <is>
          <t>ED99E7D142FB</t>
        </is>
      </c>
      <c r="E540">
        <f>LEFT(D540,2)&amp;":"&amp;MID(D540,3,2)&amp;":"&amp;MID(D540,5,2)&amp;":"&amp;MID(D540,7,2)&amp;":"&amp;MID(D540,9,2)&amp;":"&amp;RIGHT(D540,2)</f>
        <v/>
      </c>
      <c r="F540" s="29" t="n">
        <v>44910</v>
      </c>
      <c r="G540" s="29" t="inlineStr">
        <is>
          <t>Viezo</t>
        </is>
      </c>
      <c r="H540" t="inlineStr">
        <is>
          <t>44AF8B7DF72E764B</t>
        </is>
      </c>
      <c r="I540">
        <f>IFERROR(_xlfn.IFNA(INDEX(Sensors_MANU!$C$2:$C$4692,MATCH($D540,Sensors_MANU!$B$2:$B$4692,0)),INDEX(Sensors_MANU!$C$2:$C$4692,MATCH($P540,Sensors_MANU!$A$2:$A$4692,0))),"")</f>
        <v/>
      </c>
      <c r="J540">
        <f>IFERROR(_xlfn.IFNA(INDEX(Sensors_MANU!$D$2:$D$4692,MATCH($D540,Sensors_MANU!$B$2:$B$4692,0)),INDEX(Sensors_MANU!$D$2:$D$4692,MATCH($P540,Sensors_MANU!$A$2:$A$4692,0))),"")</f>
        <v/>
      </c>
      <c r="K540" s="27" t="inlineStr">
        <is>
          <t>31833936025-3</t>
        </is>
      </c>
      <c r="L540" s="27" t="inlineStr">
        <is>
          <t>3L</t>
        </is>
      </c>
      <c r="M540" s="27" t="n"/>
      <c r="N540" s="99" t="inlineStr">
        <is>
          <t>never appeared</t>
        </is>
      </c>
      <c r="O540" s="6" t="inlineStr">
        <is>
          <t>v15</t>
        </is>
      </c>
      <c r="P540" t="n">
        <v>4978691</v>
      </c>
    </row>
    <row r="541">
      <c r="A541" s="32">
        <f>IFERROR(_xlfn.IFNA(INDEX(Sensors_MANU!$E$2:$E$4692,MATCH($D541,Sensors_MANU!$B$2:$B$4692,0)),INDEX(Sensors_MANU!$E$2:$E$4692,MATCH($P541,Sensors_MANU!$A$2:$A$4692,0))),"")</f>
        <v/>
      </c>
      <c r="B541" s="24">
        <f>IFERROR(INDEX(Companies!$A$3:$A$101,MATCH(A541,Companies!$B$3:$B$101,0)),"")</f>
        <v/>
      </c>
      <c r="C541">
        <f>IFERROR(_xlfn.IFNA(INDEX(Sensors_MANU!$F$2:$F$4692,MATCH($D541,Sensors_MANU!$B$2:$B$4692,0)),INDEX(Sensors_MANU!$F$2:$F$4692,MATCH($P541,Sensors_MANU!$A$2:$A$4692,0))),"")</f>
        <v/>
      </c>
      <c r="D541" t="inlineStr">
        <is>
          <t>F619D40B24B2</t>
        </is>
      </c>
      <c r="E541">
        <f>LEFT(D541,2)&amp;":"&amp;MID(D541,3,2)&amp;":"&amp;MID(D541,5,2)&amp;":"&amp;MID(D541,7,2)&amp;":"&amp;MID(D541,9,2)&amp;":"&amp;RIGHT(D541,2)</f>
        <v/>
      </c>
      <c r="F541" s="29" t="n">
        <v>44910</v>
      </c>
      <c r="G541" s="29" t="inlineStr">
        <is>
          <t>Viezo</t>
        </is>
      </c>
      <c r="H541" t="inlineStr">
        <is>
          <t>B42DE3A336B6991D</t>
        </is>
      </c>
      <c r="I541">
        <f>IFERROR(_xlfn.IFNA(INDEX(Sensors_MANU!$C$2:$C$4692,MATCH($D541,Sensors_MANU!$B$2:$B$4692,0)),INDEX(Sensors_MANU!$C$2:$C$4692,MATCH($P541,Sensors_MANU!$A$2:$A$4692,0))),"")</f>
        <v/>
      </c>
      <c r="J541">
        <f>IFERROR(_xlfn.IFNA(INDEX(Sensors_MANU!$D$2:$D$4692,MATCH($D541,Sensors_MANU!$B$2:$B$4692,0)),INDEX(Sensors_MANU!$D$2:$D$4692,MATCH($P541,Sensors_MANU!$A$2:$A$4692,0))),"")</f>
        <v/>
      </c>
      <c r="K541" s="27" t="inlineStr">
        <is>
          <t>31834575297-2</t>
        </is>
      </c>
      <c r="L541" s="27" t="inlineStr">
        <is>
          <t>3L</t>
        </is>
      </c>
      <c r="M541" s="27" t="n"/>
      <c r="N541" s="99" t="inlineStr">
        <is>
          <t>duplicate pcb_sn</t>
        </is>
      </c>
      <c r="O541" s="6" t="inlineStr">
        <is>
          <t>v16</t>
        </is>
      </c>
      <c r="P541" t="n">
        <v>4978864</v>
      </c>
    </row>
    <row r="542">
      <c r="A542" s="32">
        <f>IFERROR(_xlfn.IFNA(INDEX(Sensors_MANU!$E$2:$E$4692,MATCH($D542,Sensors_MANU!$B$2:$B$4692,0)),INDEX(Sensors_MANU!$E$2:$E$4692,MATCH($P542,Sensors_MANU!$A$2:$A$4692,0))),"")</f>
        <v/>
      </c>
      <c r="B542" s="24">
        <f>IFERROR(INDEX(Companies!$A$3:$A$101,MATCH(A542,Companies!$B$3:$B$101,0)),"")</f>
        <v/>
      </c>
      <c r="C542">
        <f>IFERROR(_xlfn.IFNA(INDEX(Sensors_MANU!$F$2:$F$4692,MATCH($D542,Sensors_MANU!$B$2:$B$4692,0)),INDEX(Sensors_MANU!$F$2:$F$4692,MATCH($P542,Sensors_MANU!$A$2:$A$4692,0))),"")</f>
        <v/>
      </c>
      <c r="D542" t="inlineStr">
        <is>
          <t>E43B85DFD4A7</t>
        </is>
      </c>
      <c r="E542">
        <f>LEFT(D542,2)&amp;":"&amp;MID(D542,3,2)&amp;":"&amp;MID(D542,5,2)&amp;":"&amp;MID(D542,7,2)&amp;":"&amp;MID(D542,9,2)&amp;":"&amp;RIGHT(D542,2)</f>
        <v/>
      </c>
      <c r="H542" t="inlineStr">
        <is>
          <t>83587FC72EAF7455</t>
        </is>
      </c>
      <c r="I542">
        <f>IFERROR(_xlfn.IFNA(INDEX(Sensors_MANU!$C$2:$C$4692,MATCH($D542,Sensors_MANU!$B$2:$B$4692,0)),INDEX(Sensors_MANU!$C$2:$C$4692,MATCH($P542,Sensors_MANU!$A$2:$A$4692,0))),"")</f>
        <v/>
      </c>
      <c r="J542">
        <f>IFERROR(_xlfn.IFNA(INDEX(Sensors_MANU!$D$2:$D$4692,MATCH($D542,Sensors_MANU!$B$2:$B$4692,0)),INDEX(Sensors_MANU!$D$2:$D$4692,MATCH($P542,Sensors_MANU!$A$2:$A$4692,0))),"")</f>
        <v/>
      </c>
      <c r="M542" s="27" t="n"/>
      <c r="N542" s="99">
        <f>IFERROR(INDEX(Sensors_MANU!$G$2:$G$4692,MATCH($P542,Sensors_MANU!$A$2:$A$4692,0)),)</f>
        <v/>
      </c>
      <c r="O542" s="6" t="inlineStr">
        <is>
          <t>v16</t>
        </is>
      </c>
      <c r="P542" t="n">
        <v>4978581</v>
      </c>
    </row>
    <row r="543">
      <c r="A543" s="32">
        <f>IFERROR(_xlfn.IFNA(INDEX(Sensors_MANU!$E$2:$E$4692,MATCH($D543,Sensors_MANU!$B$2:$B$4692,0)),INDEX(Sensors_MANU!$E$2:$E$4692,MATCH($P543,Sensors_MANU!$A$2:$A$4692,0))),"")</f>
        <v/>
      </c>
      <c r="B543" s="24">
        <f>IFERROR(INDEX(Companies!$A$3:$A$101,MATCH(A543,Companies!$B$3:$B$101,0)),"")</f>
        <v/>
      </c>
      <c r="C543" t="inlineStr">
        <is>
          <t>cargo</t>
        </is>
      </c>
      <c r="D543" t="inlineStr">
        <is>
          <t>FD64EDA18862</t>
        </is>
      </c>
      <c r="E543">
        <f>LEFT(D543,2)&amp;":"&amp;MID(D543,3,2)&amp;":"&amp;MID(D543,5,2)&amp;":"&amp;MID(D543,7,2)&amp;":"&amp;MID(D543,9,2)&amp;":"&amp;RIGHT(D543,2)</f>
        <v/>
      </c>
      <c r="F543" s="29" t="n">
        <v>44918</v>
      </c>
      <c r="G543" s="29" t="inlineStr">
        <is>
          <t>Viezo</t>
        </is>
      </c>
      <c r="H543" t="inlineStr">
        <is>
          <t>DC6C38B590622FBE</t>
        </is>
      </c>
      <c r="I543">
        <f>IFERROR(_xlfn.IFNA(INDEX(Sensors_MANU!$C$2:$C$4692,MATCH($D543,Sensors_MANU!$B$2:$B$4692,0)),INDEX(Sensors_MANU!$C$2:$C$4692,MATCH($P543,Sensors_MANU!$A$2:$A$4692,0))),"")</f>
        <v/>
      </c>
      <c r="J543">
        <f>IFERROR(_xlfn.IFNA(INDEX(Sensors_MANU!$D$2:$D$4692,MATCH($D543,Sensors_MANU!$B$2:$B$4692,0)),INDEX(Sensors_MANU!$D$2:$D$4692,MATCH($P543,Sensors_MANU!$A$2:$A$4692,0))),"")</f>
        <v/>
      </c>
      <c r="K543" s="27" t="inlineStr">
        <is>
          <t>33854668206-7</t>
        </is>
      </c>
      <c r="L543" s="27" t="inlineStr">
        <is>
          <t>4L</t>
        </is>
      </c>
      <c r="M543" s="27" t="n"/>
      <c r="N543" s="99">
        <f>IFERROR(INDEX(Sensors_MANU!$G$2:$G$4692,MATCH($P543,Sensors_MANU!$A$2:$A$4692,0)),)</f>
        <v/>
      </c>
      <c r="O543" s="6" t="inlineStr">
        <is>
          <t>v15</t>
        </is>
      </c>
      <c r="P543" t="n">
        <v>4978891</v>
      </c>
    </row>
    <row r="544">
      <c r="A544" s="32">
        <f>IFERROR(_xlfn.IFNA(INDEX(Sensors_MANU!$E$2:$E$4692,MATCH($D544,Sensors_MANU!$B$2:$B$4692,0)),INDEX(Sensors_MANU!$E$2:$E$4692,MATCH($P544,Sensors_MANU!$A$2:$A$4692,0))),"")</f>
        <v/>
      </c>
      <c r="B544" s="24">
        <f>IFERROR(INDEX(Companies!$A$3:$A$101,MATCH(A544,Companies!$B$3:$B$101,0)),"")</f>
        <v/>
      </c>
      <c r="C544">
        <f>IFERROR(_xlfn.IFNA(INDEX(Sensors_MANU!$F$2:$F$4692,MATCH($D544,Sensors_MANU!$B$2:$B$4692,0)),INDEX(Sensors_MANU!$F$2:$F$4692,MATCH($P544,Sensors_MANU!$A$2:$A$4692,0))),"")</f>
        <v/>
      </c>
      <c r="D544" t="inlineStr">
        <is>
          <t>D3E4636E5927</t>
        </is>
      </c>
      <c r="E544" s="24">
        <f>LEFT(D544,2)&amp;":"&amp;MID(D544,3,2)&amp;":"&amp;MID(D544,5,2)&amp;":"&amp;MID(D544,7,2)&amp;":"&amp;MID(D544,9,2)&amp;":"&amp;RIGHT(D544,2)</f>
        <v/>
      </c>
      <c r="F544" s="29" t="n">
        <v>44910</v>
      </c>
      <c r="G544" s="29" t="inlineStr">
        <is>
          <t>Viezo</t>
        </is>
      </c>
      <c r="H544" t="inlineStr">
        <is>
          <t>DEFB249A54C3DD86</t>
        </is>
      </c>
      <c r="I544">
        <f>IFERROR(_xlfn.IFNA(INDEX(Sensors_MANU!$C$2:$C$4692,MATCH($D544,Sensors_MANU!$B$2:$B$4692,0)),INDEX(Sensors_MANU!$C$2:$C$4692,MATCH($P544,Sensors_MANU!$A$2:$A$4692,0))),"")</f>
        <v/>
      </c>
      <c r="J544">
        <f>IFERROR(_xlfn.IFNA(INDEX(Sensors_MANU!$D$2:$D$4692,MATCH($D544,Sensors_MANU!$B$2:$B$4692,0)),INDEX(Sensors_MANU!$D$2:$D$4692,MATCH($P544,Sensors_MANU!$A$2:$A$4692,0))),"")</f>
        <v/>
      </c>
      <c r="K544" s="27" t="inlineStr">
        <is>
          <t>31835377921-4</t>
        </is>
      </c>
      <c r="L544" s="27" t="inlineStr">
        <is>
          <t>1L</t>
        </is>
      </c>
      <c r="O544" s="6" t="inlineStr">
        <is>
          <t>V25</t>
        </is>
      </c>
    </row>
    <row r="545">
      <c r="A545" s="32">
        <f>IFERROR(_xlfn.IFNA(INDEX(Sensors_MANU!$E$2:$E$4692,MATCH($D545,Sensors_MANU!$B$2:$B$4692,0)),INDEX(Sensors_MANU!$E$2:$E$4692,MATCH($P545,Sensors_MANU!$A$2:$A$4692,0))),"")</f>
        <v/>
      </c>
      <c r="B545" s="24">
        <f>IFERROR(INDEX(Companies!$A$3:$A$101,MATCH(A545,Companies!$B$3:$B$101,0)),"")</f>
        <v/>
      </c>
      <c r="C545">
        <f>IFERROR(_xlfn.IFNA(INDEX(Sensors_MANU!$F$2:$F$4692,MATCH($D545,Sensors_MANU!$B$2:$B$4692,0)),INDEX(Sensors_MANU!$F$2:$F$4692,MATCH($P545,Sensors_MANU!$A$2:$A$4692,0))),"")</f>
        <v/>
      </c>
      <c r="D545" t="inlineStr">
        <is>
          <t>C3CC54DF81DE</t>
        </is>
      </c>
      <c r="E545" s="24">
        <f>LEFT(D545,2)&amp;":"&amp;MID(D545,3,2)&amp;":"&amp;MID(D545,5,2)&amp;":"&amp;MID(D545,7,2)&amp;":"&amp;MID(D545,9,2)&amp;":"&amp;RIGHT(D545,2)</f>
        <v/>
      </c>
      <c r="F545" s="29" t="n">
        <v>44910</v>
      </c>
      <c r="G545" s="29" t="inlineStr">
        <is>
          <t>Viezo</t>
        </is>
      </c>
      <c r="H545" t="inlineStr">
        <is>
          <t>E8D894F6395636A0</t>
        </is>
      </c>
      <c r="I545">
        <f>IFERROR(_xlfn.IFNA(INDEX(Sensors_MANU!$C$2:$C$4692,MATCH($D545,Sensors_MANU!$B$2:$B$4692,0)),INDEX(Sensors_MANU!$C$2:$C$4692,MATCH($P545,Sensors_MANU!$A$2:$A$4692,0))),"")</f>
        <v/>
      </c>
      <c r="J545">
        <f>IFERROR(_xlfn.IFNA(INDEX(Sensors_MANU!$D$2:$D$4692,MATCH($D545,Sensors_MANU!$B$2:$B$4692,0)),INDEX(Sensors_MANU!$D$2:$D$4692,MATCH($P545,Sensors_MANU!$A$2:$A$4692,0))),"")</f>
        <v/>
      </c>
      <c r="K545" s="27" t="inlineStr">
        <is>
          <t>31833936025-3</t>
        </is>
      </c>
      <c r="L545" s="27" t="inlineStr">
        <is>
          <t>4L</t>
        </is>
      </c>
      <c r="O545" s="6" t="inlineStr">
        <is>
          <t>V24</t>
        </is>
      </c>
    </row>
    <row r="546">
      <c r="B546" s="24">
        <f>IFERROR(INDEX(Companies!$A$3:$A$101,MATCH(A546,Companies!$B$3:$B$101,0)),"")</f>
        <v/>
      </c>
      <c r="C546">
        <f>IFERROR(_xlfn.IFNA(INDEX(Sensors_MANU!$F$2:$F$4692,MATCH($D546,Sensors_MANU!$B$2:$B$4692,0)),INDEX(Sensors_MANU!$F$2:$F$4692,MATCH($P546,Sensors_MANU!$A$2:$A$4692,0))),"")</f>
        <v/>
      </c>
      <c r="D546" t="inlineStr">
        <is>
          <t>CF0B701ABFDC</t>
        </is>
      </c>
      <c r="E546" s="24">
        <f>LEFT(D546,2)&amp;":"&amp;MID(D546,3,2)&amp;":"&amp;MID(D546,5,2)&amp;":"&amp;MID(D546,7,2)&amp;":"&amp;MID(D546,9,2)&amp;":"&amp;RIGHT(D546,2)</f>
        <v/>
      </c>
      <c r="H546" t="inlineStr">
        <is>
          <t>74ADC3F396891C0C</t>
        </is>
      </c>
      <c r="I546">
        <f>IFERROR(_xlfn.IFNA(INDEX(Sensors_MANU!$C$2:$C$4692,MATCH($D546,Sensors_MANU!$B$2:$B$4692,0)),INDEX(Sensors_MANU!$C$2:$C$4692,MATCH($P546,Sensors_MANU!$A$2:$A$4692,0))),"")</f>
        <v/>
      </c>
      <c r="J546">
        <f>IFERROR(_xlfn.IFNA(INDEX(Sensors_MANU!$D$2:$D$4692,MATCH($D546,Sensors_MANU!$B$2:$B$4692,0)),INDEX(Sensors_MANU!$D$2:$D$4692,MATCH($P546,Sensors_MANU!$A$2:$A$4692,0))),"")</f>
        <v/>
      </c>
      <c r="N546" s="99">
        <f>IFERROR(INDEX(Sensors_MANU!$G$2:$G$4692,MATCH($P546,Sensors_MANU!$A$2:$A$4692,0)),)</f>
        <v/>
      </c>
      <c r="O546" s="6" t="inlineStr">
        <is>
          <t>v17</t>
        </is>
      </c>
      <c r="P546" t="n">
        <v>4978466</v>
      </c>
    </row>
    <row r="547">
      <c r="A547" s="32" t="inlineStr">
        <is>
          <t>CARGONET</t>
        </is>
      </c>
      <c r="B547" s="24">
        <f>IFERROR(INDEX(Companies!$A$3:$A$101,MATCH(A547,Companies!$B$3:$B$101,0)),"")</f>
        <v/>
      </c>
      <c r="D547" t="inlineStr">
        <is>
          <t>EBAEAD8F68E5</t>
        </is>
      </c>
      <c r="E547">
        <f>LEFT(D547,2)&amp;":"&amp;MID(D547,3,2)&amp;":"&amp;MID(D547,5,2)&amp;":"&amp;MID(D547,7,2)&amp;":"&amp;MID(D547,9,2)&amp;":"&amp;RIGHT(D547,2)</f>
        <v/>
      </c>
      <c r="H547" t="inlineStr">
        <is>
          <t>4633BC158FD99FFB</t>
        </is>
      </c>
      <c r="J547" t="inlineStr">
        <is>
          <t>PR2203-343</t>
        </is>
      </c>
      <c r="K547" s="27" t="inlineStr">
        <is>
          <t>33764955305-0</t>
        </is>
      </c>
      <c r="L547" s="27" t="inlineStr">
        <is>
          <t>1R</t>
        </is>
      </c>
    </row>
    <row r="548">
      <c r="A548" s="32">
        <f>IFERROR(_xlfn.IFNA(INDEX(Sensors_MANU!$E$2:$E$4692,MATCH($D548,Sensors_MANU!$B$2:$B$4692,0)),INDEX(Sensors_MANU!$E$2:$E$4692,MATCH($P548,Sensors_MANU!$A$2:$A$4692,0))),"")</f>
        <v/>
      </c>
      <c r="B548" s="24">
        <f>IFERROR(INDEX(Companies!$A$3:$A$101,MATCH(A548,Companies!$B$3:$B$101,0)),"")</f>
        <v/>
      </c>
      <c r="D548" t="inlineStr">
        <is>
          <t>FE53BDE4F741</t>
        </is>
      </c>
      <c r="E548">
        <f>LEFT(D548,2)&amp;":"&amp;MID(D548,3,2)&amp;":"&amp;MID(D548,5,2)&amp;":"&amp;MID(D548,7,2)&amp;":"&amp;MID(D548,9,2)&amp;":"&amp;RIGHT(D548,2)</f>
        <v/>
      </c>
      <c r="H548" t="inlineStr">
        <is>
          <t>5C9DD9109BE9D5AD</t>
        </is>
      </c>
      <c r="I548">
        <f>IFERROR(_xlfn.IFNA(INDEX(Sensors_MANU!$C$2:$C$4692,MATCH($D548,Sensors_MANU!$B$2:$B$4692,0)),INDEX(Sensors_MANU!$C$2:$C$4692,MATCH($P548,Sensors_MANU!$A$2:$A$4692,0))),"")</f>
        <v/>
      </c>
      <c r="J548">
        <f>IFERROR(_xlfn.IFNA(INDEX(Sensors_MANU!$D$2:$D$4692,MATCH($D548,Sensors_MANU!$B$2:$B$4692,0)),INDEX(Sensors_MANU!$D$2:$D$4692,MATCH($P548,Sensors_MANU!$A$2:$A$4692,0))),"")</f>
        <v/>
      </c>
      <c r="K548" s="27" t="inlineStr">
        <is>
          <t>BAH103</t>
        </is>
      </c>
      <c r="L548" s="27" t="inlineStr">
        <is>
          <t>3R</t>
        </is>
      </c>
    </row>
    <row r="549">
      <c r="A549" s="32" t="inlineStr">
        <is>
          <t>CARGONET</t>
        </is>
      </c>
      <c r="B549" s="24">
        <f>IFERROR(INDEX(Companies!$A$3:$A$101,MATCH(A549,Companies!$B$3:$B$101,0)),"")</f>
        <v/>
      </c>
      <c r="C549">
        <f>IFERROR(_xlfn.IFNA(INDEX(Sensors_MANU!$F$2:$F$4692,MATCH($D549,Sensors_MANU!$B$2:$B$4692,0)),INDEX(Sensors_MANU!$F$2:$F$4692,MATCH($P549,Sensors_MANU!$A$2:$A$4692,0))),"")</f>
        <v/>
      </c>
      <c r="D549" t="inlineStr">
        <is>
          <t>D89FB219A610</t>
        </is>
      </c>
      <c r="E549" s="24">
        <f>LEFT(D549,2)&amp;":"&amp;MID(D549,3,2)&amp;":"&amp;MID(D549,5,2)&amp;":"&amp;MID(D549,7,2)&amp;":"&amp;MID(D549,9,2)&amp;":"&amp;RIGHT(D549,2)</f>
        <v/>
      </c>
      <c r="H549" t="inlineStr">
        <is>
          <t>D75FD536D1BD39FC</t>
        </is>
      </c>
      <c r="I549">
        <f>IFERROR(_xlfn.IFNA(INDEX(Sensors_MANU!$C$2:$C$4692,MATCH($D549,Sensors_MANU!$B$2:$B$4692,0)),INDEX(Sensors_MANU!$C$2:$C$4692,MATCH($P549,Sensors_MANU!$A$2:$A$4692,0))),"")</f>
        <v/>
      </c>
      <c r="J549">
        <f>IFERROR(_xlfn.IFNA(INDEX(Sensors_MANU!$D$2:$D$4692,MATCH($D549,Sensors_MANU!$B$2:$B$4692,0)),INDEX(Sensors_MANU!$D$2:$D$4692,MATCH($P549,Sensors_MANU!$A$2:$A$4692,0))),"")</f>
        <v/>
      </c>
      <c r="K549" s="27" t="inlineStr">
        <is>
          <t>33764955305-0</t>
        </is>
      </c>
      <c r="L549" s="27" t="inlineStr">
        <is>
          <t>4R</t>
        </is>
      </c>
      <c r="N549" s="99">
        <f>IFERROR(INDEX(Sensors_MANU!$G$2:$G$4692,MATCH($P549,Sensors_MANU!$A$2:$A$4692,0)),)</f>
        <v/>
      </c>
      <c r="O549" s="6" t="inlineStr">
        <is>
          <t>v17</t>
        </is>
      </c>
      <c r="P549" t="n">
        <v>4978525</v>
      </c>
    </row>
    <row r="550">
      <c r="B550" s="24">
        <f>IFERROR(INDEX(Companies!$A$3:$A$101,MATCH(A550,Companies!$B$3:$B$101,0)),"")</f>
        <v/>
      </c>
      <c r="C550">
        <f>IFERROR(_xlfn.IFNA(INDEX(Sensors_MANU!$F$2:$F$4692,MATCH($D550,Sensors_MANU!$B$2:$B$4692,0)),INDEX(Sensors_MANU!$F$2:$F$4692,MATCH($P550,Sensors_MANU!$A$2:$A$4692,0))),"")</f>
        <v/>
      </c>
      <c r="D550" t="inlineStr">
        <is>
          <t>DFD40BCC559F</t>
        </is>
      </c>
      <c r="E550" s="24">
        <f>LEFT(D550,2)&amp;":"&amp;MID(D550,3,2)&amp;":"&amp;MID(D550,5,2)&amp;":"&amp;MID(D550,7,2)&amp;":"&amp;MID(D550,9,2)&amp;":"&amp;RIGHT(D550,2)</f>
        <v/>
      </c>
      <c r="H550" t="inlineStr">
        <is>
          <t>46C3C1E967C6A2C2</t>
        </is>
      </c>
      <c r="I550">
        <f>IFERROR(_xlfn.IFNA(INDEX(Sensors_MANU!$C$2:$C$4692,MATCH($D550,Sensors_MANU!$B$2:$B$4692,0)),INDEX(Sensors_MANU!$C$2:$C$4692,MATCH($P550,Sensors_MANU!$A$2:$A$4692,0))),"")</f>
        <v/>
      </c>
      <c r="J550">
        <f>IFERROR(_xlfn.IFNA(INDEX(Sensors_MANU!$D$2:$D$4692,MATCH($D550,Sensors_MANU!$B$2:$B$4692,0)),INDEX(Sensors_MANU!$D$2:$D$4692,MATCH($P550,Sensors_MANU!$A$2:$A$4692,0))),"")</f>
        <v/>
      </c>
      <c r="N550" s="99">
        <f>IFERROR(INDEX(Sensors_MANU!$G$2:$G$4692,MATCH($P550,Sensors_MANU!$A$2:$A$4692,0)),)</f>
        <v/>
      </c>
      <c r="O550" s="6" t="inlineStr">
        <is>
          <t>v17</t>
        </is>
      </c>
      <c r="P550" t="n">
        <v>4978452</v>
      </c>
    </row>
    <row r="551">
      <c r="A551" s="32">
        <f>IFERROR(_xlfn.IFNA(INDEX(Sensors_MANU!$E$2:$E$4692,MATCH($D551,Sensors_MANU!$B$2:$B$4692,0)),INDEX(Sensors_MANU!$E$2:$E$4692,MATCH($P551,Sensors_MANU!$A$2:$A$4692,0))),"")</f>
        <v/>
      </c>
      <c r="B551" s="24">
        <f>IFERROR(INDEX(Companies!$A$3:$A$101,MATCH(A551,Companies!$B$3:$B$101,0)),"")</f>
        <v/>
      </c>
      <c r="C551">
        <f>IFERROR(_xlfn.IFNA(INDEX(Sensors_MANU!$F$2:$F$4692,MATCH($D551,Sensors_MANU!$B$2:$B$4692,0)),INDEX(Sensors_MANU!$F$2:$F$4692,MATCH($P551,Sensors_MANU!$A$2:$A$4692,0))),"")</f>
        <v/>
      </c>
      <c r="D551" t="inlineStr">
        <is>
          <t>D6451BD54BE7</t>
        </is>
      </c>
      <c r="E551">
        <f>LEFT(D551,2)&amp;":"&amp;MID(D551,3,2)&amp;":"&amp;MID(D551,5,2)&amp;":"&amp;MID(D551,7,2)&amp;":"&amp;MID(D551,9,2)&amp;":"&amp;RIGHT(D551,2)</f>
        <v/>
      </c>
      <c r="F551" s="29" t="n">
        <v>44910</v>
      </c>
      <c r="G551" s="29" t="inlineStr">
        <is>
          <t>Viezo</t>
        </is>
      </c>
      <c r="H551" t="inlineStr">
        <is>
          <t>B54FF6B074C8B506</t>
        </is>
      </c>
      <c r="I551">
        <f>IFERROR(_xlfn.IFNA(INDEX(Sensors_MANU!$C$2:$C$4692,MATCH($D551,Sensors_MANU!$B$2:$B$4692,0)),INDEX(Sensors_MANU!$C$2:$C$4692,MATCH($P551,Sensors_MANU!$A$2:$A$4692,0))),"")</f>
        <v/>
      </c>
      <c r="J551" s="24">
        <f>IFERROR(_xlfn.IFNA(INDEX(Sensors_MANU!$D$2:$D$4692,MATCH($D551,Sensors_MANU!$B$2:$B$4692,0)),INDEX(Sensors_MANU!$D$2:$D$4692,MATCH($P551,Sensors_MANU!$A$2:$A$4692,0))),"")</f>
        <v/>
      </c>
      <c r="K551" s="27" t="inlineStr">
        <is>
          <t>33854956699-4</t>
        </is>
      </c>
      <c r="L551" s="27" t="inlineStr">
        <is>
          <t>5a</t>
        </is>
      </c>
      <c r="M551" s="27" t="n">
        <v>88220132</v>
      </c>
      <c r="N551" s="99">
        <f>IFERROR(INDEX(Sensors_MANU!$G$2:$G$4692,MATCH($P551,Sensors_MANU!$A$2:$A$4692,0)),)</f>
        <v/>
      </c>
      <c r="O551" s="6" t="inlineStr">
        <is>
          <t>v16</t>
        </is>
      </c>
      <c r="P551" t="n">
        <v>4978823</v>
      </c>
    </row>
    <row r="552">
      <c r="A552" s="32" t="inlineStr">
        <is>
          <t>TANKWAGON</t>
        </is>
      </c>
      <c r="B552" s="24">
        <f>IFERROR(INDEX(Companies!$A$3:$A$101,MATCH(A552,Companies!$B$3:$B$101,0)),"")</f>
        <v/>
      </c>
      <c r="C552">
        <f>IFERROR(_xlfn.IFNA(INDEX(Sensors_MANU!$F$2:$F$4692,MATCH($D552,Sensors_MANU!$B$2:$B$4692,0)),INDEX(Sensors_MANU!$F$2:$F$4692,MATCH($P552,Sensors_MANU!$A$2:$A$4692,0))),"")</f>
        <v/>
      </c>
      <c r="D552" s="25" t="inlineStr">
        <is>
          <t>EFE3CA090981</t>
        </is>
      </c>
      <c r="E552" s="24">
        <f>LEFT(D552,2)&amp;":"&amp;MID(D552,3,2)&amp;":"&amp;MID(D552,5,2)&amp;":"&amp;MID(D552,7,2)&amp;":"&amp;MID(D552,9,2)&amp;":"&amp;RIGHT(D552,2)</f>
        <v/>
      </c>
      <c r="H552" s="2" t="inlineStr">
        <is>
          <t>EC023BF897934D38</t>
        </is>
      </c>
      <c r="I552">
        <f>IFERROR(_xlfn.IFNA(INDEX(Sensors_MANU!$C$2:$C$4692,MATCH($D552,Sensors_MANU!$B$2:$B$4692,0)),INDEX(Sensors_MANU!$C$2:$C$4692,MATCH($P552,Sensors_MANU!$A$2:$A$4692,0))),"")</f>
        <v/>
      </c>
      <c r="J552" s="109">
        <f>IFERROR(_xlfn.IFNA(INDEX(Sensors_MANU!$D$2:$D$4692,MATCH($D552,Sensors_MANU!$B$2:$B$4692,0)),INDEX(Sensors_MANU!$D$2:$D$4692,MATCH($P552,Sensors_MANU!$A$2:$A$4692,0))),"")</f>
        <v/>
      </c>
      <c r="O552" s="6" t="inlineStr">
        <is>
          <t>V26</t>
        </is>
      </c>
    </row>
    <row r="553">
      <c r="A553" s="32">
        <f>IFERROR(_xlfn.IFNA(INDEX(Sensors_MANU!$E$2:$E$4692,MATCH($D553,Sensors_MANU!$B$2:$B$4692,0)),INDEX(Sensors_MANU!$E$2:$E$4692,MATCH($P553,Sensors_MANU!$A$2:$A$4692,0))),"")</f>
        <v/>
      </c>
      <c r="B553" s="24">
        <f>IFERROR(INDEX(Companies!$A$3:$A$101,MATCH(A553,Companies!$B$3:$B$101,0)),"")</f>
        <v/>
      </c>
      <c r="C553">
        <f>IFERROR(_xlfn.IFNA(INDEX(Sensors_MANU!$F$2:$F$4692,MATCH($D553,Sensors_MANU!$B$2:$B$4692,0)),INDEX(Sensors_MANU!$F$2:$F$4692,MATCH($P553,Sensors_MANU!$A$2:$A$4692,0))),"")</f>
        <v/>
      </c>
      <c r="D553" t="inlineStr">
        <is>
          <t>F56A2CD0F826</t>
        </is>
      </c>
      <c r="E553" s="24">
        <f>LEFT(D553,2)&amp;":"&amp;MID(D553,3,2)&amp;":"&amp;MID(D553,5,2)&amp;":"&amp;MID(D553,7,2)&amp;":"&amp;MID(D553,9,2)&amp;":"&amp;RIGHT(D553,2)</f>
        <v/>
      </c>
      <c r="H553" t="inlineStr">
        <is>
          <t>F26B38839890FD3A</t>
        </is>
      </c>
      <c r="I553">
        <f>IFERROR(_xlfn.IFNA(INDEX(Sensors_MANU!$C$2:$C$4692,MATCH($D553,Sensors_MANU!$B$2:$B$4692,0)),INDEX(Sensors_MANU!$C$2:$C$4692,MATCH($P553,Sensors_MANU!$A$2:$A$4692,0))),"")</f>
        <v/>
      </c>
      <c r="J553" s="64">
        <f>IFERROR(_xlfn.IFNA(INDEX(Sensors_MANU!$D$2:$D$4692,MATCH($D553,Sensors_MANU!$B$2:$B$4692,0)),INDEX(Sensors_MANU!$D$2:$D$4692,MATCH($P553,Sensors_MANU!$A$2:$A$4692,0))),"")</f>
        <v/>
      </c>
      <c r="K553" s="27" t="inlineStr">
        <is>
          <t>43714378393-8</t>
        </is>
      </c>
      <c r="L553" s="27" t="inlineStr">
        <is>
          <t>3R</t>
        </is>
      </c>
      <c r="N553" s="99">
        <f>IFERROR(INDEX(Sensors_MANU!$G$2:$G$4692,MATCH($P553,Sensors_MANU!$A$2:$A$4692,0)),)</f>
        <v/>
      </c>
      <c r="O553" s="6" t="inlineStr">
        <is>
          <t>v17</t>
        </is>
      </c>
      <c r="P553" t="n">
        <v>4978575</v>
      </c>
    </row>
    <row r="554">
      <c r="A554" s="32">
        <f>IFERROR(_xlfn.IFNA(INDEX(Sensors_MANU!$E$2:$E$4692,MATCH($D554,Sensors_MANU!$B$2:$B$4692,0)),INDEX(Sensors_MANU!$E$2:$E$4692,MATCH($P554,Sensors_MANU!$A$2:$A$4692,0))),"")</f>
        <v/>
      </c>
      <c r="B554" s="24">
        <f>IFERROR(INDEX(Companies!$A$3:$A$101,MATCH(A554,Companies!$B$3:$B$101,0)),"")</f>
        <v/>
      </c>
      <c r="C554">
        <f>IFERROR(_xlfn.IFNA(INDEX(Sensors_MANU!$F$2:$F$4692,MATCH($D554,Sensors_MANU!$B$2:$B$4692,0)),INDEX(Sensors_MANU!$F$2:$F$4692,MATCH($P554,Sensors_MANU!$A$2:$A$4692,0))),"")</f>
        <v/>
      </c>
      <c r="D554" t="inlineStr">
        <is>
          <t>C648C9F3037E</t>
        </is>
      </c>
      <c r="E554">
        <f>LEFT(D554,2)&amp;":"&amp;MID(D554,3,2)&amp;":"&amp;MID(D554,5,2)&amp;":"&amp;MID(D554,7,2)&amp;":"&amp;MID(D554,9,2)&amp;":"&amp;RIGHT(D554,2)</f>
        <v/>
      </c>
      <c r="H554" t="inlineStr">
        <is>
          <t>8306EFD4D56D4177</t>
        </is>
      </c>
      <c r="I554">
        <f>IFERROR(_xlfn.IFNA(INDEX(Sensors_MANU!$C$2:$C$4692,MATCH($D554,Sensors_MANU!$B$2:$B$4692,0)),INDEX(Sensors_MANU!$C$2:$C$4692,MATCH($P554,Sensors_MANU!$A$2:$A$4692,0))),"")</f>
        <v/>
      </c>
      <c r="J554">
        <f>IFERROR(_xlfn.IFNA(INDEX(Sensors_MANU!$D$2:$D$4692,MATCH($D554,Sensors_MANU!$B$2:$B$4692,0)),INDEX(Sensors_MANU!$D$2:$D$4692,MATCH($P554,Sensors_MANU!$A$2:$A$4692,0))),"")</f>
        <v/>
      </c>
      <c r="M554" s="27" t="n"/>
      <c r="N554" s="99">
        <f>IFERROR(INDEX(Sensors_MANU!$G$2:$G$4692,MATCH($P554,Sensors_MANU!$A$2:$A$4692,0)),)</f>
        <v/>
      </c>
      <c r="O554" s="6" t="inlineStr">
        <is>
          <t>v16</t>
        </is>
      </c>
      <c r="P554" t="n">
        <v>4978859</v>
      </c>
    </row>
    <row r="555">
      <c r="A555" s="32">
        <f>IFERROR(_xlfn.IFNA(INDEX(Sensors_MANU!$E$2:$E$4692,MATCH($D555,Sensors_MANU!$B$2:$B$4692,0)),INDEX(Sensors_MANU!$E$2:$E$4692,MATCH($P555,Sensors_MANU!$A$2:$A$4692,0))),"")</f>
        <v/>
      </c>
      <c r="B555" s="24">
        <f>IFERROR(INDEX(Companies!$A$3:$A$101,MATCH(A555,Companies!$B$3:$B$101,0)),"")</f>
        <v/>
      </c>
      <c r="C555">
        <f>IFERROR(_xlfn.IFNA(INDEX(Sensors_MANU!$F$2:$F$4692,MATCH($D555,Sensors_MANU!$B$2:$B$4692,0)),INDEX(Sensors_MANU!$F$2:$F$4692,MATCH($P555,Sensors_MANU!$A$2:$A$4692,0))),"")</f>
        <v/>
      </c>
      <c r="D555" t="inlineStr">
        <is>
          <t>E49EAC1749F5</t>
        </is>
      </c>
      <c r="E555">
        <f>LEFT(D555,2)&amp;":"&amp;MID(D555,3,2)&amp;":"&amp;MID(D555,5,2)&amp;":"&amp;MID(D555,7,2)&amp;":"&amp;MID(D555,9,2)&amp;":"&amp;RIGHT(D555,2)</f>
        <v/>
      </c>
      <c r="F555" s="29" t="n">
        <v>44910</v>
      </c>
      <c r="G555" s="29" t="inlineStr">
        <is>
          <t>Viezo</t>
        </is>
      </c>
      <c r="H555" t="inlineStr">
        <is>
          <t>AF98033CE7F07FFE</t>
        </is>
      </c>
      <c r="I555">
        <f>IFERROR(_xlfn.IFNA(INDEX(Sensors_MANU!$C$2:$C$4692,MATCH($D555,Sensors_MANU!$B$2:$B$4692,0)),INDEX(Sensors_MANU!$C$2:$C$4692,MATCH($P555,Sensors_MANU!$A$2:$A$4692,0))),"")</f>
        <v/>
      </c>
      <c r="J555">
        <f>IFERROR(_xlfn.IFNA(INDEX(Sensors_MANU!$D$2:$D$4692,MATCH($D555,Sensors_MANU!$B$2:$B$4692,0)),INDEX(Sensors_MANU!$D$2:$D$4692,MATCH($P555,Sensors_MANU!$A$2:$A$4692,0))),"")</f>
        <v/>
      </c>
      <c r="K555" s="27" t="inlineStr">
        <is>
          <t>31833936025-3</t>
        </is>
      </c>
      <c r="L555" s="27" t="inlineStr">
        <is>
          <t>1R</t>
        </is>
      </c>
      <c r="M555" s="27" t="n"/>
      <c r="N555" s="99">
        <f>IFERROR(INDEX(Sensors_MANU!$G$2:$G$4692,MATCH($P555,Sensors_MANU!$A$2:$A$4692,0)),)</f>
        <v/>
      </c>
      <c r="O555" s="6" t="inlineStr">
        <is>
          <t>v16</t>
        </is>
      </c>
      <c r="P555" t="n">
        <v>4978658</v>
      </c>
    </row>
    <row r="556">
      <c r="A556" s="32">
        <f>IFERROR(_xlfn.IFNA(INDEX(Sensors_MANU!$E$2:$E$4692,MATCH($D556,Sensors_MANU!$B$2:$B$4692,0)),INDEX(Sensors_MANU!$E$2:$E$4692,MATCH($P556,Sensors_MANU!$A$2:$A$4692,0))),"")</f>
        <v/>
      </c>
      <c r="B556" s="24">
        <f>IFERROR(INDEX(Companies!$A$3:$A$101,MATCH(A556,Companies!$B$3:$B$101,0)),"")</f>
        <v/>
      </c>
      <c r="C556">
        <f>IFERROR(_xlfn.IFNA(INDEX(Sensors_MANU!$F$2:$F$4692,MATCH($D556,Sensors_MANU!$B$2:$B$4692,0)),INDEX(Sensors_MANU!$F$2:$F$4692,MATCH($P556,Sensors_MANU!$A$2:$A$4692,0))),"")</f>
        <v/>
      </c>
      <c r="D556" t="inlineStr">
        <is>
          <t>DE7F225E4C40</t>
        </is>
      </c>
      <c r="E556">
        <f>LEFT(D556,2)&amp;":"&amp;MID(D556,3,2)&amp;":"&amp;MID(D556,5,2)&amp;":"&amp;MID(D556,7,2)&amp;":"&amp;MID(D556,9,2)&amp;":"&amp;RIGHT(D556,2)</f>
        <v/>
      </c>
      <c r="F556" s="29" t="n">
        <v>44910</v>
      </c>
      <c r="G556" s="29" t="inlineStr">
        <is>
          <t>Viezo</t>
        </is>
      </c>
      <c r="H556" t="inlineStr">
        <is>
          <t>E9821E234624A795</t>
        </is>
      </c>
      <c r="I556">
        <f>IFERROR(_xlfn.IFNA(INDEX(Sensors_MANU!$C$2:$C$4692,MATCH($D556,Sensors_MANU!$B$2:$B$4692,0)),INDEX(Sensors_MANU!$C$2:$C$4692,MATCH($P556,Sensors_MANU!$A$2:$A$4692,0))),"")</f>
        <v/>
      </c>
      <c r="J556">
        <f>IFERROR(_xlfn.IFNA(INDEX(Sensors_MANU!$D$2:$D$4692,MATCH($D556,Sensors_MANU!$B$2:$B$4692,0)),INDEX(Sensors_MANU!$D$2:$D$4692,MATCH($P556,Sensors_MANU!$A$2:$A$4692,0))),"")</f>
        <v/>
      </c>
      <c r="K556" s="27" t="inlineStr">
        <is>
          <t>31833916501-7</t>
        </is>
      </c>
      <c r="L556" s="27" t="inlineStr">
        <is>
          <t>4L</t>
        </is>
      </c>
      <c r="M556" s="27" t="n"/>
      <c r="N556" s="99">
        <f>IFERROR(INDEX(Sensors_MANU!$G$2:$G$4692,MATCH($P556,Sensors_MANU!$A$2:$A$4692,0)),)</f>
        <v/>
      </c>
      <c r="O556" s="6" t="inlineStr">
        <is>
          <t>v16</t>
        </is>
      </c>
      <c r="P556" t="n">
        <v>4978651</v>
      </c>
    </row>
    <row r="557">
      <c r="A557" s="32" t="inlineStr">
        <is>
          <t>RAILRELEASE</t>
        </is>
      </c>
      <c r="B557" s="24">
        <f>IFERROR(INDEX(Companies!$A$3:$A$101,MATCH(A557,Companies!$B$3:$B$101,0)),"")</f>
        <v/>
      </c>
      <c r="D557" s="25" t="inlineStr">
        <is>
          <t>C7141A16EA46</t>
        </is>
      </c>
      <c r="E557" s="24">
        <f>LEFT(D557,2)&amp;":"&amp;MID(D557,3,2)&amp;":"&amp;MID(D557,5,2)&amp;":"&amp;MID(D557,7,2)&amp;":"&amp;MID(D557,9,2)&amp;":"&amp;RIGHT(D557,2)</f>
        <v/>
      </c>
      <c r="F557" s="29" t="n">
        <v>45064</v>
      </c>
      <c r="G557" s="29" t="inlineStr">
        <is>
          <t>Viezo</t>
        </is>
      </c>
      <c r="H557" t="inlineStr">
        <is>
          <t>84103767B4FB7566</t>
        </is>
      </c>
      <c r="J557" s="71" t="inlineStr">
        <is>
          <t>PR2203-354</t>
        </is>
      </c>
      <c r="K557" s="27" t="inlineStr">
        <is>
          <t>37844576158-8</t>
        </is>
      </c>
      <c r="L557" s="27" t="inlineStr">
        <is>
          <t>3L</t>
        </is>
      </c>
      <c r="O557" s="6" t="inlineStr">
        <is>
          <t>V23</t>
        </is>
      </c>
    </row>
    <row r="558">
      <c r="A558" s="32">
        <f>IFERROR(_xlfn.IFNA(INDEX(Sensors_MANU!$E$2:$E$4692,MATCH($D558,Sensors_MANU!$B$2:$B$4692,0)),INDEX(Sensors_MANU!$E$2:$E$4692,MATCH($P558,Sensors_MANU!$A$2:$A$4692,0))),"")</f>
        <v/>
      </c>
      <c r="B558" s="24">
        <f>IFERROR(INDEX(Companies!$A$3:$A$101,MATCH(A558,Companies!$B$3:$B$101,0)),"")</f>
        <v/>
      </c>
      <c r="C558">
        <f>IFERROR(_xlfn.IFNA(INDEX(Sensors_MANU!$F$2:$F$4692,MATCH($D558,Sensors_MANU!$B$2:$B$4692,0)),INDEX(Sensors_MANU!$F$2:$F$4692,MATCH($P558,Sensors_MANU!$A$2:$A$4692,0))),"")</f>
        <v/>
      </c>
      <c r="D558" t="inlineStr">
        <is>
          <t>DB446D1B5119</t>
        </is>
      </c>
      <c r="E558">
        <f>LEFT(D558,2)&amp;":"&amp;MID(D558,3,2)&amp;":"&amp;MID(D558,5,2)&amp;":"&amp;MID(D558,7,2)&amp;":"&amp;MID(D558,9,2)&amp;":"&amp;RIGHT(D558,2)</f>
        <v/>
      </c>
      <c r="F558" s="29" t="n">
        <v>44918</v>
      </c>
      <c r="G558" s="29" t="inlineStr">
        <is>
          <t>Hupac</t>
        </is>
      </c>
      <c r="H558" t="inlineStr">
        <is>
          <t>30CB1DBC5CDD50ED</t>
        </is>
      </c>
      <c r="I558">
        <f>IFERROR(_xlfn.IFNA(INDEX(Sensors_MANU!$C$2:$C$4692,MATCH($D558,Sensors_MANU!$B$2:$B$4692,0)),INDEX(Sensors_MANU!$C$2:$C$4692,MATCH($P558,Sensors_MANU!$A$2:$A$4692,0))),"")</f>
        <v/>
      </c>
      <c r="J558">
        <f>IFERROR(_xlfn.IFNA(INDEX(Sensors_MANU!$D$2:$D$4692,MATCH($D558,Sensors_MANU!$B$2:$B$4692,0)),INDEX(Sensors_MANU!$D$2:$D$4692,MATCH($P558,Sensors_MANU!$A$2:$A$4692,0))),"")</f>
        <v/>
      </c>
      <c r="K558" s="27" t="inlineStr">
        <is>
          <t>33854956710-9</t>
        </is>
      </c>
      <c r="L558" s="27" t="inlineStr">
        <is>
          <t>9a</t>
        </is>
      </c>
      <c r="M558" s="61" t="inlineStr">
        <is>
          <t>88200718</t>
        </is>
      </c>
    </row>
    <row r="559">
      <c r="A559" s="32">
        <f>IFERROR(_xlfn.IFNA(INDEX(Sensors_MANU!$E$2:$E$4692,MATCH($D559,Sensors_MANU!$B$2:$B$4692,0)),INDEX(Sensors_MANU!$E$2:$E$4692,MATCH($P559,Sensors_MANU!$A$2:$A$4692,0))),"")</f>
        <v/>
      </c>
      <c r="B559" s="24" t="inlineStr">
        <is>
          <t>64818ba10166b80f8d06f5fa</t>
        </is>
      </c>
      <c r="C559">
        <f>IFERROR(_xlfn.IFNA(INDEX(Sensors_MANU!$F$2:$F$4692,MATCH($D559,Sensors_MANU!$B$2:$B$4692,0)),INDEX(Sensors_MANU!$F$2:$F$4692,MATCH($P559,Sensors_MANU!$A$2:$A$4692,0))),"")</f>
        <v/>
      </c>
      <c r="D559" t="inlineStr">
        <is>
          <t>C8D7349FD7FC</t>
        </is>
      </c>
      <c r="E559" s="24">
        <f>LEFT(D559,2)&amp;":"&amp;MID(D559,3,2)&amp;":"&amp;MID(D559,5,2)&amp;":"&amp;MID(D559,7,2)&amp;":"&amp;MID(D559,9,2)&amp;":"&amp;RIGHT(D559,2)</f>
        <v/>
      </c>
      <c r="F559" s="29" t="n">
        <v>45090</v>
      </c>
      <c r="G559" s="29" t="inlineStr">
        <is>
          <t>VIEZO</t>
        </is>
      </c>
      <c r="H559" t="inlineStr">
        <is>
          <t>06394728C567E28F</t>
        </is>
      </c>
      <c r="I559">
        <f>IFERROR(_xlfn.IFNA(INDEX(Sensors_MANU!$C$2:$C$4692,MATCH($D559,Sensors_MANU!$B$2:$B$4692,0)),INDEX(Sensors_MANU!$C$2:$C$4692,MATCH($P559,Sensors_MANU!$A$2:$A$4692,0))),"")</f>
        <v/>
      </c>
      <c r="J559">
        <f>IFERROR(_xlfn.IFNA(INDEX(Sensors_MANU!$D$2:$D$4692,MATCH($D559,Sensors_MANU!$B$2:$B$4692,0)),INDEX(Sensors_MANU!$D$2:$D$4692,MATCH($P559,Sensors_MANU!$A$2:$A$4692,0))),"")</f>
        <v/>
      </c>
      <c r="K559" s="27" t="inlineStr">
        <is>
          <t>33802742265-2</t>
        </is>
      </c>
      <c r="L559" s="27" t="inlineStr">
        <is>
          <t>4R</t>
        </is>
      </c>
      <c r="O559" s="6" t="inlineStr">
        <is>
          <t>V24</t>
        </is>
      </c>
    </row>
    <row r="560">
      <c r="A560" s="32">
        <f>IFERROR(_xlfn.IFNA(INDEX(Sensors_MANU!$E$2:$E$4692,MATCH($D560,Sensors_MANU!$B$2:$B$4692,0)),INDEX(Sensors_MANU!$E$2:$E$4692,MATCH($P560,Sensors_MANU!$A$2:$A$4692,0))),"")</f>
        <v/>
      </c>
      <c r="B560" s="24">
        <f>IFERROR(INDEX(Companies!$A$3:$A$101,MATCH(A560,Companies!$B$3:$B$101,0)),"")</f>
        <v/>
      </c>
      <c r="D560" t="inlineStr">
        <is>
          <t>E36D6628F3D6</t>
        </is>
      </c>
      <c r="E560">
        <f>LEFT(D560,2)&amp;":"&amp;MID(D560,3,2)&amp;":"&amp;MID(D560,5,2)&amp;":"&amp;MID(D560,7,2)&amp;":"&amp;MID(D560,9,2)&amp;":"&amp;RIGHT(D560,2)</f>
        <v/>
      </c>
      <c r="H560" t="inlineStr">
        <is>
          <t>EEB127929D608282</t>
        </is>
      </c>
      <c r="I560">
        <f>IFERROR(_xlfn.IFNA(INDEX(Sensors_MANU!$C$2:$C$4692,MATCH($D560,Sensors_MANU!$B$2:$B$4692,0)),INDEX(Sensors_MANU!$C$2:$C$4692,MATCH($P560,Sensors_MANU!$A$2:$A$4692,0))),"")</f>
        <v/>
      </c>
      <c r="J560">
        <f>IFERROR(_xlfn.IFNA(INDEX(Sensors_MANU!$D$2:$D$4692,MATCH($D560,Sensors_MANU!$B$2:$B$4692,0)),INDEX(Sensors_MANU!$D$2:$D$4692,MATCH($P560,Sensors_MANU!$A$2:$A$4692,0))),"")</f>
        <v/>
      </c>
      <c r="K560" s="27" t="inlineStr">
        <is>
          <t>BAH103</t>
        </is>
      </c>
      <c r="L560" s="27" t="inlineStr">
        <is>
          <t>3L</t>
        </is>
      </c>
    </row>
    <row r="561">
      <c r="A561" s="32">
        <f>IFERROR(_xlfn.IFNA(INDEX(Sensors_MANU!$E$2:$E$4692,MATCH($D561,Sensors_MANU!$B$2:$B$4692,0)),INDEX(Sensors_MANU!$E$2:$E$4692,MATCH($P561,Sensors_MANU!$A$2:$A$4692,0))),"")</f>
        <v/>
      </c>
      <c r="B561" s="24">
        <f>IFERROR(INDEX(Companies!$A$3:$A$101,MATCH(A561,Companies!$B$3:$B$101,0)),"")</f>
        <v/>
      </c>
      <c r="C561">
        <f>IFERROR(_xlfn.IFNA(INDEX(Sensors_MANU!$F$2:$F$4692,MATCH($D561,Sensors_MANU!$B$2:$B$4692,0)),INDEX(Sensors_MANU!$F$2:$F$4692,MATCH($P561,Sensors_MANU!$A$2:$A$4692,0))),"")</f>
        <v/>
      </c>
      <c r="D561" t="inlineStr">
        <is>
          <t>EECA22F78710</t>
        </is>
      </c>
      <c r="E561">
        <f>LEFT(D561,2)&amp;":"&amp;MID(D561,3,2)&amp;":"&amp;MID(D561,5,2)&amp;":"&amp;MID(D561,7,2)&amp;":"&amp;MID(D561,9,2)&amp;":"&amp;RIGHT(D561,2)</f>
        <v/>
      </c>
      <c r="H561" t="inlineStr">
        <is>
          <t>AB9C84ADCB332591</t>
        </is>
      </c>
      <c r="I561">
        <f>IFERROR(_xlfn.IFNA(INDEX(Sensors_MANU!$C$2:$C$4692,MATCH($D561,Sensors_MANU!$B$2:$B$4692,0)),INDEX(Sensors_MANU!$C$2:$C$4692,MATCH($P561,Sensors_MANU!$A$2:$A$4692,0))),"")</f>
        <v/>
      </c>
      <c r="J561">
        <f>IFERROR(_xlfn.IFNA(INDEX(Sensors_MANU!$D$2:$D$4692,MATCH($D561,Sensors_MANU!$B$2:$B$4692,0)),INDEX(Sensors_MANU!$D$2:$D$4692,MATCH($P561,Sensors_MANU!$A$2:$A$4692,0))),"")</f>
        <v/>
      </c>
      <c r="M561" s="27" t="n"/>
      <c r="N561" s="99">
        <f>IFERROR(INDEX(Sensors_MANU!$G$2:$G$4692,MATCH($P561,Sensors_MANU!$A$2:$A$4692,0)),)</f>
        <v/>
      </c>
      <c r="O561" s="6" t="inlineStr">
        <is>
          <t>v16</t>
        </is>
      </c>
      <c r="P561" t="n">
        <v>4978826</v>
      </c>
    </row>
    <row r="562">
      <c r="A562" s="32">
        <f>IFERROR(_xlfn.IFNA(INDEX(Sensors_MANU!$E$2:$E$4692,MATCH($D562,Sensors_MANU!$B$2:$B$4692,0)),INDEX(Sensors_MANU!$E$2:$E$4692,MATCH($P562,Sensors_MANU!$A$2:$A$4692,0))),"")</f>
        <v/>
      </c>
      <c r="B562" s="24">
        <f>IFERROR(INDEX(Companies!$A$3:$A$101,MATCH(A562,Companies!$B$3:$B$101,0)),"")</f>
        <v/>
      </c>
      <c r="C562">
        <f>IFERROR(_xlfn.IFNA(INDEX(Sensors_MANU!$F$2:$F$4692,MATCH($D562,Sensors_MANU!$B$2:$B$4692,0)),INDEX(Sensors_MANU!$F$2:$F$4692,MATCH($P562,Sensors_MANU!$A$2:$A$4692,0))),"")</f>
        <v/>
      </c>
      <c r="D562" t="inlineStr">
        <is>
          <t>C5FCE51F43E0</t>
        </is>
      </c>
      <c r="E562">
        <f>LEFT(D562,2)&amp;":"&amp;MID(D562,3,2)&amp;":"&amp;MID(D562,5,2)&amp;":"&amp;MID(D562,7,2)&amp;":"&amp;MID(D562,9,2)&amp;":"&amp;RIGHT(D562,2)</f>
        <v/>
      </c>
      <c r="H562" t="inlineStr">
        <is>
          <t>4C1494D4A74DA9AD</t>
        </is>
      </c>
      <c r="I562">
        <f>IFERROR(_xlfn.IFNA(INDEX(Sensors_MANU!$C$2:$C$4692,MATCH($D562,Sensors_MANU!$B$2:$B$4692,0)),INDEX(Sensors_MANU!$C$2:$C$4692,MATCH($P562,Sensors_MANU!$A$2:$A$4692,0))),"")</f>
        <v/>
      </c>
      <c r="J562">
        <f>IFERROR(_xlfn.IFNA(INDEX(Sensors_MANU!$D$2:$D$4692,MATCH($D562,Sensors_MANU!$B$2:$B$4692,0)),INDEX(Sensors_MANU!$D$2:$D$4692,MATCH($P562,Sensors_MANU!$A$2:$A$4692,0))),"")</f>
        <v/>
      </c>
      <c r="K562" s="27" t="inlineStr">
        <is>
          <t>33764955324-1</t>
        </is>
      </c>
      <c r="L562" s="27" t="inlineStr">
        <is>
          <t>5L</t>
        </is>
      </c>
      <c r="N562" s="99">
        <f>IFERROR(INDEX(Sensors_MANU!$G$2:$G$4692,MATCH($P562,Sensors_MANU!$A$2:$A$4692,0)),)</f>
        <v/>
      </c>
      <c r="O562" s="6" t="inlineStr">
        <is>
          <t>v17</t>
        </is>
      </c>
      <c r="P562" t="n">
        <v>4978602</v>
      </c>
    </row>
    <row r="563">
      <c r="A563" s="26" t="inlineStr">
        <is>
          <t>TANKWAGON</t>
        </is>
      </c>
      <c r="B563" s="24">
        <f>IFERROR(INDEX(Companies!$A$3:$A$101,MATCH(A563,Companies!$B$3:$B$101,0)),"")</f>
        <v/>
      </c>
      <c r="C563">
        <f>IFERROR(_xlfn.IFNA(INDEX(Sensors_MANU!$F$2:$F$4692,MATCH($D563,Sensors_MANU!$B$2:$B$4692,0)),INDEX(Sensors_MANU!$F$2:$F$4692,MATCH($P563,Sensors_MANU!$A$2:$A$4692,0))),"")</f>
        <v/>
      </c>
      <c r="D563" t="inlineStr">
        <is>
          <t>EC5ACF1684CC</t>
        </is>
      </c>
      <c r="E563">
        <f>LEFT(D563,2)&amp;":"&amp;MID(D563,3,2)&amp;":"&amp;MID(D563,5,2)&amp;":"&amp;MID(D563,7,2)&amp;":"&amp;MID(D563,9,2)&amp;":"&amp;RIGHT(D563,2)</f>
        <v/>
      </c>
      <c r="F563" s="29" t="n">
        <v>45222</v>
      </c>
      <c r="G563" s="29" t="inlineStr">
        <is>
          <t>Tankwagon</t>
        </is>
      </c>
      <c r="H563" s="2" t="inlineStr">
        <is>
          <t>845A63ED6C2CFE7E</t>
        </is>
      </c>
      <c r="I563">
        <f>IFERROR(_xlfn.IFNA(INDEX(Sensors_MANU!$C$2:$C$4692,MATCH($D563,Sensors_MANU!$B$2:$B$4692,0)),INDEX(Sensors_MANU!$C$2:$C$4692,MATCH($P563,Sensors_MANU!$A$2:$A$4692,0))),"")</f>
        <v/>
      </c>
      <c r="J563">
        <f>IFERROR(_xlfn.IFNA(INDEX(Sensors_MANU!$D$2:$D$4692,MATCH($D563,Sensors_MANU!$B$2:$B$4692,0)),INDEX(Sensors_MANU!$D$2:$D$4692,MATCH($P563,Sensors_MANU!$A$2:$A$4692,0))),"")</f>
        <v/>
      </c>
      <c r="K563" s="27" t="inlineStr">
        <is>
          <t>33857929905-2</t>
        </is>
      </c>
      <c r="L563" s="27" t="inlineStr">
        <is>
          <t>2R</t>
        </is>
      </c>
      <c r="M563" s="27" t="n"/>
      <c r="N563" s="99">
        <f>IFERROR(INDEX(Sensors_MANU!$G$2:$G$4692,MATCH($P563,Sensors_MANU!$A$2:$A$4692,0)),)</f>
        <v/>
      </c>
      <c r="O563" s="6" t="inlineStr">
        <is>
          <t>V26</t>
        </is>
      </c>
      <c r="P563" t="n">
        <v>4978786</v>
      </c>
    </row>
    <row r="564">
      <c r="B564" s="24">
        <f>IFERROR(INDEX(Companies!$A$3:$A$101,MATCH(A564,Companies!$B$3:$B$101,0)),"")</f>
        <v/>
      </c>
      <c r="C564">
        <f>IFERROR(_xlfn.IFNA(INDEX(Sensors_MANU!$F$2:$F$4692,MATCH($D564,Sensors_MANU!$B$2:$B$4692,0)),INDEX(Sensors_MANU!$F$2:$F$4692,MATCH($P564,Sensors_MANU!$A$2:$A$4692,0))),"")</f>
        <v/>
      </c>
      <c r="D564" t="inlineStr">
        <is>
          <t>EB9EF87D6F40</t>
        </is>
      </c>
      <c r="E564">
        <f>LEFT(D564,2)&amp;":"&amp;MID(D564,3,2)&amp;":"&amp;MID(D564,5,2)&amp;":"&amp;MID(D564,7,2)&amp;":"&amp;MID(D564,9,2)&amp;":"&amp;RIGHT(D564,2)</f>
        <v/>
      </c>
      <c r="H564" t="inlineStr">
        <is>
          <t>54091102A3E22076</t>
        </is>
      </c>
      <c r="J564">
        <f>IFERROR(_xlfn.IFNA(INDEX(Sensors_MANU!$D$2:$D$4692,MATCH($D564,Sensors_MANU!$B$2:$B$4692,0)),INDEX(Sensors_MANU!$D$2:$D$4692,MATCH($P564,Sensors_MANU!$A$2:$A$4692,0))),"")</f>
        <v/>
      </c>
      <c r="M564" s="27" t="n"/>
      <c r="N564" s="99">
        <f>IFERROR(INDEX(Sensors_MANU!$G$2:$G$4692,MATCH($P564,Sensors_MANU!$A$2:$A$4692,0)),)</f>
        <v/>
      </c>
      <c r="O564" s="6" t="inlineStr">
        <is>
          <t>v16</t>
        </is>
      </c>
      <c r="P564" t="n">
        <v>4978781</v>
      </c>
    </row>
    <row r="565">
      <c r="A565" s="32">
        <f>IFERROR(_xlfn.IFNA(INDEX(Sensors_MANU!$E$2:$E$4692,MATCH($D565,Sensors_MANU!$B$2:$B$4692,0)),INDEX(Sensors_MANU!$E$2:$E$4692,MATCH($P565,Sensors_MANU!$A$2:$A$4692,0))),"")</f>
        <v/>
      </c>
      <c r="B565" s="24">
        <f>IFERROR(INDEX(Companies!$A$3:$A$101,MATCH(A565,Companies!$B$3:$B$101,0)),"")</f>
        <v/>
      </c>
      <c r="D565" t="inlineStr">
        <is>
          <t>C7F75F56C496</t>
        </is>
      </c>
      <c r="E565">
        <f>LEFT(D565,2)&amp;":"&amp;MID(D565,3,2)&amp;":"&amp;MID(D565,5,2)&amp;":"&amp;MID(D565,7,2)&amp;":"&amp;MID(D565,9,2)&amp;":"&amp;RIGHT(D565,2)</f>
        <v/>
      </c>
      <c r="F565" s="29" t="n">
        <v>44953</v>
      </c>
      <c r="G565" s="29" t="inlineStr">
        <is>
          <t>Fertagus</t>
        </is>
      </c>
      <c r="H565" t="inlineStr">
        <is>
          <t>B1FBBFA0FAEB7A7A</t>
        </is>
      </c>
      <c r="I565">
        <f>IFERROR(_xlfn.IFNA(INDEX(Sensors_MANU!$C$2:$C$4692,MATCH($D565,Sensors_MANU!$B$2:$B$4692,0)),INDEX(Sensors_MANU!$C$2:$C$4692,MATCH($P565,Sensors_MANU!$A$2:$A$4692,0))),"")</f>
        <v/>
      </c>
      <c r="J565">
        <f>IFERROR(_xlfn.IFNA(INDEX(Sensors_MANU!$D$2:$D$4692,MATCH($D565,Sensors_MANU!$B$2:$B$4692,0)),INDEX(Sensors_MANU!$D$2:$D$4692,MATCH($P565,Sensors_MANU!$A$2:$A$4692,0))),"")</f>
        <v/>
      </c>
      <c r="K565" s="27" t="inlineStr">
        <is>
          <t>M3505</t>
        </is>
      </c>
      <c r="L565" s="27" t="inlineStr">
        <is>
          <t>2L</t>
        </is>
      </c>
    </row>
    <row r="566">
      <c r="A566" s="32">
        <f>IFERROR(_xlfn.IFNA(INDEX(Sensors_MANU!$E$2:$E$4692,MATCH($D566,Sensors_MANU!$B$2:$B$4692,0)),INDEX(Sensors_MANU!$E$2:$E$4692,MATCH($P566,Sensors_MANU!$A$2:$A$4692,0))),"")</f>
        <v/>
      </c>
      <c r="B566" s="24">
        <f>IFERROR(INDEX(Companies!$A$3:$A$101,MATCH(A566,Companies!$B$3:$B$101,0)),"")</f>
        <v/>
      </c>
      <c r="C566">
        <f>IFERROR(_xlfn.IFNA(INDEX(Sensors_MANU!$F$2:$F$4692,MATCH($D566,Sensors_MANU!$B$2:$B$4692,0)),INDEX(Sensors_MANU!$F$2:$F$4692,MATCH($P566,Sensors_MANU!$A$2:$A$4692,0))),"")</f>
        <v/>
      </c>
      <c r="D566" t="inlineStr">
        <is>
          <t>F53362EABE1A</t>
        </is>
      </c>
      <c r="E566">
        <f>LEFT(D566,2)&amp;":"&amp;MID(D566,3,2)&amp;":"&amp;MID(D566,5,2)&amp;":"&amp;MID(D566,7,2)&amp;":"&amp;MID(D566,9,2)&amp;":"&amp;RIGHT(D566,2)</f>
        <v/>
      </c>
      <c r="F566" s="29" t="n">
        <v>44910</v>
      </c>
      <c r="G566" s="29" t="inlineStr">
        <is>
          <t>Viezo</t>
        </is>
      </c>
      <c r="H566" s="18" t="inlineStr">
        <is>
          <t>387E7822CCB48C9E</t>
        </is>
      </c>
      <c r="I566">
        <f>IFERROR(_xlfn.IFNA(INDEX(Sensors_MANU!$C$2:$C$4692,MATCH($D566,Sensors_MANU!$B$2:$B$4692,0)),INDEX(Sensors_MANU!$C$2:$C$4692,MATCH($P566,Sensors_MANU!$A$2:$A$4692,0))),"")</f>
        <v/>
      </c>
      <c r="J566">
        <f>IFERROR(_xlfn.IFNA(INDEX(Sensors_MANU!$D$2:$D$4692,MATCH($D566,Sensors_MANU!$B$2:$B$4692,0)),INDEX(Sensors_MANU!$D$2:$D$4692,MATCH($P566,Sensors_MANU!$A$2:$A$4692,0))),"")</f>
        <v/>
      </c>
      <c r="K566" s="27" t="inlineStr">
        <is>
          <t>31833918084-2</t>
        </is>
      </c>
      <c r="L566" s="27" t="inlineStr">
        <is>
          <t>3R</t>
        </is>
      </c>
      <c r="M566" s="27" t="n"/>
      <c r="N566" s="99">
        <f>IFERROR(INDEX(Sensors_MANU!$G$2:$G$4692,MATCH($P566,Sensors_MANU!$A$2:$A$4692,0)),)</f>
        <v/>
      </c>
      <c r="O566" s="6" t="inlineStr">
        <is>
          <t>v16</t>
        </is>
      </c>
      <c r="P566" t="n">
        <v>4978889</v>
      </c>
    </row>
    <row r="567">
      <c r="A567" s="32">
        <f>IFERROR(_xlfn.IFNA(INDEX(Sensors_MANU!$E$2:$E$4692,MATCH($D567,Sensors_MANU!$B$2:$B$4692,0)),INDEX(Sensors_MANU!$E$2:$E$4692,MATCH($P567,Sensors_MANU!$A$2:$A$4692,0))),"")</f>
        <v/>
      </c>
      <c r="B567" s="24" t="inlineStr">
        <is>
          <t>64818ba10166b80f8d06f5fa</t>
        </is>
      </c>
      <c r="C567">
        <f>IFERROR(_xlfn.IFNA(INDEX(Sensors_MANU!$F$2:$F$4692,MATCH($D567,Sensors_MANU!$B$2:$B$4692,0)),INDEX(Sensors_MANU!$F$2:$F$4692,MATCH($P567,Sensors_MANU!$A$2:$A$4692,0))),"")</f>
        <v/>
      </c>
      <c r="D567" t="inlineStr">
        <is>
          <t>CDE1A25DB6D4</t>
        </is>
      </c>
      <c r="E567">
        <f>LEFT(D567,2)&amp;":"&amp;MID(D567,3,2)&amp;":"&amp;MID(D567,5,2)&amp;":"&amp;MID(D567,7,2)&amp;":"&amp;MID(D567,9,2)&amp;":"&amp;RIGHT(D567,2)</f>
        <v/>
      </c>
      <c r="F567" s="29" t="n">
        <v>45090</v>
      </c>
      <c r="G567" s="29" t="inlineStr">
        <is>
          <t>VIEZO</t>
        </is>
      </c>
      <c r="H567" t="inlineStr">
        <is>
          <t>4A90E79EEA5D241A</t>
        </is>
      </c>
      <c r="I567">
        <f>IFERROR(_xlfn.IFNA(INDEX(Sensors_MANU!$C$2:$C$4692,MATCH($D567,Sensors_MANU!$B$2:$B$4692,0)),INDEX(Sensors_MANU!$C$2:$C$4692,MATCH($P567,Sensors_MANU!$A$2:$A$4692,0))),"")</f>
        <v/>
      </c>
      <c r="J567">
        <f>IFERROR(_xlfn.IFNA(INDEX(Sensors_MANU!$D$2:$D$4692,MATCH($D567,Sensors_MANU!$B$2:$B$4692,0)),INDEX(Sensors_MANU!$D$2:$D$4692,MATCH($P567,Sensors_MANU!$A$2:$A$4692,0))),"")</f>
        <v/>
      </c>
      <c r="K567" s="27" t="inlineStr">
        <is>
          <t>33802742207-4</t>
        </is>
      </c>
      <c r="L567" s="27" t="inlineStr">
        <is>
          <t>2L</t>
        </is>
      </c>
      <c r="M567" s="27" t="n"/>
      <c r="N567" s="99">
        <f>IFERROR(INDEX(Sensors_MANU!$G$2:$G$4692,MATCH($P567,Sensors_MANU!$A$2:$A$4692,0)),)</f>
        <v/>
      </c>
      <c r="O567" s="6" t="inlineStr">
        <is>
          <t>v17</t>
        </is>
      </c>
      <c r="P567" t="n">
        <v>4978653</v>
      </c>
    </row>
    <row r="568">
      <c r="A568" s="32">
        <f>IFERROR(_xlfn.IFNA(INDEX(Sensors_MANU!$E$2:$E$4692,MATCH($D568,Sensors_MANU!$B$2:$B$4692,0)),INDEX(Sensors_MANU!$E$2:$E$4692,MATCH($P568,Sensors_MANU!$A$2:$A$4692,0))),"")</f>
        <v/>
      </c>
      <c r="B568" s="24">
        <f>IFERROR(INDEX(Companies!$A$3:$A$101,MATCH(A568,Companies!$B$3:$B$101,0)),"")</f>
        <v/>
      </c>
      <c r="C568" t="inlineStr">
        <is>
          <t>cargo</t>
        </is>
      </c>
      <c r="D568" t="inlineStr">
        <is>
          <t>F4E72978A432</t>
        </is>
      </c>
      <c r="E568">
        <f>LEFT(D568,2)&amp;":"&amp;MID(D568,3,2)&amp;":"&amp;MID(D568,5,2)&amp;":"&amp;MID(D568,7,2)&amp;":"&amp;MID(D568,9,2)&amp;":"&amp;RIGHT(D568,2)</f>
        <v/>
      </c>
      <c r="F568" s="29" t="n">
        <v>44918</v>
      </c>
      <c r="G568" s="29" t="inlineStr">
        <is>
          <t>Hupac</t>
        </is>
      </c>
      <c r="H568" t="inlineStr">
        <is>
          <t>72D2D39121970CFD</t>
        </is>
      </c>
      <c r="I568">
        <f>IFERROR(_xlfn.IFNA(INDEX(Sensors_MANU!$C$2:$C$4692,MATCH($D568,Sensors_MANU!$B$2:$B$4692,0)),INDEX(Sensors_MANU!$C$2:$C$4692,MATCH($P568,Sensors_MANU!$A$2:$A$4692,0))),"")</f>
        <v/>
      </c>
      <c r="J568">
        <f>IFERROR(_xlfn.IFNA(INDEX(Sensors_MANU!$D$2:$D$4692,MATCH($D568,Sensors_MANU!$B$2:$B$4692,0)),INDEX(Sensors_MANU!$D$2:$D$4692,MATCH($P568,Sensors_MANU!$A$2:$A$4692,0))),"")</f>
        <v/>
      </c>
      <c r="K568" s="27" t="inlineStr">
        <is>
          <t>33854956673-9</t>
        </is>
      </c>
      <c r="L568" s="27" t="inlineStr">
        <is>
          <t>10b</t>
        </is>
      </c>
      <c r="M568" s="27" t="n">
        <v>88160078</v>
      </c>
      <c r="N568" s="99">
        <f>IFERROR(INDEX(Sensors_MANU!$G$2:$G$4692,MATCH($P568,Sensors_MANU!$A$2:$A$4692,0)),)</f>
        <v/>
      </c>
      <c r="O568" s="6" t="inlineStr">
        <is>
          <t>v15</t>
        </is>
      </c>
      <c r="P568" t="n">
        <v>4978724</v>
      </c>
    </row>
    <row r="569">
      <c r="B569" s="24">
        <f>IFERROR(INDEX(Companies!$A$3:$A$101,MATCH(A569,Companies!$B$3:$B$101,0)),"")</f>
        <v/>
      </c>
      <c r="C569">
        <f>IFERROR(_xlfn.IFNA(INDEX(Sensors_MANU!$F$2:$F$4692,MATCH($D569,Sensors_MANU!$B$2:$B$4692,0)),INDEX(Sensors_MANU!$F$2:$F$4692,MATCH($P569,Sensors_MANU!$A$2:$A$4692,0))),"")</f>
        <v/>
      </c>
      <c r="D569" t="inlineStr">
        <is>
          <t>EAA5C97BE999</t>
        </is>
      </c>
      <c r="E569" s="24">
        <f>LEFT(D569,2)&amp;":"&amp;MID(D569,3,2)&amp;":"&amp;MID(D569,5,2)&amp;":"&amp;MID(D569,7,2)&amp;":"&amp;MID(D569,9,2)&amp;":"&amp;RIGHT(D569,2)</f>
        <v/>
      </c>
      <c r="H569" t="inlineStr">
        <is>
          <t>B3A6EF60E94CBF3C</t>
        </is>
      </c>
      <c r="I569">
        <f>IFERROR(_xlfn.IFNA(INDEX(Sensors_MANU!$C$2:$C$4692,MATCH($D569,Sensors_MANU!$B$2:$B$4692,0)),INDEX(Sensors_MANU!$C$2:$C$4692,MATCH($P569,Sensors_MANU!$A$2:$A$4692,0))),"")</f>
        <v/>
      </c>
      <c r="J569">
        <f>IFERROR(_xlfn.IFNA(INDEX(Sensors_MANU!$D$2:$D$4692,MATCH($D569,Sensors_MANU!$B$2:$B$4692,0)),INDEX(Sensors_MANU!$D$2:$D$4692,MATCH($P569,Sensors_MANU!$A$2:$A$4692,0))),"")</f>
        <v/>
      </c>
      <c r="N569" s="99">
        <f>IFERROR(INDEX(Sensors_MANU!$G$2:$G$4692,MATCH($P569,Sensors_MANU!$A$2:$A$4692,0)),)</f>
        <v/>
      </c>
      <c r="O569" s="6" t="inlineStr">
        <is>
          <t>v17</t>
        </is>
      </c>
      <c r="P569" t="n">
        <v>4978460</v>
      </c>
    </row>
    <row r="570">
      <c r="A570" s="32" t="inlineStr">
        <is>
          <t>CARGONET</t>
        </is>
      </c>
      <c r="B570" s="24">
        <f>IFERROR(INDEX(Companies!$A$3:$A$101,MATCH(A570,Companies!$B$3:$B$101,0)),"")</f>
        <v/>
      </c>
      <c r="D570" t="inlineStr">
        <is>
          <t>C75EAD69669C</t>
        </is>
      </c>
      <c r="E570">
        <f>LEFT(D570,2)&amp;":"&amp;MID(D570,3,2)&amp;":"&amp;MID(D570,5,2)&amp;":"&amp;MID(D570,7,2)&amp;":"&amp;MID(D570,9,2)&amp;":"&amp;RIGHT(D570,2)</f>
        <v/>
      </c>
      <c r="H570" t="inlineStr">
        <is>
          <t>71D47178F529297C</t>
        </is>
      </c>
      <c r="J570" t="inlineStr">
        <is>
          <t>PR2203-367</t>
        </is>
      </c>
      <c r="K570" s="27" t="inlineStr">
        <is>
          <t>33764955324-1</t>
        </is>
      </c>
      <c r="L570" s="27" t="inlineStr">
        <is>
          <t>1L</t>
        </is>
      </c>
    </row>
    <row r="571">
      <c r="B571" s="24">
        <f>IFERROR(INDEX(Companies!$A$3:$A$101,MATCH(A571,Companies!$B$3:$B$101,0)),"")</f>
        <v/>
      </c>
      <c r="C571">
        <f>IFERROR(_xlfn.IFNA(INDEX(Sensors_MANU!$F$2:$F$4692,MATCH($D571,Sensors_MANU!$B$2:$B$4692,0)),INDEX(Sensors_MANU!$F$2:$F$4692,MATCH($P571,Sensors_MANU!$A$2:$A$4692,0))),"")</f>
        <v/>
      </c>
      <c r="D571" t="inlineStr">
        <is>
          <t>D3038BFE171D</t>
        </is>
      </c>
      <c r="E571">
        <f>LEFT(D571,2)&amp;":"&amp;MID(D571,3,2)&amp;":"&amp;MID(D571,5,2)&amp;":"&amp;MID(D571,7,2)&amp;":"&amp;MID(D571,9,2)&amp;":"&amp;RIGHT(D571,2)</f>
        <v/>
      </c>
      <c r="H571" t="inlineStr">
        <is>
          <t>4C0328B2F8C4F74A</t>
        </is>
      </c>
      <c r="I571">
        <f>IFERROR(_xlfn.IFNA(INDEX(Sensors_MANU!$C$2:$C$4692,MATCH($D571,Sensors_MANU!$B$2:$B$4692,0)),INDEX(Sensors_MANU!$C$2:$C$4692,MATCH($P571,Sensors_MANU!$A$2:$A$4692,0))),"")</f>
        <v/>
      </c>
      <c r="J571">
        <f>IFERROR(_xlfn.IFNA(INDEX(Sensors_MANU!$D$2:$D$4692,MATCH($D571,Sensors_MANU!$B$2:$B$4692,0)),INDEX(Sensors_MANU!$D$2:$D$4692,MATCH($P571,Sensors_MANU!$A$2:$A$4692,0))),"")</f>
        <v/>
      </c>
    </row>
    <row r="572">
      <c r="A572" s="32">
        <f>IFERROR(_xlfn.IFNA(INDEX(Sensors_MANU!$E$2:$E$4692,MATCH($D572,Sensors_MANU!$B$2:$B$4692,0)),INDEX(Sensors_MANU!$E$2:$E$4692,MATCH($P572,Sensors_MANU!$A$2:$A$4692,0))),"")</f>
        <v/>
      </c>
      <c r="B572" s="24">
        <f>IFERROR(INDEX(Companies!$A$3:$A$101,MATCH(A572,Companies!$B$3:$B$101,0)),"")</f>
        <v/>
      </c>
      <c r="C572">
        <f>IFERROR(_xlfn.IFNA(INDEX(Sensors_MANU!$F$2:$F$4692,MATCH($D572,Sensors_MANU!$B$2:$B$4692,0)),INDEX(Sensors_MANU!$F$2:$F$4692,MATCH($P572,Sensors_MANU!$A$2:$A$4692,0))),"")</f>
        <v/>
      </c>
      <c r="D572" t="inlineStr">
        <is>
          <t>D608505B2C8A</t>
        </is>
      </c>
      <c r="E572">
        <f>LEFT(D572,2)&amp;":"&amp;MID(D572,3,2)&amp;":"&amp;MID(D572,5,2)&amp;":"&amp;MID(D572,7,2)&amp;":"&amp;MID(D572,9,2)&amp;":"&amp;RIGHT(D572,2)</f>
        <v/>
      </c>
      <c r="F572" s="29" t="n">
        <v>44910</v>
      </c>
      <c r="G572" s="29" t="inlineStr">
        <is>
          <t>Viezo</t>
        </is>
      </c>
      <c r="H572" t="inlineStr">
        <is>
          <t>C6673F94CDF720B4</t>
        </is>
      </c>
      <c r="I572">
        <f>IFERROR(_xlfn.IFNA(INDEX(Sensors_MANU!$C$2:$C$4692,MATCH($D572,Sensors_MANU!$B$2:$B$4692,0)),INDEX(Sensors_MANU!$C$2:$C$4692,MATCH($P572,Sensors_MANU!$A$2:$A$4692,0))),"")</f>
        <v/>
      </c>
      <c r="J572">
        <f>IFERROR(_xlfn.IFNA(INDEX(Sensors_MANU!$D$2:$D$4692,MATCH($D572,Sensors_MANU!$B$2:$B$4692,0)),INDEX(Sensors_MANU!$D$2:$D$4692,MATCH($P572,Sensors_MANU!$A$2:$A$4692,0))),"")</f>
        <v/>
      </c>
      <c r="K572" s="27" t="inlineStr">
        <is>
          <t>33854506221-2</t>
        </is>
      </c>
      <c r="L572" s="27" t="inlineStr">
        <is>
          <t>5a</t>
        </is>
      </c>
      <c r="M572" s="27" t="n">
        <v>20051270</v>
      </c>
      <c r="N572" s="99">
        <f>IFERROR(INDEX(Sensors_MANU!$G$2:$G$4692,MATCH($P572,Sensors_MANU!$A$2:$A$4692,0)),)</f>
        <v/>
      </c>
      <c r="O572" s="6" t="inlineStr">
        <is>
          <t>v16</t>
        </is>
      </c>
      <c r="P572" t="n">
        <v>4978816</v>
      </c>
    </row>
    <row r="573">
      <c r="A573" s="32">
        <f>IFERROR(_xlfn.IFNA(INDEX(Sensors_MANU!$E$2:$E$4692,MATCH($D573,Sensors_MANU!$B$2:$B$4692,0)),INDEX(Sensors_MANU!$E$2:$E$4692,MATCH($P573,Sensors_MANU!$A$2:$A$4692,0))),"")</f>
        <v/>
      </c>
      <c r="B573" s="24">
        <f>IFERROR(INDEX(Companies!$A$3:$A$101,MATCH(A573,Companies!$B$3:$B$101,0)),"")</f>
        <v/>
      </c>
      <c r="D573" t="inlineStr">
        <is>
          <t>F6FA4E52BBC5</t>
        </is>
      </c>
      <c r="E573">
        <f>LEFT(D573,2)&amp;":"&amp;MID(D573,3,2)&amp;":"&amp;MID(D573,5,2)&amp;":"&amp;MID(D573,7,2)&amp;":"&amp;MID(D573,9,2)&amp;":"&amp;RIGHT(D573,2)</f>
        <v/>
      </c>
      <c r="F573" s="29" t="n">
        <v>44910</v>
      </c>
      <c r="G573" s="29" t="inlineStr">
        <is>
          <t>Viezo</t>
        </is>
      </c>
      <c r="H573" t="inlineStr">
        <is>
          <t>6FB5201569ADA84E</t>
        </is>
      </c>
      <c r="I573">
        <f>IFERROR(_xlfn.IFNA(INDEX(Sensors_MANU!$C$2:$C$4692,MATCH($D573,Sensors_MANU!$B$2:$B$4692,0)),INDEX(Sensors_MANU!$C$2:$C$4692,MATCH($P573,Sensors_MANU!$A$2:$A$4692,0))),"")</f>
        <v/>
      </c>
      <c r="J573">
        <f>IFERROR(_xlfn.IFNA(INDEX(Sensors_MANU!$D$2:$D$4692,MATCH($D573,Sensors_MANU!$B$2:$B$4692,0)),INDEX(Sensors_MANU!$D$2:$D$4692,MATCH($P573,Sensors_MANU!$A$2:$A$4692,0))),"")</f>
        <v/>
      </c>
      <c r="K573" s="27" t="inlineStr">
        <is>
          <t>33854956478-3</t>
        </is>
      </c>
      <c r="L573" s="27" t="inlineStr">
        <is>
          <t>2b</t>
        </is>
      </c>
      <c r="M573" s="61" t="inlineStr">
        <is>
          <t>88160238</t>
        </is>
      </c>
    </row>
    <row r="574">
      <c r="A574" s="32" t="inlineStr">
        <is>
          <t>CARGONET</t>
        </is>
      </c>
      <c r="B574" s="24">
        <f>IFERROR(INDEX(Companies!$A$3:$A$101,MATCH(A574,Companies!$B$3:$B$101,0)),"")</f>
        <v/>
      </c>
      <c r="D574" t="inlineStr">
        <is>
          <t>DD2BB9F3C8DF</t>
        </is>
      </c>
      <c r="E574">
        <f>LEFT(D574,2)&amp;":"&amp;MID(D574,3,2)&amp;":"&amp;MID(D574,5,2)&amp;":"&amp;MID(D574,7,2)&amp;":"&amp;MID(D574,9,2)&amp;":"&amp;RIGHT(D574,2)</f>
        <v/>
      </c>
      <c r="H574" t="inlineStr">
        <is>
          <t>E73A4DB29F574724</t>
        </is>
      </c>
      <c r="I574">
        <f>IFERROR(_xlfn.IFNA(INDEX(Sensors_MANU!$C$2:$C$4692,MATCH($D574,Sensors_MANU!$B$2:$B$4692,0)),INDEX(Sensors_MANU!$C$2:$C$4692,MATCH($P574,Sensors_MANU!$A$2:$A$4692,0))),"")</f>
        <v/>
      </c>
      <c r="J574" t="inlineStr">
        <is>
          <t>PR2203-371</t>
        </is>
      </c>
      <c r="K574" s="27" t="inlineStr">
        <is>
          <t>33764955324-1</t>
        </is>
      </c>
      <c r="L574" s="27" t="inlineStr">
        <is>
          <t>5R</t>
        </is>
      </c>
    </row>
    <row r="575">
      <c r="A575" s="32">
        <f>IFERROR(_xlfn.IFNA(INDEX(Sensors_MANU!$E$2:$E$4692,MATCH($D575,Sensors_MANU!$B$2:$B$4692,0)),INDEX(Sensors_MANU!$E$2:$E$4692,MATCH($P575,Sensors_MANU!$A$2:$A$4692,0))),"")</f>
        <v/>
      </c>
      <c r="B575" s="24">
        <f>IFERROR(INDEX(Companies!$A$3:$A$101,MATCH(A575,Companies!$B$3:$B$101,0)),"")</f>
        <v/>
      </c>
      <c r="C575" t="inlineStr">
        <is>
          <t>cargo</t>
        </is>
      </c>
      <c r="D575" t="inlineStr">
        <is>
          <t>ED59A0BAE093</t>
        </is>
      </c>
      <c r="E575">
        <f>LEFT(D575,2)&amp;":"&amp;MID(D575,3,2)&amp;":"&amp;MID(D575,5,2)&amp;":"&amp;MID(D575,7,2)&amp;":"&amp;MID(D575,9,2)&amp;":"&amp;RIGHT(D575,2)</f>
        <v/>
      </c>
      <c r="F575" s="29" t="n">
        <v>44910</v>
      </c>
      <c r="G575" s="29" t="inlineStr">
        <is>
          <t>Viezo</t>
        </is>
      </c>
      <c r="H575" t="inlineStr">
        <is>
          <t>34448027FEAC4693</t>
        </is>
      </c>
      <c r="I575" s="6">
        <f>IFERROR(_xlfn.IFNA(INDEX(Sensors_MANU!$C$2:$C$4692,MATCH($D575,Sensors_MANU!$B$2:$B$4692,0)),INDEX(Sensors_MANU!$C$2:$C$4692,MATCH($P575,Sensors_MANU!$A$2:$A$4692,0))),"")</f>
        <v/>
      </c>
      <c r="J575" s="9">
        <f>IFERROR(_xlfn.IFNA(INDEX(Sensors_MANU!$D$2:$D$4692,MATCH($D575,Sensors_MANU!$B$2:$B$4692,0)),INDEX(Sensors_MANU!$D$2:$D$4692,MATCH($P575,Sensors_MANU!$A$2:$A$4692,0))),"")</f>
        <v/>
      </c>
      <c r="K575" s="27" t="inlineStr">
        <is>
          <t>33854956478-3</t>
        </is>
      </c>
      <c r="L575" s="27" t="inlineStr">
        <is>
          <t>11a</t>
        </is>
      </c>
      <c r="M575" s="27" t="n">
        <v>88192322</v>
      </c>
      <c r="N575" s="99">
        <f>IFERROR(INDEX(Sensors_MANU!$G$2:$G$4692,MATCH($P575,Sensors_MANU!$A$2:$A$4692,0)),)</f>
        <v/>
      </c>
      <c r="O575" s="6" t="inlineStr">
        <is>
          <t>v15</t>
        </is>
      </c>
      <c r="P575" t="n">
        <v>4978705</v>
      </c>
    </row>
    <row r="576">
      <c r="B576" s="24">
        <f>IFERROR(INDEX(Companies!$A$3:$A$101,MATCH(A576,Companies!$B$3:$B$101,0)),"")</f>
        <v/>
      </c>
      <c r="C576">
        <f>IFERROR(_xlfn.IFNA(INDEX(Sensors_MANU!$F$2:$F$4692,MATCH($D576,Sensors_MANU!$B$2:$B$4692,0)),INDEX(Sensors_MANU!$F$2:$F$4692,MATCH($P576,Sensors_MANU!$A$2:$A$4692,0))),"")</f>
        <v/>
      </c>
      <c r="D576" t="inlineStr">
        <is>
          <t>F37BC777B45B</t>
        </is>
      </c>
      <c r="E576" s="24">
        <f>LEFT(D576,2)&amp;":"&amp;MID(D576,3,2)&amp;":"&amp;MID(D576,5,2)&amp;":"&amp;MID(D576,7,2)&amp;":"&amp;MID(D576,9,2)&amp;":"&amp;RIGHT(D576,2)</f>
        <v/>
      </c>
      <c r="H576" t="inlineStr">
        <is>
          <t>48F2F84E602BA275</t>
        </is>
      </c>
      <c r="I576">
        <f>IFERROR(_xlfn.IFNA(INDEX(Sensors_MANU!$C$2:$C$4692,MATCH($D576,Sensors_MANU!$B$2:$B$4692,0)),INDEX(Sensors_MANU!$C$2:$C$4692,MATCH($P576,Sensors_MANU!$A$2:$A$4692,0))),"")</f>
        <v/>
      </c>
      <c r="J576">
        <f>IFERROR(_xlfn.IFNA(INDEX(Sensors_MANU!$D$2:$D$4692,MATCH($D576,Sensors_MANU!$B$2:$B$4692,0)),INDEX(Sensors_MANU!$D$2:$D$4692,MATCH($P576,Sensors_MANU!$A$2:$A$4692,0))),"")</f>
        <v/>
      </c>
      <c r="N576" s="99">
        <f>IFERROR(INDEX(Sensors_MANU!$G$2:$G$4692,MATCH($P576,Sensors_MANU!$A$2:$A$4692,0)),)</f>
        <v/>
      </c>
      <c r="O576" s="6" t="inlineStr">
        <is>
          <t>v17</t>
        </is>
      </c>
      <c r="P576" t="n">
        <v>4978569</v>
      </c>
    </row>
    <row r="577">
      <c r="B577" s="24">
        <f>IFERROR(INDEX(Companies!$A$3:$A$101,MATCH(A577,Companies!$B$3:$B$101,0)),"")</f>
        <v/>
      </c>
      <c r="C577">
        <f>IFERROR(_xlfn.IFNA(INDEX(Sensors_MANU!$F$2:$F$4692,MATCH($D577,Sensors_MANU!$B$2:$B$4692,0)),INDEX(Sensors_MANU!$F$2:$F$4692,MATCH($P577,Sensors_MANU!$A$2:$A$4692,0))),"")</f>
        <v/>
      </c>
      <c r="D577" t="inlineStr">
        <is>
          <t>F2CB27C0C7D2</t>
        </is>
      </c>
      <c r="E577">
        <f>LEFT(D577,2)&amp;":"&amp;MID(D577,3,2)&amp;":"&amp;MID(D577,5,2)&amp;":"&amp;MID(D577,7,2)&amp;":"&amp;MID(D577,9,2)&amp;":"&amp;RIGHT(D577,2)</f>
        <v/>
      </c>
      <c r="H577" t="inlineStr">
        <is>
          <t>5DAE7F382CB6BF1E</t>
        </is>
      </c>
      <c r="I577">
        <f>IFERROR(_xlfn.IFNA(INDEX(Sensors_MANU!$C$2:$C$4692,MATCH($D577,Sensors_MANU!$B$2:$B$4692,0)),INDEX(Sensors_MANU!$C$2:$C$4692,MATCH($P577,Sensors_MANU!$A$2:$A$4692,0))),"")</f>
        <v/>
      </c>
      <c r="J577" s="107">
        <f>IFERROR(_xlfn.IFNA(INDEX(Sensors_MANU!$D$2:$D$4692,MATCH($D577,Sensors_MANU!$B$2:$B$4692,0)),INDEX(Sensors_MANU!$D$2:$D$4692,MATCH($P577,Sensors_MANU!$A$2:$A$4692,0))),"")</f>
        <v/>
      </c>
      <c r="M577" s="27" t="n"/>
      <c r="N577" s="99">
        <f>IFERROR(INDEX(Sensors_MANU!$G$2:$G$4692,MATCH($P577,Sensors_MANU!$A$2:$A$4692,0)),)</f>
        <v/>
      </c>
      <c r="O577" s="6" t="inlineStr">
        <is>
          <t>v16</t>
        </is>
      </c>
      <c r="P577" t="n">
        <v>4978851</v>
      </c>
    </row>
    <row r="578">
      <c r="A578" s="32">
        <f>IFERROR(_xlfn.IFNA(INDEX(Sensors_MANU!$E$2:$E$4692,MATCH($D578,Sensors_MANU!$B$2:$B$4692,0)),INDEX(Sensors_MANU!$E$2:$E$4692,MATCH($P578,Sensors_MANU!$A$2:$A$4692,0))),"")</f>
        <v/>
      </c>
      <c r="B578" s="24">
        <f>IFERROR(INDEX(Companies!$A$3:$A$101,MATCH(A578,Companies!$B$3:$B$101,0)),"")</f>
        <v/>
      </c>
      <c r="C578">
        <f>IFERROR(_xlfn.IFNA(INDEX(Sensors_MANU!$F$2:$F$4692,MATCH($D578,Sensors_MANU!$B$2:$B$4692,0)),INDEX(Sensors_MANU!$F$2:$F$4692,MATCH($P578,Sensors_MANU!$A$2:$A$4692,0))),"")</f>
        <v/>
      </c>
      <c r="D578" t="inlineStr">
        <is>
          <t>C27C6E34AFB1</t>
        </is>
      </c>
      <c r="E578">
        <f>LEFT(D578,2)&amp;":"&amp;MID(D578,3,2)&amp;":"&amp;MID(D578,5,2)&amp;":"&amp;MID(D578,7,2)&amp;":"&amp;MID(D578,9,2)&amp;":"&amp;RIGHT(D578,2)</f>
        <v/>
      </c>
      <c r="H578" t="inlineStr">
        <is>
          <t>A62B6BD52F9E4667</t>
        </is>
      </c>
      <c r="I578">
        <f>IFERROR(_xlfn.IFNA(INDEX(Sensors_MANU!$C$2:$C$4692,MATCH($D578,Sensors_MANU!$B$2:$B$4692,0)),INDEX(Sensors_MANU!$C$2:$C$4692,MATCH($P578,Sensors_MANU!$A$2:$A$4692,0))),"")</f>
        <v/>
      </c>
      <c r="J578">
        <f>IFERROR(_xlfn.IFNA(INDEX(Sensors_MANU!$D$2:$D$4692,MATCH($D578,Sensors_MANU!$B$2:$B$4692,0)),INDEX(Sensors_MANU!$D$2:$D$4692,MATCH($P578,Sensors_MANU!$A$2:$A$4692,0))),"")</f>
        <v/>
      </c>
      <c r="M578" s="27" t="n"/>
      <c r="N578" s="99">
        <f>IFERROR(INDEX(Sensors_MANU!$G$2:$G$4692,MATCH($P578,Sensors_MANU!$A$2:$A$4692,0)),)</f>
        <v/>
      </c>
      <c r="O578" s="6" t="inlineStr">
        <is>
          <t>v16</t>
        </is>
      </c>
      <c r="P578" t="n">
        <v>4978731</v>
      </c>
    </row>
    <row r="579">
      <c r="A579" s="32">
        <f>IFERROR(_xlfn.IFNA(INDEX(Sensors_MANU!$E$2:$E$4692,MATCH($D579,Sensors_MANU!$B$2:$B$4692,0)),INDEX(Sensors_MANU!$E$2:$E$4692,MATCH($P579,Sensors_MANU!$A$2:$A$4692,0))),"")</f>
        <v/>
      </c>
      <c r="B579" s="24">
        <f>IFERROR(INDEX(Companies!$A$3:$A$101,MATCH(A579,Companies!$B$3:$B$101,0)),"")</f>
        <v/>
      </c>
      <c r="C579">
        <f>IFERROR(_xlfn.IFNA(INDEX(Sensors_MANU!$F$2:$F$4692,MATCH($D579,Sensors_MANU!$B$2:$B$4692,0)),INDEX(Sensors_MANU!$F$2:$F$4692,MATCH($P579,Sensors_MANU!$A$2:$A$4692,0))),"")</f>
        <v/>
      </c>
      <c r="D579" t="inlineStr">
        <is>
          <t>CEEAC68BCAB0</t>
        </is>
      </c>
      <c r="E579">
        <f>LEFT(D579,2)&amp;":"&amp;MID(D579,3,2)&amp;":"&amp;MID(D579,5,2)&amp;":"&amp;MID(D579,7,2)&amp;":"&amp;MID(D579,9,2)&amp;":"&amp;RIGHT(D579,2)</f>
        <v/>
      </c>
      <c r="F579" s="29" t="n">
        <v>44918</v>
      </c>
      <c r="G579" s="29" t="inlineStr">
        <is>
          <t>Viezo</t>
        </is>
      </c>
      <c r="H579" t="inlineStr">
        <is>
          <t>F6764F3309E78965</t>
        </is>
      </c>
      <c r="I579">
        <f>IFERROR(_xlfn.IFNA(INDEX(Sensors_MANU!$C$2:$C$4692,MATCH($D579,Sensors_MANU!$B$2:$B$4692,0)),INDEX(Sensors_MANU!$C$2:$C$4692,MATCH($P579,Sensors_MANU!$A$2:$A$4692,0))),"")</f>
        <v/>
      </c>
      <c r="J579">
        <f>IFERROR(_xlfn.IFNA(INDEX(Sensors_MANU!$D$2:$D$4692,MATCH($D579,Sensors_MANU!$B$2:$B$4692,0)),INDEX(Sensors_MANU!$D$2:$D$4692,MATCH($P579,Sensors_MANU!$A$2:$A$4692,0))),"")</f>
        <v/>
      </c>
      <c r="K579" s="27" t="inlineStr">
        <is>
          <t>33854668206-7</t>
        </is>
      </c>
      <c r="L579" s="27" t="inlineStr">
        <is>
          <t>1R</t>
        </is>
      </c>
      <c r="M579" s="35" t="n"/>
      <c r="N579" s="101" t="inlineStr">
        <is>
          <t>goes instead of #60</t>
        </is>
      </c>
      <c r="O579" s="6" t="inlineStr">
        <is>
          <t>v15</t>
        </is>
      </c>
      <c r="P579" t="n">
        <v>4978647</v>
      </c>
    </row>
    <row r="580">
      <c r="A580" s="32">
        <f>IFERROR(_xlfn.IFNA(INDEX(Sensors_MANU!$E$2:$E$4692,MATCH($D580,Sensors_MANU!$B$2:$B$4692,0)),INDEX(Sensors_MANU!$E$2:$E$4692,MATCH($P580,Sensors_MANU!$A$2:$A$4692,0))),"")</f>
        <v/>
      </c>
      <c r="B580" s="24">
        <f>IFERROR(INDEX(Companies!$A$3:$A$101,MATCH(A580,Companies!$B$3:$B$101,0)),"")</f>
        <v/>
      </c>
      <c r="C580">
        <f>IFERROR(_xlfn.IFNA(INDEX(Sensors_MANU!$F$2:$F$4692,MATCH($D580,Sensors_MANU!$B$2:$B$4692,0)),INDEX(Sensors_MANU!$F$2:$F$4692,MATCH($P580,Sensors_MANU!$A$2:$A$4692,0))),"")</f>
        <v/>
      </c>
      <c r="D580" t="inlineStr">
        <is>
          <t>C37DD23DD646</t>
        </is>
      </c>
      <c r="E580">
        <f>LEFT(D580,2)&amp;":"&amp;MID(D580,3,2)&amp;":"&amp;MID(D580,5,2)&amp;":"&amp;MID(D580,7,2)&amp;":"&amp;MID(D580,9,2)&amp;":"&amp;RIGHT(D580,2)</f>
        <v/>
      </c>
      <c r="F580" s="29" t="n">
        <v>44910</v>
      </c>
      <c r="G580" s="29" t="inlineStr">
        <is>
          <t>Viezo</t>
        </is>
      </c>
      <c r="H580" t="inlineStr">
        <is>
          <t>C99D0C4E0AA7CA84</t>
        </is>
      </c>
      <c r="I580">
        <f>IFERROR(_xlfn.IFNA(INDEX(Sensors_MANU!$C$2:$C$4692,MATCH($D580,Sensors_MANU!$B$2:$B$4692,0)),INDEX(Sensors_MANU!$C$2:$C$4692,MATCH($P580,Sensors_MANU!$A$2:$A$4692,0))),"")</f>
        <v/>
      </c>
      <c r="J580">
        <f>IFERROR(_xlfn.IFNA(INDEX(Sensors_MANU!$D$2:$D$4692,MATCH($D580,Sensors_MANU!$B$2:$B$4692,0)),INDEX(Sensors_MANU!$D$2:$D$4692,MATCH($P580,Sensors_MANU!$A$2:$A$4692,0))),"")</f>
        <v/>
      </c>
      <c r="K580" s="27" t="inlineStr">
        <is>
          <t>31835376007-3</t>
        </is>
      </c>
      <c r="L580" s="27" t="inlineStr">
        <is>
          <t>2R</t>
        </is>
      </c>
      <c r="M580" s="27" t="n"/>
      <c r="N580" s="99">
        <f>IFERROR(INDEX(Sensors_MANU!$G$2:$G$4692,MATCH($P580,Sensors_MANU!$A$2:$A$4692,0)),)</f>
        <v/>
      </c>
      <c r="O580" s="6" t="inlineStr">
        <is>
          <t>v16</t>
        </is>
      </c>
      <c r="P580" t="n">
        <v>4978730</v>
      </c>
    </row>
    <row r="581">
      <c r="A581" s="32">
        <f>IFERROR(_xlfn.IFNA(INDEX(Sensors_MANU!$E$2:$E$4692,MATCH($D581,Sensors_MANU!$B$2:$B$4692,0)),INDEX(Sensors_MANU!$E$2:$E$4692,MATCH($P581,Sensors_MANU!$A$2:$A$4692,0))),"")</f>
        <v/>
      </c>
      <c r="B581" s="24">
        <f>IFERROR(INDEX(Companies!$A$3:$A$101,MATCH(A581,Companies!$B$3:$B$101,0)),"")</f>
        <v/>
      </c>
      <c r="C581">
        <f>IFERROR(_xlfn.IFNA(INDEX(Sensors_MANU!$F$2:$F$4692,MATCH($D581,Sensors_MANU!$B$2:$B$4692,0)),INDEX(Sensors_MANU!$F$2:$F$4692,MATCH($P581,Sensors_MANU!$A$2:$A$4692,0))),"")</f>
        <v/>
      </c>
      <c r="D581" t="inlineStr">
        <is>
          <t>F9C82D0A84D3</t>
        </is>
      </c>
      <c r="E581">
        <f>LEFT(D581,2)&amp;":"&amp;MID(D581,3,2)&amp;":"&amp;MID(D581,5,2)&amp;":"&amp;MID(D581,7,2)&amp;":"&amp;MID(D581,9,2)&amp;":"&amp;RIGHT(D581,2)</f>
        <v/>
      </c>
      <c r="F581" s="29" t="n">
        <v>44910</v>
      </c>
      <c r="G581" s="29" t="inlineStr">
        <is>
          <t>Viezo</t>
        </is>
      </c>
      <c r="H581" t="inlineStr">
        <is>
          <t>FCDA2B65655BA03F</t>
        </is>
      </c>
      <c r="I581">
        <f>IFERROR(_xlfn.IFNA(INDEX(Sensors_MANU!$C$2:$C$4692,MATCH($D581,Sensors_MANU!$B$2:$B$4692,0)),INDEX(Sensors_MANU!$C$2:$C$4692,MATCH($P581,Sensors_MANU!$A$2:$A$4692,0))),"")</f>
        <v/>
      </c>
      <c r="J581">
        <f>IFERROR(_xlfn.IFNA(INDEX(Sensors_MANU!$D$2:$D$4692,MATCH($D581,Sensors_MANU!$B$2:$B$4692,0)),INDEX(Sensors_MANU!$D$2:$D$4692,MATCH($P581,Sensors_MANU!$A$2:$A$4692,0))),"")</f>
        <v/>
      </c>
      <c r="K581" s="27" t="inlineStr">
        <is>
          <t>31833916501-7</t>
        </is>
      </c>
      <c r="L581" s="27" t="inlineStr">
        <is>
          <t>1L</t>
        </is>
      </c>
      <c r="M581" s="27" t="n"/>
      <c r="N581" s="99">
        <f>IFERROR(INDEX(Sensors_MANU!$G$2:$G$4692,MATCH($P581,Sensors_MANU!$A$2:$A$4692,0)),)</f>
        <v/>
      </c>
      <c r="O581" s="6" t="inlineStr">
        <is>
          <t>v16</t>
        </is>
      </c>
      <c r="P581" t="n">
        <v>4978843</v>
      </c>
    </row>
    <row r="582">
      <c r="A582" s="32">
        <f>IFERROR(_xlfn.IFNA(INDEX(Sensors_MANU!$E$2:$E$4692,MATCH($D582,Sensors_MANU!$B$2:$B$4692,0)),INDEX(Sensors_MANU!$E$2:$E$4692,MATCH($P582,Sensors_MANU!$A$2:$A$4692,0))),"")</f>
        <v/>
      </c>
      <c r="B582" s="24" t="inlineStr">
        <is>
          <t>64818ba10166b80f8d06f5fa</t>
        </is>
      </c>
      <c r="C582">
        <f>IFERROR(_xlfn.IFNA(INDEX(Sensors_MANU!$F$2:$F$4692,MATCH($D582,Sensors_MANU!$B$2:$B$4692,0)),INDEX(Sensors_MANU!$F$2:$F$4692,MATCH($P582,Sensors_MANU!$A$2:$A$4692,0))),"")</f>
        <v/>
      </c>
      <c r="D582" t="inlineStr">
        <is>
          <t>EA9081526027</t>
        </is>
      </c>
      <c r="E582" s="24">
        <f>LEFT(D582,2)&amp;":"&amp;MID(D582,3,2)&amp;":"&amp;MID(D582,5,2)&amp;":"&amp;MID(D582,7,2)&amp;":"&amp;MID(D582,9,2)&amp;":"&amp;RIGHT(D582,2)</f>
        <v/>
      </c>
      <c r="F582" s="29" t="n">
        <v>45090</v>
      </c>
      <c r="G582" s="29" t="inlineStr">
        <is>
          <t>VIEZO</t>
        </is>
      </c>
      <c r="H582" t="inlineStr">
        <is>
          <t>390B487C60AD7D31</t>
        </is>
      </c>
      <c r="I582">
        <f>IFERROR(_xlfn.IFNA(INDEX(Sensors_MANU!$C$2:$C$4692,MATCH($D582,Sensors_MANU!$B$2:$B$4692,0)),INDEX(Sensors_MANU!$C$2:$C$4692,MATCH($P582,Sensors_MANU!$A$2:$A$4692,0))),"")</f>
        <v/>
      </c>
      <c r="J582">
        <f>IFERROR(_xlfn.IFNA(INDEX(Sensors_MANU!$D$2:$D$4692,MATCH($D582,Sensors_MANU!$B$2:$B$4692,0)),INDEX(Sensors_MANU!$D$2:$D$4692,MATCH($P582,Sensors_MANU!$A$2:$A$4692,0))),"")</f>
        <v/>
      </c>
      <c r="K582" s="27" t="inlineStr">
        <is>
          <t>33802742481-5</t>
        </is>
      </c>
      <c r="L582" s="27" t="inlineStr">
        <is>
          <t>4L</t>
        </is>
      </c>
      <c r="O582" s="6" t="inlineStr">
        <is>
          <t>V25</t>
        </is>
      </c>
    </row>
    <row r="583">
      <c r="A583" s="32">
        <f>IFERROR(_xlfn.IFNA(INDEX(Sensors_MANU!$E$2:$E$4692,MATCH($D583,Sensors_MANU!$B$2:$B$4692,0)),INDEX(Sensors_MANU!$E$2:$E$4692,MATCH($P583,Sensors_MANU!$A$2:$A$4692,0))),"")</f>
        <v/>
      </c>
      <c r="B583" s="24" t="inlineStr">
        <is>
          <t>64818ba10166b80f8d06f5fa</t>
        </is>
      </c>
      <c r="C583">
        <f>IFERROR(_xlfn.IFNA(INDEX(Sensors_MANU!$F$2:$F$4692,MATCH($D583,Sensors_MANU!$B$2:$B$4692,0)),INDEX(Sensors_MANU!$F$2:$F$4692,MATCH($P583,Sensors_MANU!$A$2:$A$4692,0))),"")</f>
        <v/>
      </c>
      <c r="D583" t="inlineStr">
        <is>
          <t>FE3307BEAB3E</t>
        </is>
      </c>
      <c r="E583" s="24">
        <f>LEFT(D583,2)&amp;":"&amp;MID(D583,3,2)&amp;":"&amp;MID(D583,5,2)&amp;":"&amp;MID(D583,7,2)&amp;":"&amp;MID(D583,9,2)&amp;":"&amp;RIGHT(D583,2)</f>
        <v/>
      </c>
      <c r="F583" s="29" t="n">
        <v>45090</v>
      </c>
      <c r="G583" s="29" t="inlineStr">
        <is>
          <t>VIEZO</t>
        </is>
      </c>
      <c r="H583" t="inlineStr">
        <is>
          <t>4720ADF5ABBBB5C3</t>
        </is>
      </c>
      <c r="I583">
        <f>IFERROR(_xlfn.IFNA(INDEX(Sensors_MANU!$C$2:$C$4692,MATCH($D583,Sensors_MANU!$B$2:$B$4692,0)),INDEX(Sensors_MANU!$C$2:$C$4692,MATCH($P583,Sensors_MANU!$A$2:$A$4692,0))),"")</f>
        <v/>
      </c>
      <c r="J583">
        <f>IFERROR(_xlfn.IFNA(INDEX(Sensors_MANU!$D$2:$D$4692,MATCH($D583,Sensors_MANU!$B$2:$B$4692,0)),INDEX(Sensors_MANU!$D$2:$D$4692,MATCH($P583,Sensors_MANU!$A$2:$A$4692,0))),"")</f>
        <v/>
      </c>
      <c r="K583" s="27" t="inlineStr">
        <is>
          <t>33802742207-4</t>
        </is>
      </c>
      <c r="L583" s="27" t="inlineStr">
        <is>
          <t>1R</t>
        </is>
      </c>
      <c r="O583" s="6" t="inlineStr">
        <is>
          <t>V25</t>
        </is>
      </c>
    </row>
    <row r="584">
      <c r="A584" s="32">
        <f>IFERROR(_xlfn.IFNA(INDEX(Sensors_MANU!$E$2:$E$4692,MATCH($D584,Sensors_MANU!$B$2:$B$4692,0)),INDEX(Sensors_MANU!$E$2:$E$4692,MATCH($P584,Sensors_MANU!$A$2:$A$4692,0))),"")</f>
        <v/>
      </c>
      <c r="B584" s="24">
        <f>IFERROR(INDEX(Companies!$A$3:$A$101,MATCH(A584,Companies!$B$3:$B$101,0)),"")</f>
        <v/>
      </c>
      <c r="C584">
        <f>IFERROR(_xlfn.IFNA(INDEX(Sensors_MANU!$F$2:$F$4692,MATCH($D584,Sensors_MANU!$B$2:$B$4692,0)),INDEX(Sensors_MANU!$F$2:$F$4692,MATCH($P584,Sensors_MANU!$A$2:$A$4692,0))),"")</f>
        <v/>
      </c>
      <c r="D584" t="inlineStr">
        <is>
          <t>D41424DB791B</t>
        </is>
      </c>
      <c r="E584" s="24">
        <f>LEFT(D584,2)&amp;":"&amp;MID(D584,3,2)&amp;":"&amp;MID(D584,5,2)&amp;":"&amp;MID(D584,7,2)&amp;":"&amp;MID(D584,9,2)&amp;":"&amp;RIGHT(D584,2)</f>
        <v/>
      </c>
      <c r="F584" s="29" t="n">
        <v>44910</v>
      </c>
      <c r="G584" s="29" t="inlineStr">
        <is>
          <t>Viezo</t>
        </is>
      </c>
      <c r="H584" t="inlineStr">
        <is>
          <t>02B62074E892BECF</t>
        </is>
      </c>
      <c r="I584">
        <f>IFERROR(_xlfn.IFNA(INDEX(Sensors_MANU!$C$2:$C$4692,MATCH($D584,Sensors_MANU!$B$2:$B$4692,0)),INDEX(Sensors_MANU!$C$2:$C$4692,MATCH($P584,Sensors_MANU!$A$2:$A$4692,0))),"")</f>
        <v/>
      </c>
      <c r="J584">
        <f>IFERROR(_xlfn.IFNA(INDEX(Sensors_MANU!$D$2:$D$4692,MATCH($D584,Sensors_MANU!$B$2:$B$4692,0)),INDEX(Sensors_MANU!$D$2:$D$4692,MATCH($P584,Sensors_MANU!$A$2:$A$4692,0))),"")</f>
        <v/>
      </c>
      <c r="K584" s="27" t="inlineStr">
        <is>
          <t>31834589939-3</t>
        </is>
      </c>
      <c r="L584" s="27" t="inlineStr">
        <is>
          <t>2R</t>
        </is>
      </c>
      <c r="O584" s="6" t="inlineStr">
        <is>
          <t>V25</t>
        </is>
      </c>
    </row>
    <row r="585">
      <c r="A585" s="32">
        <f>IFERROR(_xlfn.IFNA(INDEX(Sensors_MANU!$E$2:$E$4692,MATCH($D585,Sensors_MANU!$B$2:$B$4692,0)),INDEX(Sensors_MANU!$E$2:$E$4692,MATCH($P585,Sensors_MANU!$A$2:$A$4692,0))),"")</f>
        <v/>
      </c>
      <c r="B585" s="24">
        <f>IFERROR(INDEX(Companies!$A$3:$A$101,MATCH(A585,Companies!$B$3:$B$101,0)),"")</f>
        <v/>
      </c>
      <c r="C585">
        <f>IFERROR(_xlfn.IFNA(INDEX(Sensors_MANU!$F$2:$F$4692,MATCH($D585,Sensors_MANU!$B$2:$B$4692,0)),INDEX(Sensors_MANU!$F$2:$F$4692,MATCH($P585,Sensors_MANU!$A$2:$A$4692,0))),"")</f>
        <v/>
      </c>
      <c r="D585" t="inlineStr">
        <is>
          <t>E741BBC78770</t>
        </is>
      </c>
      <c r="E585">
        <f>LEFT(D585,2)&amp;":"&amp;MID(D585,3,2)&amp;":"&amp;MID(D585,5,2)&amp;":"&amp;MID(D585,7,2)&amp;":"&amp;MID(D585,9,2)&amp;":"&amp;RIGHT(D585,2)</f>
        <v/>
      </c>
      <c r="F585" s="29" t="n">
        <v>44910</v>
      </c>
      <c r="G585" s="29" t="inlineStr">
        <is>
          <t>Viezo</t>
        </is>
      </c>
      <c r="H585" t="inlineStr">
        <is>
          <t>E7CD5C552BE46AC6</t>
        </is>
      </c>
      <c r="I585">
        <f>IFERROR(_xlfn.IFNA(INDEX(Sensors_MANU!$C$2:$C$4692,MATCH($D585,Sensors_MANU!$B$2:$B$4692,0)),INDEX(Sensors_MANU!$C$2:$C$4692,MATCH($P585,Sensors_MANU!$A$2:$A$4692,0))),"")</f>
        <v/>
      </c>
      <c r="J585">
        <f>IFERROR(_xlfn.IFNA(INDEX(Sensors_MANU!$D$2:$D$4692,MATCH($D585,Sensors_MANU!$B$2:$B$4692,0)),INDEX(Sensors_MANU!$D$2:$D$4692,MATCH($P585,Sensors_MANU!$A$2:$A$4692,0))),"")</f>
        <v/>
      </c>
      <c r="K585" s="27" t="inlineStr">
        <is>
          <t>31833919338-1</t>
        </is>
      </c>
      <c r="L585" s="27" t="inlineStr">
        <is>
          <t>4L</t>
        </is>
      </c>
      <c r="M585" s="27" t="n"/>
      <c r="N585" s="99">
        <f>IFERROR(INDEX(Sensors_MANU!$G$2:$G$4692,MATCH($P585,Sensors_MANU!$A$2:$A$4692,0)),)</f>
        <v/>
      </c>
      <c r="O585" s="6" t="inlineStr">
        <is>
          <t>v16</t>
        </is>
      </c>
      <c r="P585" t="n">
        <v>4978847</v>
      </c>
    </row>
    <row r="586">
      <c r="B586" s="24">
        <f>IFERROR(INDEX(Companies!$A$3:$A$101,MATCH(A586,Companies!$B$3:$B$101,0)),"")</f>
        <v/>
      </c>
      <c r="C586" t="inlineStr">
        <is>
          <t>cargo</t>
        </is>
      </c>
      <c r="D586" t="inlineStr">
        <is>
          <t>E110357BCB86</t>
        </is>
      </c>
      <c r="E586">
        <f>LEFT(D586,2)&amp;":"&amp;MID(D586,3,2)&amp;":"&amp;MID(D586,5,2)&amp;":"&amp;MID(D586,7,2)&amp;":"&amp;MID(D586,9,2)&amp;":"&amp;RIGHT(D586,2)</f>
        <v/>
      </c>
      <c r="H586" t="inlineStr">
        <is>
          <t>0A7F5FCA87F9E299</t>
        </is>
      </c>
      <c r="I586">
        <f>IFERROR(_xlfn.IFNA(INDEX(Sensors_MANU!$C$2:$C$4692,MATCH($D586,Sensors_MANU!$B$2:$B$4692,0)),INDEX(Sensors_MANU!$C$2:$C$4692,MATCH($P586,Sensors_MANU!$A$2:$A$4692,0))),"")</f>
        <v/>
      </c>
      <c r="J586">
        <f>IFERROR(_xlfn.IFNA(INDEX(Sensors_MANU!$D$2:$D$4692,MATCH($D586,Sensors_MANU!$B$2:$B$4692,0)),INDEX(Sensors_MANU!$D$2:$D$4692,MATCH($P586,Sensors_MANU!$A$2:$A$4692,0))),"")</f>
        <v/>
      </c>
      <c r="M586" s="27" t="n"/>
      <c r="O586" s="6" t="inlineStr">
        <is>
          <t>v17</t>
        </is>
      </c>
      <c r="P586" t="n">
        <v>4978904</v>
      </c>
    </row>
    <row r="587">
      <c r="A587" s="32">
        <f>IFERROR(_xlfn.IFNA(INDEX(Sensors_MANU!$E$2:$E$4692,MATCH($D587,Sensors_MANU!$B$2:$B$4692,0)),INDEX(Sensors_MANU!$E$2:$E$4692,MATCH($P587,Sensors_MANU!$A$2:$A$4692,0))),"")</f>
        <v/>
      </c>
      <c r="B587" s="24">
        <f>IFERROR(INDEX(Companies!$A$3:$A$101,MATCH(A587,Companies!$B$3:$B$101,0)),"")</f>
        <v/>
      </c>
      <c r="C587">
        <f>IFERROR(_xlfn.IFNA(INDEX(Sensors_MANU!$F$2:$F$4692,MATCH($D587,Sensors_MANU!$B$2:$B$4692,0)),INDEX(Sensors_MANU!$F$2:$F$4692,MATCH($P587,Sensors_MANU!$A$2:$A$4692,0))),"")</f>
        <v/>
      </c>
      <c r="D587" t="inlineStr">
        <is>
          <t>D026B3A87BA7</t>
        </is>
      </c>
      <c r="E587">
        <f>LEFT(D587,2)&amp;":"&amp;MID(D587,3,2)&amp;":"&amp;MID(D587,5,2)&amp;":"&amp;MID(D587,7,2)&amp;":"&amp;MID(D587,9,2)&amp;":"&amp;RIGHT(D587,2)</f>
        <v/>
      </c>
      <c r="F587" s="29" t="n">
        <v>44910</v>
      </c>
      <c r="G587" s="29" t="inlineStr">
        <is>
          <t>Viezo</t>
        </is>
      </c>
      <c r="H587" t="inlineStr">
        <is>
          <t>5AB135BF5A71CB8C</t>
        </is>
      </c>
      <c r="I587">
        <f>IFERROR(_xlfn.IFNA(INDEX(Sensors_MANU!$C$2:$C$4692,MATCH($D587,Sensors_MANU!$B$2:$B$4692,0)),INDEX(Sensors_MANU!$C$2:$C$4692,MATCH($P587,Sensors_MANU!$A$2:$A$4692,0))),"")</f>
        <v/>
      </c>
      <c r="J587">
        <f>IFERROR(_xlfn.IFNA(INDEX(Sensors_MANU!$D$2:$D$4692,MATCH($D587,Sensors_MANU!$B$2:$B$4692,0)),INDEX(Sensors_MANU!$D$2:$D$4692,MATCH($P587,Sensors_MANU!$A$2:$A$4692,0))),"")</f>
        <v/>
      </c>
      <c r="K587" s="27" t="inlineStr">
        <is>
          <t>31833918084-2</t>
        </is>
      </c>
      <c r="L587" s="27" t="inlineStr">
        <is>
          <t>3L</t>
        </is>
      </c>
      <c r="N587" s="99">
        <f>IFERROR(INDEX(Sensors_MANU!$G$2:$G$4692,MATCH($P587,Sensors_MANU!$A$2:$A$4692,0)),)</f>
        <v/>
      </c>
      <c r="O587" s="6" t="inlineStr">
        <is>
          <t>v17</t>
        </is>
      </c>
      <c r="P587" t="n">
        <v>4978829</v>
      </c>
    </row>
    <row r="588">
      <c r="A588" s="32">
        <f>IFERROR(_xlfn.IFNA(INDEX(Sensors_MANU!$E$2:$E$4692,MATCH($D588,Sensors_MANU!$B$2:$B$4692,0)),INDEX(Sensors_MANU!$E$2:$E$4692,MATCH($P588,Sensors_MANU!$A$2:$A$4692,0))),"")</f>
        <v/>
      </c>
      <c r="B588" s="24">
        <f>IFERROR(INDEX(Companies!$A$3:$A$101,MATCH(A588,Companies!$B$3:$B$101,0)),"")</f>
        <v/>
      </c>
      <c r="D588" t="inlineStr">
        <is>
          <t>D40276AD32E5</t>
        </is>
      </c>
      <c r="E588">
        <f>LEFT(D588,2)&amp;":"&amp;MID(D588,3,2)&amp;":"&amp;MID(D588,5,2)&amp;":"&amp;MID(D588,7,2)&amp;":"&amp;MID(D588,9,2)&amp;":"&amp;RIGHT(D588,2)</f>
        <v/>
      </c>
      <c r="H588" t="inlineStr">
        <is>
          <t>93EF8B53D004DEAB</t>
        </is>
      </c>
      <c r="I588">
        <f>IFERROR(_xlfn.IFNA(INDEX(Sensors_MANU!$C$2:$C$4692,MATCH($D588,Sensors_MANU!$B$2:$B$4692,0)),INDEX(Sensors_MANU!$C$2:$C$4692,MATCH($P588,Sensors_MANU!$A$2:$A$4692,0))),"")</f>
        <v/>
      </c>
      <c r="J588">
        <f>IFERROR(_xlfn.IFNA(INDEX(Sensors_MANU!$D$2:$D$4692,MATCH($D588,Sensors_MANU!$B$2:$B$4692,0)),INDEX(Sensors_MANU!$D$2:$D$4692,MATCH($P588,Sensors_MANU!$A$2:$A$4692,0))),"")</f>
        <v/>
      </c>
      <c r="K588" s="27" t="inlineStr">
        <is>
          <t>BP08</t>
        </is>
      </c>
      <c r="L588" s="27" t="inlineStr">
        <is>
          <t>3R</t>
        </is>
      </c>
    </row>
    <row r="589">
      <c r="B589" s="24">
        <f>IFERROR(INDEX(Companies!$A$3:$A$101,MATCH(A589,Companies!$B$3:$B$101,0)),"")</f>
        <v/>
      </c>
      <c r="C589">
        <f>IFERROR(_xlfn.IFNA(INDEX(Sensors_MANU!$F$2:$F$4692,MATCH($D589,Sensors_MANU!$B$2:$B$4692,0)),INDEX(Sensors_MANU!$F$2:$F$4692,MATCH($P589,Sensors_MANU!$A$2:$A$4692,0))),"")</f>
        <v/>
      </c>
      <c r="D589" t="inlineStr">
        <is>
          <t>EDFAA1B00AC3</t>
        </is>
      </c>
      <c r="E589" s="24">
        <f>LEFT(D589,2)&amp;":"&amp;MID(D589,3,2)&amp;":"&amp;MID(D589,5,2)&amp;":"&amp;MID(D589,7,2)&amp;":"&amp;MID(D589,9,2)&amp;":"&amp;RIGHT(D589,2)</f>
        <v/>
      </c>
      <c r="H589" t="inlineStr">
        <is>
          <t>02B219DDB0B90B33</t>
        </is>
      </c>
      <c r="I589">
        <f>IFERROR(_xlfn.IFNA(INDEX(Sensors_MANU!$C$2:$C$4692,MATCH($D589,Sensors_MANU!$B$2:$B$4692,0)),INDEX(Sensors_MANU!$C$2:$C$4692,MATCH($P589,Sensors_MANU!$A$2:$A$4692,0))),"")</f>
        <v/>
      </c>
      <c r="J589">
        <f>IFERROR(_xlfn.IFNA(INDEX(Sensors_MANU!$D$2:$D$4692,MATCH($D589,Sensors_MANU!$B$2:$B$4692,0)),INDEX(Sensors_MANU!$D$2:$D$4692,MATCH($P589,Sensors_MANU!$A$2:$A$4692,0))),"")</f>
        <v/>
      </c>
      <c r="O589" s="6" t="inlineStr">
        <is>
          <t>V25</t>
        </is>
      </c>
    </row>
    <row r="590">
      <c r="A590" s="32" t="inlineStr">
        <is>
          <t>CARGONET</t>
        </is>
      </c>
      <c r="B590" s="24">
        <f>IFERROR(INDEX(Companies!$A$3:$A$101,MATCH(A590,Companies!$B$3:$B$101,0)),"")</f>
        <v/>
      </c>
      <c r="C590">
        <f>IFERROR(_xlfn.IFNA(INDEX(Sensors_MANU!$F$2:$F$4692,MATCH($D590,Sensors_MANU!$B$2:$B$4692,0)),INDEX(Sensors_MANU!$F$2:$F$4692,MATCH($P590,Sensors_MANU!$A$2:$A$4692,0))),"")</f>
        <v/>
      </c>
      <c r="D590" t="inlineStr">
        <is>
          <t>E686C4C34056</t>
        </is>
      </c>
      <c r="E590">
        <f>LEFT(D590,2)&amp;":"&amp;MID(D590,3,2)&amp;":"&amp;MID(D590,5,2)&amp;":"&amp;MID(D590,7,2)&amp;":"&amp;MID(D590,9,2)&amp;":"&amp;RIGHT(D590,2)</f>
        <v/>
      </c>
      <c r="H590" t="inlineStr">
        <is>
          <t>494805F5D96A5D2C</t>
        </is>
      </c>
      <c r="I590">
        <f>IFERROR(_xlfn.IFNA(INDEX(Sensors_MANU!$C$2:$C$4692,MATCH($D590,Sensors_MANU!$B$2:$B$4692,0)),INDEX(Sensors_MANU!$C$2:$C$4692,MATCH($P590,Sensors_MANU!$A$2:$A$4692,0))),"")</f>
        <v/>
      </c>
      <c r="J590">
        <f>IFERROR(_xlfn.IFNA(INDEX(Sensors_MANU!$D$2:$D$4692,MATCH($D590,Sensors_MANU!$B$2:$B$4692,0)),INDEX(Sensors_MANU!$D$2:$D$4692,MATCH($P590,Sensors_MANU!$A$2:$A$4692,0))),"")</f>
        <v/>
      </c>
      <c r="K590" s="27" t="inlineStr">
        <is>
          <t>33764955324-1</t>
        </is>
      </c>
      <c r="L590" s="27" t="inlineStr">
        <is>
          <t>2R</t>
        </is>
      </c>
      <c r="M590" s="27" t="n"/>
      <c r="N590" s="99">
        <f>IFERROR(INDEX(Sensors_MANU!$G$2:$G$4692,MATCH($P590,Sensors_MANU!$A$2:$A$4692,0)),)</f>
        <v/>
      </c>
      <c r="O590" s="6" t="inlineStr">
        <is>
          <t>v16</t>
        </is>
      </c>
      <c r="P590" t="n">
        <v>4978787</v>
      </c>
    </row>
    <row r="591">
      <c r="B591" s="24">
        <f>IFERROR(INDEX(Companies!$A$3:$A$101,MATCH(A591,Companies!$B$3:$B$101,0)),"")</f>
        <v/>
      </c>
      <c r="C591">
        <f>IFERROR(_xlfn.IFNA(INDEX(Sensors_MANU!$F$2:$F$4692,MATCH($D591,Sensors_MANU!$B$2:$B$4692,0)),INDEX(Sensors_MANU!$F$2:$F$4692,MATCH($P591,Sensors_MANU!$A$2:$A$4692,0))),"")</f>
        <v/>
      </c>
      <c r="D591" t="inlineStr">
        <is>
          <t>EDF1C0EDE4C0</t>
        </is>
      </c>
      <c r="E591">
        <f>LEFT(D591,2)&amp;":"&amp;MID(D591,3,2)&amp;":"&amp;MID(D591,5,2)&amp;":"&amp;MID(D591,7,2)&amp;":"&amp;MID(D591,9,2)&amp;":"&amp;RIGHT(D591,2)</f>
        <v/>
      </c>
      <c r="H591" t="inlineStr">
        <is>
          <t>911F60CBE66CB95B</t>
        </is>
      </c>
      <c r="I591">
        <f>IFERROR(_xlfn.IFNA(INDEX(Sensors_MANU!$C$2:$C$4692,MATCH($D591,Sensors_MANU!$B$2:$B$4692,0)),INDEX(Sensors_MANU!$C$2:$C$4692,MATCH($P591,Sensors_MANU!$A$2:$A$4692,0))),"")</f>
        <v/>
      </c>
      <c r="J591">
        <f>IFERROR(_xlfn.IFNA(INDEX(Sensors_MANU!$D$2:$D$4692,MATCH($D591,Sensors_MANU!$B$2:$B$4692,0)),INDEX(Sensors_MANU!$D$2:$D$4692,MATCH($P591,Sensors_MANU!$A$2:$A$4692,0))),"")</f>
        <v/>
      </c>
      <c r="M591" s="27" t="n"/>
      <c r="O591" s="6" t="inlineStr">
        <is>
          <t>v16</t>
        </is>
      </c>
      <c r="P591" t="n">
        <v>4978869</v>
      </c>
    </row>
    <row r="592">
      <c r="A592" s="32">
        <f>IFERROR(_xlfn.IFNA(INDEX(Sensors_MANU!$E$2:$E$4692,MATCH($D592,Sensors_MANU!$B$2:$B$4692,0)),INDEX(Sensors_MANU!$E$2:$E$4692,MATCH($P592,Sensors_MANU!$A$2:$A$4692,0))),"")</f>
        <v/>
      </c>
      <c r="B592" s="24">
        <f>IFERROR(INDEX(Companies!$A$3:$A$101,MATCH(A592,Companies!$B$3:$B$101,0)),"")</f>
        <v/>
      </c>
      <c r="C592">
        <f>IFERROR(_xlfn.IFNA(INDEX(Sensors_MANU!$F$2:$F$4692,MATCH($D592,Sensors_MANU!$B$2:$B$4692,0)),INDEX(Sensors_MANU!$F$2:$F$4692,MATCH($P592,Sensors_MANU!$A$2:$A$4692,0))),"")</f>
        <v/>
      </c>
      <c r="D592" t="inlineStr">
        <is>
          <t>CC2B188F26D8</t>
        </is>
      </c>
      <c r="E592">
        <f>LEFT(D592,2)&amp;":"&amp;MID(D592,3,2)&amp;":"&amp;MID(D592,5,2)&amp;":"&amp;MID(D592,7,2)&amp;":"&amp;MID(D592,9,2)&amp;":"&amp;RIGHT(D592,2)</f>
        <v/>
      </c>
      <c r="F592" s="29" t="n">
        <v>44910</v>
      </c>
      <c r="G592" s="29" t="inlineStr">
        <is>
          <t>Viezo</t>
        </is>
      </c>
      <c r="H592" t="inlineStr">
        <is>
          <t>8D235C43BB1FB71D</t>
        </is>
      </c>
      <c r="I592">
        <f>IFERROR(_xlfn.IFNA(INDEX(Sensors_MANU!$C$2:$C$4692,MATCH($D592,Sensors_MANU!$B$2:$B$4692,0)),INDEX(Sensors_MANU!$C$2:$C$4692,MATCH($P592,Sensors_MANU!$A$2:$A$4692,0))),"")</f>
        <v/>
      </c>
      <c r="J592">
        <f>IFERROR(_xlfn.IFNA(INDEX(Sensors_MANU!$D$2:$D$4692,MATCH($D592,Sensors_MANU!$B$2:$B$4692,0)),INDEX(Sensors_MANU!$D$2:$D$4692,MATCH($P592,Sensors_MANU!$A$2:$A$4692,0))),"")</f>
        <v/>
      </c>
      <c r="K592" s="27" t="inlineStr">
        <is>
          <t>31833918084-2</t>
        </is>
      </c>
      <c r="L592" s="27" t="inlineStr">
        <is>
          <t>1R</t>
        </is>
      </c>
      <c r="M592" s="27" t="n"/>
      <c r="N592" s="99">
        <f>IFERROR(INDEX(Sensors_MANU!$G$2:$G$4692,MATCH($P592,Sensors_MANU!$A$2:$A$4692,0)),)</f>
        <v/>
      </c>
      <c r="O592" s="6" t="inlineStr">
        <is>
          <t>v16</t>
        </is>
      </c>
      <c r="P592" t="n">
        <v>4978716</v>
      </c>
    </row>
    <row r="593">
      <c r="A593" s="32">
        <f>IFERROR(_xlfn.IFNA(INDEX(Sensors_MANU!$E$2:$E$4692,MATCH($D593,Sensors_MANU!$B$2:$B$4692,0)),INDEX(Sensors_MANU!$E$2:$E$4692,MATCH($P593,Sensors_MANU!$A$2:$A$4692,0))),"")</f>
        <v/>
      </c>
      <c r="B593" s="24">
        <f>IFERROR(INDEX(Companies!$A$3:$A$101,MATCH(A593,Companies!$B$3:$B$101,0)),"")</f>
        <v/>
      </c>
      <c r="C593">
        <f>IFERROR(_xlfn.IFNA(INDEX(Sensors_MANU!$F$2:$F$4692,MATCH($D593,Sensors_MANU!$B$2:$B$4692,0)),INDEX(Sensors_MANU!$F$2:$F$4692,MATCH($P593,Sensors_MANU!$A$2:$A$4692,0))),"")</f>
        <v/>
      </c>
      <c r="D593" t="inlineStr">
        <is>
          <t>FCBE5A8C2CE9</t>
        </is>
      </c>
      <c r="E593">
        <f>LEFT(D593,2)&amp;":"&amp;MID(D593,3,2)&amp;":"&amp;MID(D593,5,2)&amp;":"&amp;MID(D593,7,2)&amp;":"&amp;MID(D593,9,2)&amp;":"&amp;RIGHT(D593,2)</f>
        <v/>
      </c>
      <c r="F593" s="29" t="n">
        <v>44910</v>
      </c>
      <c r="G593" s="29" t="inlineStr">
        <is>
          <t>Viezo</t>
        </is>
      </c>
      <c r="H593" t="inlineStr">
        <is>
          <t>31FC2BCF723577FC</t>
        </is>
      </c>
      <c r="I593">
        <f>IFERROR(_xlfn.IFNA(INDEX(Sensors_MANU!$C$2:$C$4692,MATCH($D593,Sensors_MANU!$B$2:$B$4692,0)),INDEX(Sensors_MANU!$C$2:$C$4692,MATCH($P593,Sensors_MANU!$A$2:$A$4692,0))),"")</f>
        <v/>
      </c>
      <c r="J593">
        <f>IFERROR(_xlfn.IFNA(INDEX(Sensors_MANU!$D$2:$D$4692,MATCH($D593,Sensors_MANU!$B$2:$B$4692,0)),INDEX(Sensors_MANU!$D$2:$D$4692,MATCH($P593,Sensors_MANU!$A$2:$A$4692,0))),"")</f>
        <v/>
      </c>
      <c r="K593" s="27" t="inlineStr">
        <is>
          <t>31833936025-3</t>
        </is>
      </c>
      <c r="L593" s="27" t="inlineStr">
        <is>
          <t>4R</t>
        </is>
      </c>
      <c r="M593" s="27" t="n"/>
      <c r="N593" s="99">
        <f>IFERROR(INDEX(Sensors_MANU!$G$2:$G$4692,MATCH($P593,Sensors_MANU!$A$2:$A$4692,0)),)</f>
        <v/>
      </c>
      <c r="O593" s="6" t="inlineStr">
        <is>
          <t>v16</t>
        </is>
      </c>
      <c r="P593" t="n">
        <v>4978793</v>
      </c>
    </row>
    <row r="594">
      <c r="A594" s="32">
        <f>IFERROR(_xlfn.IFNA(INDEX(Sensors_MANU!$E$2:$E$4692,MATCH($D594,Sensors_MANU!$B$2:$B$4692,0)),INDEX(Sensors_MANU!$E$2:$E$4692,MATCH($P594,Sensors_MANU!$A$2:$A$4692,0))),"")</f>
        <v/>
      </c>
      <c r="B594" s="24">
        <f>IFERROR(INDEX(Companies!$A$3:$A$101,MATCH(A594,Companies!$B$3:$B$101,0)),"")</f>
        <v/>
      </c>
      <c r="D594" t="inlineStr">
        <is>
          <t>F0B8BDBA570A</t>
        </is>
      </c>
      <c r="E594">
        <f>LEFT(D594,2)&amp;":"&amp;MID(D594,3,2)&amp;":"&amp;MID(D594,5,2)&amp;":"&amp;MID(D594,7,2)&amp;":"&amp;MID(D594,9,2)&amp;":"&amp;RIGHT(D594,2)</f>
        <v/>
      </c>
      <c r="F594" s="29" t="n">
        <v>44910</v>
      </c>
      <c r="G594" s="29" t="inlineStr">
        <is>
          <t>Viezo</t>
        </is>
      </c>
      <c r="H594" t="inlineStr">
        <is>
          <t>E30506372A6EA896</t>
        </is>
      </c>
      <c r="I594">
        <f>IFERROR(_xlfn.IFNA(INDEX(Sensors_MANU!$C$2:$C$4692,MATCH($D594,Sensors_MANU!$B$2:$B$4692,0)),INDEX(Sensors_MANU!$C$2:$C$4692,MATCH($P594,Sensors_MANU!$A$2:$A$4692,0))),"")</f>
        <v/>
      </c>
      <c r="J594">
        <f>IFERROR(_xlfn.IFNA(INDEX(Sensors_MANU!$D$2:$D$4692,MATCH($D594,Sensors_MANU!$B$2:$B$4692,0)),INDEX(Sensors_MANU!$D$2:$D$4692,MATCH($P594,Sensors_MANU!$A$2:$A$4692,0))),"")</f>
        <v/>
      </c>
      <c r="K594" s="27" t="inlineStr">
        <is>
          <t>33854956699-4</t>
        </is>
      </c>
      <c r="L594" s="27" t="inlineStr">
        <is>
          <t>9a</t>
        </is>
      </c>
      <c r="M594" s="61" t="inlineStr">
        <is>
          <t>88220138</t>
        </is>
      </c>
    </row>
    <row r="595">
      <c r="A595" s="32">
        <f>IFERROR(_xlfn.IFNA(INDEX(Sensors_MANU!$E$2:$E$4692,MATCH($D595,Sensors_MANU!$B$2:$B$4692,0)),INDEX(Sensors_MANU!$E$2:$E$4692,MATCH($P595,Sensors_MANU!$A$2:$A$4692,0))),"")</f>
        <v/>
      </c>
      <c r="B595" s="24">
        <f>IFERROR(INDEX(Companies!$A$3:$A$101,MATCH(A595,Companies!$B$3:$B$101,0)),"")</f>
        <v/>
      </c>
      <c r="C595">
        <f>IFERROR(_xlfn.IFNA(INDEX(Sensors_MANU!$F$2:$F$4692,MATCH($D595,Sensors_MANU!$B$2:$B$4692,0)),INDEX(Sensors_MANU!$F$2:$F$4692,MATCH($P595,Sensors_MANU!$A$2:$A$4692,0))),"")</f>
        <v/>
      </c>
      <c r="D595" t="inlineStr">
        <is>
          <t>F9E66364936A</t>
        </is>
      </c>
      <c r="E595">
        <f>LEFT(D595,2)&amp;":"&amp;MID(D595,3,2)&amp;":"&amp;MID(D595,5,2)&amp;":"&amp;MID(D595,7,2)&amp;":"&amp;MID(D595,9,2)&amp;":"&amp;RIGHT(D595,2)</f>
        <v/>
      </c>
      <c r="H595" t="inlineStr">
        <is>
          <t>4CEEED26570137F0</t>
        </is>
      </c>
      <c r="I595">
        <f>IFERROR(_xlfn.IFNA(INDEX(Sensors_MANU!$C$2:$C$4692,MATCH($D595,Sensors_MANU!$B$2:$B$4692,0)),INDEX(Sensors_MANU!$C$2:$C$4692,MATCH($P595,Sensors_MANU!$A$2:$A$4692,0))),"")</f>
        <v/>
      </c>
      <c r="J595" s="64">
        <f>IFERROR(_xlfn.IFNA(INDEX(Sensors_MANU!$D$2:$D$4692,MATCH($D595,Sensors_MANU!$B$2:$B$4692,0)),INDEX(Sensors_MANU!$D$2:$D$4692,MATCH($P595,Sensors_MANU!$A$2:$A$4692,0))),"")</f>
        <v/>
      </c>
      <c r="K595" s="27" t="inlineStr">
        <is>
          <t>43714378393-8</t>
        </is>
      </c>
      <c r="L595" s="27" t="inlineStr">
        <is>
          <t>4L</t>
        </is>
      </c>
      <c r="M595" s="27" t="n"/>
      <c r="N595" s="99">
        <f>IFERROR(INDEX(Sensors_MANU!$G$2:$G$4692,MATCH($P595,Sensors_MANU!$A$2:$A$4692,0)),)</f>
        <v/>
      </c>
      <c r="O595" s="6" t="inlineStr">
        <is>
          <t>v16</t>
        </is>
      </c>
      <c r="P595" t="n">
        <v>4978450</v>
      </c>
    </row>
    <row r="596">
      <c r="A596" s="32">
        <f>IFERROR(_xlfn.IFNA(INDEX(Sensors_MANU!$E$2:$E$4692,MATCH($D596,Sensors_MANU!$B$2:$B$4692,0)),INDEX(Sensors_MANU!$E$2:$E$4692,MATCH($P596,Sensors_MANU!$A$2:$A$4692,0))),"")</f>
        <v/>
      </c>
      <c r="B596" s="24">
        <f>IFERROR(INDEX(Companies!$A$3:$A$101,MATCH(A596,Companies!$B$3:$B$101,0)),"")</f>
        <v/>
      </c>
      <c r="C596">
        <f>IFERROR(_xlfn.IFNA(INDEX(Sensors_MANU!$F$2:$F$4692,MATCH($D596,Sensors_MANU!$B$2:$B$4692,0)),INDEX(Sensors_MANU!$F$2:$F$4692,MATCH($P596,Sensors_MANU!$A$2:$A$4692,0))),"")</f>
        <v/>
      </c>
      <c r="D596" t="inlineStr">
        <is>
          <t>C5ECF0D85F71</t>
        </is>
      </c>
      <c r="E596">
        <f>LEFT(D596,2)&amp;":"&amp;MID(D596,3,2)&amp;":"&amp;MID(D596,5,2)&amp;":"&amp;MID(D596,7,2)&amp;":"&amp;MID(D596,9,2)&amp;":"&amp;RIGHT(D596,2)</f>
        <v/>
      </c>
      <c r="F596" s="29" t="n">
        <v>44910</v>
      </c>
      <c r="G596" s="29" t="inlineStr">
        <is>
          <t>Viezo</t>
        </is>
      </c>
      <c r="H596" t="inlineStr">
        <is>
          <t>C346326B5B9FD728</t>
        </is>
      </c>
      <c r="I596">
        <f>IFERROR(_xlfn.IFNA(INDEX(Sensors_MANU!$C$2:$C$4692,MATCH($D596,Sensors_MANU!$B$2:$B$4692,0)),INDEX(Sensors_MANU!$C$2:$C$4692,MATCH($P596,Sensors_MANU!$A$2:$A$4692,0))),"")</f>
        <v/>
      </c>
      <c r="J596">
        <f>IFERROR(_xlfn.IFNA(INDEX(Sensors_MANU!$D$2:$D$4692,MATCH($D596,Sensors_MANU!$B$2:$B$4692,0)),INDEX(Sensors_MANU!$D$2:$D$4692,MATCH($P596,Sensors_MANU!$A$2:$A$4692,0))),"")</f>
        <v/>
      </c>
      <c r="K596" s="27" t="inlineStr">
        <is>
          <t>31833916514-0</t>
        </is>
      </c>
      <c r="L596" s="27" t="inlineStr">
        <is>
          <t>3L</t>
        </is>
      </c>
      <c r="M596" s="27" t="n"/>
      <c r="N596" s="99">
        <f>IFERROR(INDEX(Sensors_MANU!$G$2:$G$4692,MATCH($P596,Sensors_MANU!$A$2:$A$4692,0)),)</f>
        <v/>
      </c>
      <c r="O596" s="6" t="inlineStr">
        <is>
          <t>v16</t>
        </is>
      </c>
      <c r="P596" t="n">
        <v>4978911</v>
      </c>
    </row>
    <row r="597">
      <c r="A597" s="32">
        <f>IFERROR(_xlfn.IFNA(INDEX(Sensors_MANU!$E$2:$E$4692,MATCH($D597,Sensors_MANU!$B$2:$B$4692,0)),INDEX(Sensors_MANU!$E$2:$E$4692,MATCH($P597,Sensors_MANU!$A$2:$A$4692,0))),"")</f>
        <v/>
      </c>
      <c r="B597" s="24">
        <f>IFERROR(INDEX(Companies!$A$3:$A$101,MATCH(A597,Companies!$B$3:$B$101,0)),"")</f>
        <v/>
      </c>
      <c r="C597">
        <f>IFERROR(_xlfn.IFNA(INDEX(Sensors_MANU!$F$2:$F$4692,MATCH($D597,Sensors_MANU!$B$2:$B$4692,0)),INDEX(Sensors_MANU!$F$2:$F$4692,MATCH($P597,Sensors_MANU!$A$2:$A$4692,0))),"")</f>
        <v/>
      </c>
      <c r="D597" t="inlineStr">
        <is>
          <t>F5A82FEA7CE9</t>
        </is>
      </c>
      <c r="E597">
        <f>LEFT(D597,2)&amp;":"&amp;MID(D597,3,2)&amp;":"&amp;MID(D597,5,2)&amp;":"&amp;MID(D597,7,2)&amp;":"&amp;MID(D597,9,2)&amp;":"&amp;RIGHT(D597,2)</f>
        <v/>
      </c>
      <c r="F597" s="29" t="n">
        <v>44910</v>
      </c>
      <c r="G597" s="29" t="inlineStr">
        <is>
          <t>Viezo</t>
        </is>
      </c>
      <c r="H597" t="inlineStr">
        <is>
          <t>5BD6B17BF0845C16</t>
        </is>
      </c>
      <c r="I597">
        <f>IFERROR(_xlfn.IFNA(INDEX(Sensors_MANU!$C$2:$C$4692,MATCH($D597,Sensors_MANU!$B$2:$B$4692,0)),INDEX(Sensors_MANU!$C$2:$C$4692,MATCH($P597,Sensors_MANU!$A$2:$A$4692,0))),"")</f>
        <v/>
      </c>
      <c r="J597">
        <f>IFERROR(_xlfn.IFNA(INDEX(Sensors_MANU!$D$2:$D$4692,MATCH($D597,Sensors_MANU!$B$2:$B$4692,0)),INDEX(Sensors_MANU!$D$2:$D$4692,MATCH($P597,Sensors_MANU!$A$2:$A$4692,0))),"")</f>
        <v/>
      </c>
      <c r="K597" s="27" t="inlineStr">
        <is>
          <t>31835376007-3</t>
        </is>
      </c>
      <c r="L597" s="27" t="inlineStr">
        <is>
          <t>4R</t>
        </is>
      </c>
      <c r="M597" s="35" t="n"/>
      <c r="N597" s="99">
        <f>IFERROR(INDEX(Sensors_MANU!$G$2:$G$4692,MATCH($P597,Sensors_MANU!$A$2:$A$4692,0)),)</f>
        <v/>
      </c>
      <c r="O597" s="6" t="inlineStr">
        <is>
          <t>v15</t>
        </is>
      </c>
      <c r="P597" t="n">
        <v>4978641</v>
      </c>
    </row>
    <row r="598">
      <c r="A598" s="32">
        <f>IFERROR(_xlfn.IFNA(INDEX(Sensors_MANU!$E$2:$E$4692,MATCH($D598,Sensors_MANU!$B$2:$B$4692,0)),INDEX(Sensors_MANU!$E$2:$E$4692,MATCH($P598,Sensors_MANU!$A$2:$A$4692,0))),"")</f>
        <v/>
      </c>
      <c r="B598" s="24" t="inlineStr">
        <is>
          <t>64818ba10166b80f8d06f5fa</t>
        </is>
      </c>
      <c r="C598">
        <f>IFERROR(_xlfn.IFNA(INDEX(Sensors_MANU!$F$2:$F$4692,MATCH($D598,Sensors_MANU!$B$2:$B$4692,0)),INDEX(Sensors_MANU!$F$2:$F$4692,MATCH($P598,Sensors_MANU!$A$2:$A$4692,0))),"")</f>
        <v/>
      </c>
      <c r="D598" t="inlineStr">
        <is>
          <t>EFA82F88CB5B</t>
        </is>
      </c>
      <c r="E598" s="24">
        <f>LEFT(D598,2)&amp;":"&amp;MID(D598,3,2)&amp;":"&amp;MID(D598,5,2)&amp;":"&amp;MID(D598,7,2)&amp;":"&amp;MID(D598,9,2)&amp;":"&amp;RIGHT(D598,2)</f>
        <v/>
      </c>
      <c r="F598" s="29" t="n">
        <v>45090</v>
      </c>
      <c r="G598" s="29" t="inlineStr">
        <is>
          <t>VIEZO</t>
        </is>
      </c>
      <c r="H598" t="inlineStr">
        <is>
          <t>FD2B1EB107B7561B</t>
        </is>
      </c>
      <c r="I598">
        <f>IFERROR(_xlfn.IFNA(INDEX(Sensors_MANU!$C$2:$C$4692,MATCH($D598,Sensors_MANU!$B$2:$B$4692,0)),INDEX(Sensors_MANU!$C$2:$C$4692,MATCH($P598,Sensors_MANU!$A$2:$A$4692,0))),"")</f>
        <v/>
      </c>
      <c r="J598">
        <f>IFERROR(_xlfn.IFNA(INDEX(Sensors_MANU!$D$2:$D$4692,MATCH($D598,Sensors_MANU!$B$2:$B$4692,0)),INDEX(Sensors_MANU!$D$2:$D$4692,MATCH($P598,Sensors_MANU!$A$2:$A$4692,0))),"")</f>
        <v/>
      </c>
      <c r="K598" s="27" t="inlineStr">
        <is>
          <t>33802742608-3</t>
        </is>
      </c>
      <c r="L598" s="27" t="inlineStr">
        <is>
          <t>4L</t>
        </is>
      </c>
      <c r="O598" s="6" t="inlineStr">
        <is>
          <t>V25</t>
        </is>
      </c>
    </row>
    <row r="599">
      <c r="B599" s="24">
        <f>IFERROR(INDEX(Companies!$A$3:$A$101,MATCH(A599,Companies!$B$3:$B$101,0)),"")</f>
        <v/>
      </c>
      <c r="C599">
        <f>IFERROR(_xlfn.IFNA(INDEX(Sensors_MANU!$F$2:$F$4692,MATCH($D599,Sensors_MANU!$B$2:$B$4692,0)),INDEX(Sensors_MANU!$F$2:$F$4692,MATCH($P599,Sensors_MANU!$A$2:$A$4692,0))),"")</f>
        <v/>
      </c>
      <c r="D599" t="inlineStr">
        <is>
          <t>C1517275A802</t>
        </is>
      </c>
      <c r="E599" s="24">
        <f>LEFT(D599,2)&amp;":"&amp;MID(D599,3,2)&amp;":"&amp;MID(D599,5,2)&amp;":"&amp;MID(D599,7,2)&amp;":"&amp;MID(D599,9,2)&amp;":"&amp;RIGHT(D599,2)</f>
        <v/>
      </c>
      <c r="H599" t="inlineStr">
        <is>
          <t>8CB3DBF3AFD27FB9</t>
        </is>
      </c>
      <c r="I599">
        <f>IFERROR(_xlfn.IFNA(INDEX(Sensors_MANU!$C$2:$C$4692,MATCH($D599,Sensors_MANU!$B$2:$B$4692,0)),INDEX(Sensors_MANU!$C$2:$C$4692,MATCH($P599,Sensors_MANU!$A$2:$A$4692,0))),"")</f>
        <v/>
      </c>
      <c r="J599">
        <f>IFERROR(_xlfn.IFNA(INDEX(Sensors_MANU!$D$2:$D$4692,MATCH($D599,Sensors_MANU!$B$2:$B$4692,0)),INDEX(Sensors_MANU!$D$2:$D$4692,MATCH($P599,Sensors_MANU!$A$2:$A$4692,0))),"")</f>
        <v/>
      </c>
      <c r="N599" s="99">
        <f>IFERROR(INDEX(Sensors_MANU!$G$2:$G$4692,MATCH($P599,Sensors_MANU!$A$2:$A$4692,0)),)</f>
        <v/>
      </c>
      <c r="O599" s="6" t="inlineStr">
        <is>
          <t>v17</t>
        </is>
      </c>
      <c r="P599" t="n">
        <v>4978471</v>
      </c>
    </row>
    <row r="600">
      <c r="A600" s="32">
        <f>IFERROR(_xlfn.IFNA(INDEX(Sensors_MANU!$E$2:$E$4692,MATCH($D600,Sensors_MANU!$B$2:$B$4692,0)),INDEX(Sensors_MANU!$E$2:$E$4692,MATCH($P600,Sensors_MANU!$A$2:$A$4692,0))),"")</f>
        <v/>
      </c>
      <c r="B600" s="24">
        <f>IFERROR(INDEX(Companies!$A$3:$A$101,MATCH(A600,Companies!$B$3:$B$101,0)),"")</f>
        <v/>
      </c>
      <c r="D600" t="inlineStr">
        <is>
          <t>EF3BCD9FA283</t>
        </is>
      </c>
      <c r="E600">
        <f>LEFT(D600,2)&amp;":"&amp;MID(D600,3,2)&amp;":"&amp;MID(D600,5,2)&amp;":"&amp;MID(D600,7,2)&amp;":"&amp;MID(D600,9,2)&amp;":"&amp;RIGHT(D600,2)</f>
        <v/>
      </c>
      <c r="H600" t="inlineStr">
        <is>
          <t>4104613A940AC33F</t>
        </is>
      </c>
      <c r="I600">
        <f>IFERROR(_xlfn.IFNA(INDEX(Sensors_MANU!$C$2:$C$4692,MATCH($D600,Sensors_MANU!$B$2:$B$4692,0)),INDEX(Sensors_MANU!$C$2:$C$4692,MATCH($P600,Sensors_MANU!$A$2:$A$4692,0))),"")</f>
        <v/>
      </c>
      <c r="J600">
        <f>IFERROR(_xlfn.IFNA(INDEX(Sensors_MANU!$D$2:$D$4692,MATCH($D600,Sensors_MANU!$B$2:$B$4692,0)),INDEX(Sensors_MANU!$D$2:$D$4692,MATCH($P600,Sensors_MANU!$A$2:$A$4692,0))),"")</f>
        <v/>
      </c>
      <c r="K600" s="27" t="inlineStr">
        <is>
          <t>BAH101</t>
        </is>
      </c>
      <c r="L600" s="27" t="inlineStr">
        <is>
          <t>4R</t>
        </is>
      </c>
    </row>
    <row r="601">
      <c r="A601" s="32">
        <f>IFERROR(_xlfn.IFNA(INDEX(Sensors_MANU!$E$2:$E$4692,MATCH($D601,Sensors_MANU!$B$2:$B$4692,0)),INDEX(Sensors_MANU!$E$2:$E$4692,MATCH($P601,Sensors_MANU!$A$2:$A$4692,0))),"")</f>
        <v/>
      </c>
      <c r="B601" s="24">
        <f>IFERROR(INDEX(Companies!$A$3:$A$101,MATCH(A601,Companies!$B$3:$B$101,0)),"")</f>
        <v/>
      </c>
      <c r="D601" t="inlineStr">
        <is>
          <t>E5A01B4B7AB0</t>
        </is>
      </c>
      <c r="E601">
        <f>LEFT(D601,2)&amp;":"&amp;MID(D601,3,2)&amp;":"&amp;MID(D601,5,2)&amp;":"&amp;MID(D601,7,2)&amp;":"&amp;MID(D601,9,2)&amp;":"&amp;RIGHT(D601,2)</f>
        <v/>
      </c>
      <c r="F601" s="29" t="n">
        <v>44953</v>
      </c>
      <c r="G601" s="29" t="inlineStr">
        <is>
          <t>Fertagus</t>
        </is>
      </c>
      <c r="H601" t="inlineStr">
        <is>
          <t>D1E1945C7B41ACF4</t>
        </is>
      </c>
      <c r="I601">
        <f>IFERROR(_xlfn.IFNA(INDEX(Sensors_MANU!$C$2:$C$4692,MATCH($D601,Sensors_MANU!$B$2:$B$4692,0)),INDEX(Sensors_MANU!$C$2:$C$4692,MATCH($P601,Sensors_MANU!$A$2:$A$4692,0))),"")</f>
        <v/>
      </c>
      <c r="J601" s="25">
        <f>IFERROR(_xlfn.IFNA(INDEX(Sensors_MANU!$D$2:$D$4692,MATCH($D601,Sensors_MANU!$B$2:$B$4692,0)),INDEX(Sensors_MANU!$D$2:$D$4692,MATCH($P601,Sensors_MANU!$A$2:$A$4692,0))),"")</f>
        <v/>
      </c>
      <c r="K601" s="27" t="inlineStr">
        <is>
          <t>R3505</t>
        </is>
      </c>
      <c r="L601" s="27" t="inlineStr">
        <is>
          <t>2L</t>
        </is>
      </c>
      <c r="N601" s="99" t="inlineStr">
        <is>
          <t>No longer exist in Ubidots</t>
        </is>
      </c>
    </row>
    <row r="602">
      <c r="B602" s="24">
        <f>IFERROR(INDEX(Companies!$A$3:$A$101,MATCH(A602,Companies!$B$3:$B$101,0)),"")</f>
        <v/>
      </c>
      <c r="C602">
        <f>IFERROR(_xlfn.IFNA(INDEX(Sensors_MANU!$F$2:$F$4692,MATCH($D602,Sensors_MANU!$B$2:$B$4692,0)),INDEX(Sensors_MANU!$F$2:$F$4692,MATCH($P602,Sensors_MANU!$A$2:$A$4692,0))),"")</f>
        <v/>
      </c>
      <c r="D602" t="inlineStr">
        <is>
          <t>F0EC7E291311</t>
        </is>
      </c>
      <c r="E602" s="24">
        <f>LEFT(D602,2)&amp;":"&amp;MID(D602,3,2)&amp;":"&amp;MID(D602,5,2)&amp;":"&amp;MID(D602,7,2)&amp;":"&amp;MID(D602,9,2)&amp;":"&amp;RIGHT(D602,2)</f>
        <v/>
      </c>
      <c r="H602" t="inlineStr">
        <is>
          <t>D67C300BC980DBA2</t>
        </is>
      </c>
      <c r="I602">
        <f>IFERROR(_xlfn.IFNA(INDEX(Sensors_MANU!$C$2:$C$4692,MATCH($D602,Sensors_MANU!$B$2:$B$4692,0)),INDEX(Sensors_MANU!$C$2:$C$4692,MATCH($P602,Sensors_MANU!$A$2:$A$4692,0))),"")</f>
        <v/>
      </c>
      <c r="J602">
        <f>IFERROR(_xlfn.IFNA(INDEX(Sensors_MANU!$D$2:$D$4692,MATCH($D602,Sensors_MANU!$B$2:$B$4692,0)),INDEX(Sensors_MANU!$D$2:$D$4692,MATCH($P602,Sensors_MANU!$A$2:$A$4692,0))),"")</f>
        <v/>
      </c>
      <c r="N602" s="99">
        <f>IFERROR(INDEX(Sensors_MANU!$G$2:$G$4692,MATCH($P602,Sensors_MANU!$A$2:$A$4692,0)),)</f>
        <v/>
      </c>
      <c r="O602" s="6" t="inlineStr">
        <is>
          <t>v17</t>
        </is>
      </c>
      <c r="P602" t="n">
        <v>4978579</v>
      </c>
    </row>
    <row r="603">
      <c r="A603" s="32">
        <f>IFERROR(_xlfn.IFNA(INDEX(Sensors_MANU!$E$2:$E$4692,MATCH($D603,Sensors_MANU!$B$2:$B$4692,0)),INDEX(Sensors_MANU!$E$2:$E$4692,MATCH($P603,Sensors_MANU!$A$2:$A$4692,0))),"")</f>
        <v/>
      </c>
      <c r="B603" s="24">
        <f>IFERROR(INDEX(Companies!$A$3:$A$101,MATCH(A603,Companies!$B$3:$B$101,0)),"")</f>
        <v/>
      </c>
      <c r="C603">
        <f>IFERROR(_xlfn.IFNA(INDEX(Sensors_MANU!$F$2:$F$4692,MATCH($D603,Sensors_MANU!$B$2:$B$4692,0)),INDEX(Sensors_MANU!$F$2:$F$4692,MATCH($P603,Sensors_MANU!$A$2:$A$4692,0))),"")</f>
        <v/>
      </c>
      <c r="D603" t="inlineStr">
        <is>
          <t>D668F56FD01A</t>
        </is>
      </c>
      <c r="E603" s="24">
        <f>LEFT(D603,2)&amp;":"&amp;MID(D603,3,2)&amp;":"&amp;MID(D603,5,2)&amp;":"&amp;MID(D603,7,2)&amp;":"&amp;MID(D603,9,2)&amp;":"&amp;RIGHT(D603,2)</f>
        <v/>
      </c>
      <c r="F603" s="29" t="n">
        <v>44888</v>
      </c>
      <c r="G603" s="29" t="inlineStr">
        <is>
          <t>SGL</t>
        </is>
      </c>
      <c r="H603" t="inlineStr">
        <is>
          <t>990F10AF2EEFA660</t>
        </is>
      </c>
      <c r="I603">
        <f>IFERROR(_xlfn.IFNA(INDEX(Sensors_MANU!$C$2:$C$4692,MATCH($D603,Sensors_MANU!$B$2:$B$4692,0)),INDEX(Sensors_MANU!$C$2:$C$4692,MATCH($P603,Sensors_MANU!$A$2:$A$4692,0))),"")</f>
        <v/>
      </c>
      <c r="J603">
        <f>IFERROR(_xlfn.IFNA(INDEX(Sensors_MANU!$D$2:$D$4692,MATCH($D603,Sensors_MANU!$B$2:$B$4692,0)),INDEX(Sensors_MANU!$D$2:$D$4692,MATCH($P603,Sensors_MANU!$A$2:$A$4692,0))),"")</f>
        <v/>
      </c>
      <c r="K603" s="27" t="inlineStr">
        <is>
          <t>3354-3937-523-9</t>
        </is>
      </c>
      <c r="N603" s="99" t="inlineStr">
        <is>
          <t>The operator has the device or its lost (they paid for it), but we dont monitor it on Ubidots anymore.</t>
        </is>
      </c>
      <c r="O603" s="6" t="inlineStr">
        <is>
          <t>V25</t>
        </is>
      </c>
    </row>
    <row r="604">
      <c r="A604" s="32">
        <f>IFERROR(_xlfn.IFNA(INDEX(Sensors_MANU!$E$2:$E$4692,MATCH($D604,Sensors_MANU!$B$2:$B$4692,0)),INDEX(Sensors_MANU!$E$2:$E$4692,MATCH($P604,Sensors_MANU!$A$2:$A$4692,0))),"")</f>
        <v/>
      </c>
      <c r="B604" s="24">
        <f>IFERROR(INDEX(Companies!$A$3:$A$101,MATCH(A604,Companies!$B$3:$B$101,0)),"")</f>
        <v/>
      </c>
      <c r="C604">
        <f>IFERROR(_xlfn.IFNA(INDEX(Sensors_MANU!$F$2:$F$4692,MATCH($D604,Sensors_MANU!$B$2:$B$4692,0)),INDEX(Sensors_MANU!$F$2:$F$4692,MATCH($P604,Sensors_MANU!$A$2:$A$4692,0))),"")</f>
        <v/>
      </c>
      <c r="D604" t="inlineStr">
        <is>
          <t>FA9C256A217E</t>
        </is>
      </c>
      <c r="E604">
        <f>LEFT(D604,2)&amp;":"&amp;MID(D604,3,2)&amp;":"&amp;MID(D604,5,2)&amp;":"&amp;MID(D604,7,2)&amp;":"&amp;MID(D604,9,2)&amp;":"&amp;RIGHT(D604,2)</f>
        <v/>
      </c>
      <c r="F604" s="29" t="n">
        <v>44910</v>
      </c>
      <c r="G604" s="29" t="inlineStr">
        <is>
          <t>Viezo</t>
        </is>
      </c>
      <c r="H604" t="inlineStr">
        <is>
          <t>363B5E1D41C8AD60</t>
        </is>
      </c>
      <c r="I604">
        <f>IFERROR(_xlfn.IFNA(INDEX(Sensors_MANU!$C$2:$C$4692,MATCH($D604,Sensors_MANU!$B$2:$B$4692,0)),INDEX(Sensors_MANU!$C$2:$C$4692,MATCH($P604,Sensors_MANU!$A$2:$A$4692,0))),"")</f>
        <v/>
      </c>
      <c r="J604">
        <f>IFERROR(_xlfn.IFNA(INDEX(Sensors_MANU!$D$2:$D$4692,MATCH($D604,Sensors_MANU!$B$2:$B$4692,0)),INDEX(Sensors_MANU!$D$2:$D$4692,MATCH($P604,Sensors_MANU!$A$2:$A$4692,0))),"")</f>
        <v/>
      </c>
      <c r="K604" s="27" t="inlineStr">
        <is>
          <t>31835377921-4</t>
        </is>
      </c>
      <c r="L604" s="27" t="inlineStr">
        <is>
          <t>3L</t>
        </is>
      </c>
      <c r="M604" s="27" t="n"/>
      <c r="N604" s="99">
        <f>IFERROR(INDEX(Sensors_MANU!$G$2:$G$4692,MATCH($P604,Sensors_MANU!$A$2:$A$4692,0)),)</f>
        <v/>
      </c>
      <c r="O604" s="6" t="inlineStr">
        <is>
          <t>v16</t>
        </is>
      </c>
      <c r="P604" t="n">
        <v>4978750</v>
      </c>
    </row>
    <row r="605">
      <c r="A605" s="32">
        <f>IFERROR(_xlfn.IFNA(INDEX(Sensors_MANU!$E$2:$E$4692,MATCH($D605,Sensors_MANU!$B$2:$B$4692,0)),INDEX(Sensors_MANU!$E$2:$E$4692,MATCH($P605,Sensors_MANU!$A$2:$A$4692,0))),"")</f>
        <v/>
      </c>
      <c r="B605" s="24">
        <f>IFERROR(INDEX(Companies!$A$3:$A$101,MATCH(A605,Companies!$B$3:$B$101,0)),"")</f>
        <v/>
      </c>
      <c r="C605">
        <f>IFERROR(_xlfn.IFNA(INDEX(Sensors_MANU!$F$2:$F$4692,MATCH($D605,Sensors_MANU!$B$2:$B$4692,0)),INDEX(Sensors_MANU!$F$2:$F$4692,MATCH($P605,Sensors_MANU!$A$2:$A$4692,0))),"")</f>
        <v/>
      </c>
      <c r="D605" t="inlineStr">
        <is>
          <t>F9D0BC7E1563</t>
        </is>
      </c>
      <c r="E605">
        <f>LEFT(D605,2)&amp;":"&amp;MID(D605,3,2)&amp;":"&amp;MID(D605,5,2)&amp;":"&amp;MID(D605,7,2)&amp;":"&amp;MID(D605,9,2)&amp;":"&amp;RIGHT(D605,2)</f>
        <v/>
      </c>
      <c r="F605" s="29" t="n">
        <v>44910</v>
      </c>
      <c r="G605" s="29" t="inlineStr">
        <is>
          <t>Viezo</t>
        </is>
      </c>
      <c r="H605" t="inlineStr">
        <is>
          <t>5725C3E98F48CEA1</t>
        </is>
      </c>
      <c r="I605">
        <f>IFERROR(_xlfn.IFNA(INDEX(Sensors_MANU!$C$2:$C$4692,MATCH($D605,Sensors_MANU!$B$2:$B$4692,0)),INDEX(Sensors_MANU!$C$2:$C$4692,MATCH($P605,Sensors_MANU!$A$2:$A$4692,0))),"")</f>
        <v/>
      </c>
      <c r="J605">
        <f>IFERROR(_xlfn.IFNA(INDEX(Sensors_MANU!$D$2:$D$4692,MATCH($D605,Sensors_MANU!$B$2:$B$4692,0)),INDEX(Sensors_MANU!$D$2:$D$4692,MATCH($P605,Sensors_MANU!$A$2:$A$4692,0))),"")</f>
        <v/>
      </c>
      <c r="K605" s="27" t="inlineStr">
        <is>
          <t>31835377921-4</t>
        </is>
      </c>
      <c r="L605" s="27" t="inlineStr">
        <is>
          <t>4L</t>
        </is>
      </c>
      <c r="M605" s="27" t="n"/>
      <c r="N605" s="99">
        <f>IFERROR(INDEX(Sensors_MANU!$G$2:$G$4692,MATCH($P605,Sensors_MANU!$A$2:$A$4692,0)),)</f>
        <v/>
      </c>
      <c r="O605" s="6" t="inlineStr">
        <is>
          <t>v16</t>
        </is>
      </c>
      <c r="P605" t="n">
        <v>4978714</v>
      </c>
    </row>
    <row r="606">
      <c r="A606" s="32" t="inlineStr">
        <is>
          <t>TRANSWAGGON</t>
        </is>
      </c>
      <c r="B606" s="24">
        <f>IFERROR(INDEX(Companies!$A$3:$A$101,MATCH(A606,Companies!$B$3:$B$101,0)),"")</f>
        <v/>
      </c>
      <c r="C606" t="inlineStr">
        <is>
          <t>cargo</t>
        </is>
      </c>
      <c r="D606" t="inlineStr">
        <is>
          <t>EFD751FC2A8C</t>
        </is>
      </c>
      <c r="E606" s="24">
        <f>LEFT(D606,2)&amp;":"&amp;MID(D606,3,2)&amp;":"&amp;MID(D606,5,2)&amp;":"&amp;MID(D606,7,2)&amp;":"&amp;MID(D606,9,2)&amp;":"&amp;RIGHT(D606,2)</f>
        <v/>
      </c>
      <c r="F606" s="29" t="n">
        <v>45090</v>
      </c>
      <c r="G606" s="29" t="inlineStr">
        <is>
          <t>VIEZO</t>
        </is>
      </c>
      <c r="H606" t="inlineStr">
        <is>
          <t>64A8BEC15AF9C2DB</t>
        </is>
      </c>
      <c r="I606">
        <f>IFERROR(_xlfn.IFNA(INDEX(Sensors_MANU!$C$2:$C$4692,MATCH($D606,Sensors_MANU!$B$2:$B$4692,0)),INDEX(Sensors_MANU!$C$2:$C$4692,MATCH($P606,Sensors_MANU!$A$2:$A$4692,0))),"")</f>
        <v/>
      </c>
      <c r="J606" t="inlineStr">
        <is>
          <t>PR2203-406</t>
        </is>
      </c>
      <c r="K606" s="27" t="inlineStr">
        <is>
          <t>33802742207-4</t>
        </is>
      </c>
      <c r="L606" s="27" t="inlineStr">
        <is>
          <t>4R</t>
        </is>
      </c>
    </row>
    <row r="607">
      <c r="A607" s="32">
        <f>IFERROR(_xlfn.IFNA(INDEX(Sensors_MANU!$E$2:$E$4692,MATCH($D607,Sensors_MANU!$B$2:$B$4692,0)),INDEX(Sensors_MANU!$E$2:$E$4692,MATCH($P607,Sensors_MANU!$A$2:$A$4692,0))),"")</f>
        <v/>
      </c>
      <c r="B607" s="24">
        <f>IFERROR(INDEX(Companies!$A$3:$A$101,MATCH(A607,Companies!$B$3:$B$101,0)),"")</f>
        <v/>
      </c>
      <c r="D607" t="inlineStr">
        <is>
          <t>E6B4D0C25D63</t>
        </is>
      </c>
      <c r="E607">
        <f>LEFT(D607,2)&amp;":"&amp;MID(D607,3,2)&amp;":"&amp;MID(D607,5,2)&amp;":"&amp;MID(D607,7,2)&amp;":"&amp;MID(D607,9,2)&amp;":"&amp;RIGHT(D607,2)</f>
        <v/>
      </c>
      <c r="H607" t="inlineStr">
        <is>
          <t>61325EEED9A9F066</t>
        </is>
      </c>
      <c r="I607">
        <f>IFERROR(_xlfn.IFNA(INDEX(Sensors_MANU!$C$2:$C$4692,MATCH($D607,Sensors_MANU!$B$2:$B$4692,0)),INDEX(Sensors_MANU!$C$2:$C$4692,MATCH($P607,Sensors_MANU!$A$2:$A$4692,0))),"")</f>
        <v/>
      </c>
      <c r="J607">
        <f>IFERROR(_xlfn.IFNA(INDEX(Sensors_MANU!$D$2:$D$4692,MATCH($D607,Sensors_MANU!$B$2:$B$4692,0)),INDEX(Sensors_MANU!$D$2:$D$4692,MATCH($P607,Sensors_MANU!$A$2:$A$4692,0))),"")</f>
        <v/>
      </c>
      <c r="K607" s="27" t="inlineStr">
        <is>
          <t>BP08</t>
        </is>
      </c>
      <c r="L607" s="27" t="inlineStr">
        <is>
          <t>2R</t>
        </is>
      </c>
    </row>
    <row r="608">
      <c r="A608" s="32">
        <f>IFERROR(_xlfn.IFNA(INDEX(Sensors_MANU!$E$2:$E$4692,MATCH($D608,Sensors_MANU!$B$2:$B$4692,0)),INDEX(Sensors_MANU!$E$2:$E$4692,MATCH($P608,Sensors_MANU!$A$2:$A$4692,0))),"")</f>
        <v/>
      </c>
      <c r="B608" s="24">
        <f>IFERROR(INDEX(Companies!$A$3:$A$101,MATCH(A608,Companies!$B$3:$B$101,0)),"")</f>
        <v/>
      </c>
      <c r="C608">
        <f>IFERROR(_xlfn.IFNA(INDEX(Sensors_MANU!$F$2:$F$4692,MATCH($D608,Sensors_MANU!$B$2:$B$4692,0)),INDEX(Sensors_MANU!$F$2:$F$4692,MATCH($P608,Sensors_MANU!$A$2:$A$4692,0))),"")</f>
        <v/>
      </c>
      <c r="D608" t="inlineStr">
        <is>
          <t>C48958A3DF38</t>
        </is>
      </c>
      <c r="E608" s="24">
        <f>LEFT(D608,2)&amp;":"&amp;MID(D608,3,2)&amp;":"&amp;MID(D608,5,2)&amp;":"&amp;MID(D608,7,2)&amp;":"&amp;MID(D608,9,2)&amp;":"&amp;RIGHT(D608,2)</f>
        <v/>
      </c>
      <c r="H608" t="inlineStr">
        <is>
          <t>9A36F49EE2565623</t>
        </is>
      </c>
      <c r="I608">
        <f>IFERROR(_xlfn.IFNA(INDEX(Sensors_MANU!$C$2:$C$4692,MATCH($D608,Sensors_MANU!$B$2:$B$4692,0)),INDEX(Sensors_MANU!$C$2:$C$4692,MATCH($P608,Sensors_MANU!$A$2:$A$4692,0))),"")</f>
        <v/>
      </c>
      <c r="J608">
        <f>IFERROR(_xlfn.IFNA(INDEX(Sensors_MANU!$D$2:$D$4692,MATCH($D608,Sensors_MANU!$B$2:$B$4692,0)),INDEX(Sensors_MANU!$D$2:$D$4692,MATCH($P608,Sensors_MANU!$A$2:$A$4692,0))),"")</f>
        <v/>
      </c>
      <c r="K608" s="27" t="inlineStr">
        <is>
          <t>33764955324-1</t>
        </is>
      </c>
      <c r="L608" s="27" t="inlineStr">
        <is>
          <t>3R</t>
        </is>
      </c>
      <c r="O608" s="6" t="inlineStr">
        <is>
          <t>V25</t>
        </is>
      </c>
    </row>
    <row r="609">
      <c r="A609" s="32" t="inlineStr">
        <is>
          <t>TANKWAGON</t>
        </is>
      </c>
      <c r="B609" s="24">
        <f>IFERROR(INDEX(Companies!$A$3:$A$101,MATCH(A609,Companies!$B$3:$B$101,0)),"")</f>
        <v/>
      </c>
      <c r="C609">
        <f>IFERROR(_xlfn.IFNA(INDEX(Sensors_MANU!$F$2:$F$4692,MATCH($D609,Sensors_MANU!$B$2:$B$4692,0)),INDEX(Sensors_MANU!$F$2:$F$4692,MATCH($P609,Sensors_MANU!$A$2:$A$4692,0))),"")</f>
        <v/>
      </c>
      <c r="D609" t="inlineStr">
        <is>
          <t>D591B9C32C3E</t>
        </is>
      </c>
      <c r="E609" s="24">
        <f>LEFT(D609,2)&amp;":"&amp;MID(D609,3,2)&amp;":"&amp;MID(D609,5,2)&amp;":"&amp;MID(D609,7,2)&amp;":"&amp;MID(D609,9,2)&amp;":"&amp;RIGHT(D609,2)</f>
        <v/>
      </c>
      <c r="F609" s="29" t="n">
        <v>45222</v>
      </c>
      <c r="G609" s="29" t="inlineStr">
        <is>
          <t>Tankwagon</t>
        </is>
      </c>
      <c r="H609" s="2" t="inlineStr">
        <is>
          <t>FCC6AAB4A05257B8</t>
        </is>
      </c>
      <c r="I609">
        <f>IFERROR(_xlfn.IFNA(INDEX(Sensors_MANU!$C$2:$C$4692,MATCH($D609,Sensors_MANU!$B$2:$B$4692,0)),INDEX(Sensors_MANU!$C$2:$C$4692,MATCH($P609,Sensors_MANU!$A$2:$A$4692,0))),"")</f>
        <v/>
      </c>
      <c r="J609" t="inlineStr">
        <is>
          <t>PR2203-411</t>
        </is>
      </c>
      <c r="K609" s="27" t="inlineStr">
        <is>
          <t>33857929905-2</t>
        </is>
      </c>
      <c r="L609" s="27" t="inlineStr">
        <is>
          <t>1L</t>
        </is>
      </c>
      <c r="N609" s="99">
        <f>IFERROR(INDEX(Sensors_MANU!$G$2:$G$4692,MATCH($P609,Sensors_MANU!$A$2:$A$4692,0)),)</f>
        <v/>
      </c>
      <c r="O609" s="6" t="inlineStr">
        <is>
          <t>V26</t>
        </is>
      </c>
    </row>
    <row r="610">
      <c r="B610" s="24">
        <f>IFERROR(INDEX(Companies!$A$3:$A$101,MATCH(A610,Companies!$B$3:$B$101,0)),"")</f>
        <v/>
      </c>
      <c r="C610">
        <f>IFERROR(_xlfn.IFNA(INDEX(Sensors_MANU!$F$2:$F$4692,MATCH($D610,Sensors_MANU!$B$2:$B$4692,0)),INDEX(Sensors_MANU!$F$2:$F$4692,MATCH($P610,Sensors_MANU!$A$2:$A$4692,0))),"")</f>
        <v/>
      </c>
      <c r="D610" t="inlineStr">
        <is>
          <t>DEE6479F39BD</t>
        </is>
      </c>
      <c r="E610" s="24">
        <f>LEFT(D610,2)&amp;":"&amp;MID(D610,3,2)&amp;":"&amp;MID(D610,5,2)&amp;":"&amp;MID(D610,7,2)&amp;":"&amp;MID(D610,9,2)&amp;":"&amp;RIGHT(D610,2)</f>
        <v/>
      </c>
      <c r="H610" t="inlineStr">
        <is>
          <t>457AD079D2CE9AE9</t>
        </is>
      </c>
      <c r="I610">
        <f>IFERROR(_xlfn.IFNA(INDEX(Sensors_MANU!$C$2:$C$4692,MATCH($D610,Sensors_MANU!$B$2:$B$4692,0)),INDEX(Sensors_MANU!$C$2:$C$4692,MATCH($P610,Sensors_MANU!$A$2:$A$4692,0))),"")</f>
        <v/>
      </c>
      <c r="J610">
        <f>IFERROR(_xlfn.IFNA(INDEX(Sensors_MANU!$D$2:$D$4692,MATCH($D610,Sensors_MANU!$B$2:$B$4692,0)),INDEX(Sensors_MANU!$D$2:$D$4692,MATCH($P610,Sensors_MANU!$A$2:$A$4692,0))),"")</f>
        <v/>
      </c>
      <c r="N610" s="99">
        <f>IFERROR(INDEX(Sensors_MANU!$G$2:$G$4692,MATCH($P610,Sensors_MANU!$A$2:$A$4692,0)),)</f>
        <v/>
      </c>
      <c r="O610" s="6" t="inlineStr">
        <is>
          <t>v17</t>
        </is>
      </c>
      <c r="P610" t="n">
        <v>4978595</v>
      </c>
    </row>
    <row r="611">
      <c r="A611" s="32">
        <f>IFERROR(_xlfn.IFNA(INDEX(Sensors_MANU!$E$2:$E$4692,MATCH($D611,Sensors_MANU!$B$2:$B$4692,0)),INDEX(Sensors_MANU!$E$2:$E$4692,MATCH($P611,Sensors_MANU!$A$2:$A$4692,0))),"")</f>
        <v/>
      </c>
      <c r="B611" s="24">
        <f>IFERROR(INDEX(Companies!$A$3:$A$101,MATCH(A611,Companies!$B$3:$B$101,0)),"")</f>
        <v/>
      </c>
      <c r="C611" t="inlineStr">
        <is>
          <t>cargo</t>
        </is>
      </c>
      <c r="D611" t="inlineStr">
        <is>
          <t>D44CA40D914D</t>
        </is>
      </c>
      <c r="E611">
        <f>LEFT(D611,2)&amp;":"&amp;MID(D611,3,2)&amp;":"&amp;MID(D611,5,2)&amp;":"&amp;MID(D611,7,2)&amp;":"&amp;MID(D611,9,2)&amp;":"&amp;RIGHT(D611,2)</f>
        <v/>
      </c>
      <c r="H611" t="inlineStr">
        <is>
          <t>BB54BC7D6817ABDF</t>
        </is>
      </c>
      <c r="I611">
        <f>IFERROR(_xlfn.IFNA(INDEX(Sensors_MANU!$C$2:$C$4692,MATCH($D611,Sensors_MANU!$B$2:$B$4692,0)),INDEX(Sensors_MANU!$C$2:$C$4692,MATCH($P611,Sensors_MANU!$A$2:$A$4692,0))),"")</f>
        <v/>
      </c>
      <c r="J611">
        <f>IFERROR(_xlfn.IFNA(INDEX(Sensors_MANU!$D$2:$D$4692,MATCH($D611,Sensors_MANU!$B$2:$B$4692,0)),INDEX(Sensors_MANU!$D$2:$D$4692,MATCH($P611,Sensors_MANU!$A$2:$A$4692,0))),"")</f>
        <v/>
      </c>
      <c r="M611" s="27" t="n"/>
      <c r="N611" s="99">
        <f>IFERROR(INDEX(Sensors_MANU!$G$2:$G$4692,MATCH($P611,Sensors_MANU!$A$2:$A$4692,0)),)</f>
        <v/>
      </c>
      <c r="O611" s="6" t="inlineStr">
        <is>
          <t>v15</t>
        </is>
      </c>
      <c r="P611" t="n">
        <v>4978824</v>
      </c>
    </row>
    <row r="612">
      <c r="A612" s="32">
        <f>IFERROR(_xlfn.IFNA(INDEX(Sensors_MANU!$E$2:$E$4692,MATCH($D612,Sensors_MANU!$B$2:$B$4692,0)),INDEX(Sensors_MANU!$E$2:$E$4692,MATCH($P612,Sensors_MANU!$A$2:$A$4692,0))),"")</f>
        <v/>
      </c>
      <c r="B612" s="24">
        <f>IFERROR(INDEX(Companies!$A$3:$A$101,MATCH(A612,Companies!$B$3:$B$101,0)),"")</f>
        <v/>
      </c>
      <c r="C612">
        <f>IFERROR(_xlfn.IFNA(INDEX(Sensors_MANU!$F$2:$F$4692,MATCH($D612,Sensors_MANU!$B$2:$B$4692,0)),INDEX(Sensors_MANU!$F$2:$F$4692,MATCH($P612,Sensors_MANU!$A$2:$A$4692,0))),"")</f>
        <v/>
      </c>
      <c r="D612" s="25" t="inlineStr">
        <is>
          <t>E2E21AD9C636</t>
        </is>
      </c>
      <c r="E612" s="24">
        <f>LEFT(D612,2)&amp;":"&amp;MID(D612,3,2)&amp;":"&amp;MID(D612,5,2)&amp;":"&amp;MID(D612,7,2)&amp;":"&amp;MID(D612,9,2)&amp;":"&amp;RIGHT(D612,2)</f>
        <v/>
      </c>
      <c r="F612" s="29" t="n">
        <v>44910</v>
      </c>
      <c r="G612" s="29" t="inlineStr">
        <is>
          <t>Viezo</t>
        </is>
      </c>
      <c r="H612" t="inlineStr">
        <is>
          <t>BD984EDF04BE5D3B</t>
        </is>
      </c>
      <c r="I612">
        <f>IFERROR(_xlfn.IFNA(INDEX(Sensors_MANU!$C$2:$C$4692,MATCH($D612,Sensors_MANU!$B$2:$B$4692,0)),INDEX(Sensors_MANU!$C$2:$C$4692,MATCH($P612,Sensors_MANU!$A$2:$A$4692,0))),"")</f>
        <v/>
      </c>
      <c r="J612">
        <f>IFERROR(_xlfn.IFNA(INDEX(Sensors_MANU!$D$2:$D$4692,MATCH($D612,Sensors_MANU!$B$2:$B$4692,0)),INDEX(Sensors_MANU!$D$2:$D$4692,MATCH($P612,Sensors_MANU!$A$2:$A$4692,0))),"")</f>
        <v/>
      </c>
      <c r="K612" s="27" t="inlineStr">
        <is>
          <t>31833918084-2</t>
        </is>
      </c>
      <c r="L612" s="27" t="inlineStr">
        <is>
          <t>4R</t>
        </is>
      </c>
      <c r="O612" s="6" t="inlineStr">
        <is>
          <t>V25</t>
        </is>
      </c>
    </row>
    <row r="613">
      <c r="A613" s="32">
        <f>IFERROR(_xlfn.IFNA(INDEX(Sensors_MANU!$E$2:$E$4692,MATCH($D613,Sensors_MANU!$B$2:$B$4692,0)),INDEX(Sensors_MANU!$E$2:$E$4692,MATCH($P613,Sensors_MANU!$A$2:$A$4692,0))),"")</f>
        <v/>
      </c>
      <c r="B613" s="24">
        <f>IFERROR(INDEX(Companies!$A$3:$A$101,MATCH(A613,Companies!$B$3:$B$101,0)),"")</f>
        <v/>
      </c>
      <c r="D613" t="inlineStr">
        <is>
          <t>F4AD18404344</t>
        </is>
      </c>
      <c r="E613">
        <f>LEFT(D613,2)&amp;":"&amp;MID(D613,3,2)&amp;":"&amp;MID(D613,5,2)&amp;":"&amp;MID(D613,7,2)&amp;":"&amp;MID(D613,9,2)&amp;":"&amp;RIGHT(D613,2)</f>
        <v/>
      </c>
      <c r="F613" s="29" t="n">
        <v>44953</v>
      </c>
      <c r="G613" s="29" t="inlineStr">
        <is>
          <t>Fertagus</t>
        </is>
      </c>
      <c r="H613" t="inlineStr">
        <is>
          <t>70347F08823F1036</t>
        </is>
      </c>
      <c r="I613">
        <f>IFERROR(_xlfn.IFNA(INDEX(Sensors_MANU!$C$2:$C$4692,MATCH($D613,Sensors_MANU!$B$2:$B$4692,0)),INDEX(Sensors_MANU!$C$2:$C$4692,MATCH($P613,Sensors_MANU!$A$2:$A$4692,0))),"")</f>
        <v/>
      </c>
      <c r="J613">
        <f>IFERROR(_xlfn.IFNA(INDEX(Sensors_MANU!$D$2:$D$4692,MATCH($D613,Sensors_MANU!$B$2:$B$4692,0)),INDEX(Sensors_MANU!$D$2:$D$4692,MATCH($P613,Sensors_MANU!$A$2:$A$4692,0))),"")</f>
        <v/>
      </c>
      <c r="K613" s="27" t="inlineStr">
        <is>
          <t>R3505</t>
        </is>
      </c>
      <c r="L613" s="27" t="inlineStr">
        <is>
          <t>1R</t>
        </is>
      </c>
    </row>
    <row r="614">
      <c r="A614" s="32">
        <f>IFERROR(_xlfn.IFNA(INDEX(Sensors_MANU!$E$2:$E$4692,MATCH($D614,Sensors_MANU!$B$2:$B$4692,0)),INDEX(Sensors_MANU!$E$2:$E$4692,MATCH($P614,Sensors_MANU!$A$2:$A$4692,0))),"")</f>
        <v/>
      </c>
      <c r="B614" s="24">
        <f>IFERROR(INDEX(Companies!$A$3:$A$101,MATCH(A614,Companies!$B$3:$B$101,0)),"")</f>
        <v/>
      </c>
      <c r="D614" t="inlineStr">
        <is>
          <t>C991723DFECD</t>
        </is>
      </c>
      <c r="E614">
        <f>LEFT(D614,2)&amp;":"&amp;MID(D614,3,2)&amp;":"&amp;MID(D614,5,2)&amp;":"&amp;MID(D614,7,2)&amp;":"&amp;MID(D614,9,2)&amp;":"&amp;RIGHT(D614,2)</f>
        <v/>
      </c>
      <c r="F614" s="29" t="n">
        <v>44953</v>
      </c>
      <c r="G614" s="29" t="inlineStr">
        <is>
          <t>Fertagus</t>
        </is>
      </c>
      <c r="H614" t="inlineStr">
        <is>
          <t>0D0FBBAB3BC860DD</t>
        </is>
      </c>
      <c r="I614">
        <f>IFERROR(_xlfn.IFNA(INDEX(Sensors_MANU!$C$2:$C$4692,MATCH($D614,Sensors_MANU!$B$2:$B$4692,0)),INDEX(Sensors_MANU!$C$2:$C$4692,MATCH($P614,Sensors_MANU!$A$2:$A$4692,0))),"")</f>
        <v/>
      </c>
      <c r="J614">
        <f>IFERROR(_xlfn.IFNA(INDEX(Sensors_MANU!$D$2:$D$4692,MATCH($D614,Sensors_MANU!$B$2:$B$4692,0)),INDEX(Sensors_MANU!$D$2:$D$4692,MATCH($P614,Sensors_MANU!$A$2:$A$4692,0))),"")</f>
        <v/>
      </c>
      <c r="K614" s="27" t="inlineStr">
        <is>
          <t>R3555</t>
        </is>
      </c>
      <c r="L614" s="27" t="inlineStr">
        <is>
          <t>3R</t>
        </is>
      </c>
    </row>
    <row r="615">
      <c r="A615" s="32">
        <f>IFERROR(_xlfn.IFNA(INDEX(Sensors_MANU!$E$2:$E$4692,MATCH($D615,Sensors_MANU!$B$2:$B$4692,0)),INDEX(Sensors_MANU!$E$2:$E$4692,MATCH($P615,Sensors_MANU!$A$2:$A$4692,0))),"")</f>
        <v/>
      </c>
      <c r="B615" s="24">
        <f>IFERROR(INDEX(Companies!$A$3:$A$101,MATCH(A615,Companies!$B$3:$B$101,0)),"")</f>
        <v/>
      </c>
      <c r="C615">
        <f>IFERROR(_xlfn.IFNA(INDEX(Sensors_MANU!$F$2:$F$4692,MATCH($D615,Sensors_MANU!$B$2:$B$4692,0)),INDEX(Sensors_MANU!$F$2:$F$4692,MATCH($P615,Sensors_MANU!$A$2:$A$4692,0))),"")</f>
        <v/>
      </c>
      <c r="D615" t="inlineStr">
        <is>
          <t>E702A1577A0E</t>
        </is>
      </c>
      <c r="E615">
        <f>LEFT(D615,2)&amp;":"&amp;MID(D615,3,2)&amp;":"&amp;MID(D615,5,2)&amp;":"&amp;MID(D615,7,2)&amp;":"&amp;MID(D615,9,2)&amp;":"&amp;RIGHT(D615,2)</f>
        <v/>
      </c>
      <c r="H615" t="inlineStr">
        <is>
          <t>653EE0EDCC87C7BF</t>
        </is>
      </c>
      <c r="I615">
        <f>IFERROR(_xlfn.IFNA(INDEX(Sensors_MANU!$C$2:$C$4692,MATCH($D615,Sensors_MANU!$B$2:$B$4692,0)),INDEX(Sensors_MANU!$C$2:$C$4692,MATCH($P615,Sensors_MANU!$A$2:$A$4692,0))),"")</f>
        <v/>
      </c>
      <c r="J615">
        <f>IFERROR(_xlfn.IFNA(INDEX(Sensors_MANU!$D$2:$D$4692,MATCH($D615,Sensors_MANU!$B$2:$B$4692,0)),INDEX(Sensors_MANU!$D$2:$D$4692,MATCH($P615,Sensors_MANU!$A$2:$A$4692,0))),"")</f>
        <v/>
      </c>
      <c r="M615" s="27" t="n"/>
      <c r="N615" s="99">
        <f>IFERROR(INDEX(Sensors_MANU!$G$2:$G$4692,MATCH($P615,Sensors_MANU!$A$2:$A$4692,0)),)</f>
        <v/>
      </c>
      <c r="O615" s="6" t="inlineStr">
        <is>
          <t>v16</t>
        </is>
      </c>
      <c r="P615" t="n">
        <v>4978767</v>
      </c>
    </row>
    <row r="616">
      <c r="A616" s="32">
        <f>IFERROR(_xlfn.IFNA(INDEX(Sensors_MANU!$E$2:$E$4692,MATCH($D616,Sensors_MANU!$B$2:$B$4692,0)),INDEX(Sensors_MANU!$E$2:$E$4692,MATCH($P616,Sensors_MANU!$A$2:$A$4692,0))),"")</f>
        <v/>
      </c>
      <c r="B616" s="24">
        <f>IFERROR(INDEX(Companies!$A$3:$A$101,MATCH(A616,Companies!$B$3:$B$101,0)),"")</f>
        <v/>
      </c>
      <c r="C616">
        <f>IFERROR(_xlfn.IFNA(INDEX(Sensors_MANU!$F$2:$F$4692,MATCH($D616,Sensors_MANU!$B$2:$B$4692,0)),INDEX(Sensors_MANU!$F$2:$F$4692,MATCH($P616,Sensors_MANU!$A$2:$A$4692,0))),"")</f>
        <v/>
      </c>
      <c r="D616" t="inlineStr">
        <is>
          <t>E567C8CE7F67</t>
        </is>
      </c>
      <c r="E616">
        <f>LEFT(D616,2)&amp;":"&amp;MID(D616,3,2)&amp;":"&amp;MID(D616,5,2)&amp;":"&amp;MID(D616,7,2)&amp;":"&amp;MID(D616,9,2)&amp;":"&amp;RIGHT(D616,2)</f>
        <v/>
      </c>
      <c r="H616" t="inlineStr">
        <is>
          <t>CF611735FD988EDB</t>
        </is>
      </c>
      <c r="I616">
        <f>IFERROR(_xlfn.IFNA(INDEX(Sensors_MANU!$C$2:$C$4692,MATCH($D616,Sensors_MANU!$B$2:$B$4692,0)),INDEX(Sensors_MANU!$C$2:$C$4692,MATCH($P616,Sensors_MANU!$A$2:$A$4692,0))),"")</f>
        <v/>
      </c>
      <c r="J616">
        <f>IFERROR(_xlfn.IFNA(INDEX(Sensors_MANU!$D$2:$D$4692,MATCH($D616,Sensors_MANU!$B$2:$B$4692,0)),INDEX(Sensors_MANU!$D$2:$D$4692,MATCH($P616,Sensors_MANU!$A$2:$A$4692,0))),"")</f>
        <v/>
      </c>
      <c r="K616" s="35" t="n"/>
      <c r="L616" s="35" t="n"/>
      <c r="M616" s="35" t="n"/>
      <c r="N616" s="99">
        <f>IFERROR(INDEX(Sensors_MANU!$G$2:$G$4692,MATCH($P616,Sensors_MANU!$A$2:$A$4692,0)),)</f>
        <v/>
      </c>
      <c r="O616" s="6" t="inlineStr">
        <is>
          <t>v16</t>
        </is>
      </c>
      <c r="P616" t="n">
        <v>4978701</v>
      </c>
    </row>
    <row r="617">
      <c r="A617" s="32">
        <f>IFERROR(_xlfn.IFNA(INDEX(Sensors_MANU!$E$2:$E$4692,MATCH($D617,Sensors_MANU!$B$2:$B$4692,0)),INDEX(Sensors_MANU!$E$2:$E$4692,MATCH($P617,Sensors_MANU!$A$2:$A$4692,0))),"")</f>
        <v/>
      </c>
      <c r="B617" s="24">
        <f>IFERROR(INDEX(Companies!$A$3:$A$101,MATCH(A617,Companies!$B$3:$B$101,0)),"")</f>
        <v/>
      </c>
      <c r="C617">
        <f>IFERROR(_xlfn.IFNA(INDEX(Sensors_MANU!$F$2:$F$4692,MATCH($D617,Sensors_MANU!$B$2:$B$4692,0)),INDEX(Sensors_MANU!$F$2:$F$4692,MATCH($P617,Sensors_MANU!$A$2:$A$4692,0))),"")</f>
        <v/>
      </c>
      <c r="D617" t="inlineStr">
        <is>
          <t>FF547F64CC56</t>
        </is>
      </c>
      <c r="E617" s="24">
        <f>LEFT(D617,2)&amp;":"&amp;MID(D617,3,2)&amp;":"&amp;MID(D617,5,2)&amp;":"&amp;MID(D617,7,2)&amp;":"&amp;MID(D617,9,2)&amp;":"&amp;RIGHT(D617,2)</f>
        <v/>
      </c>
      <c r="F617" s="29" t="n">
        <v>44910</v>
      </c>
      <c r="G617" s="29" t="inlineStr">
        <is>
          <t>Viezo</t>
        </is>
      </c>
      <c r="H617" t="inlineStr">
        <is>
          <t>BEE8FEACAF6FD4BB</t>
        </is>
      </c>
      <c r="I617">
        <f>IFERROR(_xlfn.IFNA(INDEX(Sensors_MANU!$C$2:$C$4692,MATCH($D617,Sensors_MANU!$B$2:$B$4692,0)),INDEX(Sensors_MANU!$C$2:$C$4692,MATCH($P617,Sensors_MANU!$A$2:$A$4692,0))),"")</f>
        <v/>
      </c>
      <c r="J617">
        <f>IFERROR(_xlfn.IFNA(INDEX(Sensors_MANU!$D$2:$D$4692,MATCH($D617,Sensors_MANU!$B$2:$B$4692,0)),INDEX(Sensors_MANU!$D$2:$D$4692,MATCH($P617,Sensors_MANU!$A$2:$A$4692,0))),"")</f>
        <v/>
      </c>
      <c r="K617" s="27" t="inlineStr">
        <is>
          <t>31833916501-7</t>
        </is>
      </c>
      <c r="L617" s="27" t="inlineStr">
        <is>
          <t>1R</t>
        </is>
      </c>
      <c r="O617" s="6" t="inlineStr">
        <is>
          <t>V25</t>
        </is>
      </c>
    </row>
    <row r="618">
      <c r="B618" s="24">
        <f>IFERROR(INDEX(Companies!$A$3:$A$101,MATCH(A618,Companies!$B$3:$B$101,0)),"")</f>
        <v/>
      </c>
      <c r="C618">
        <f>IFERROR(_xlfn.IFNA(INDEX(Sensors_MANU!$F$2:$F$4692,MATCH($D618,Sensors_MANU!$B$2:$B$4692,0)),INDEX(Sensors_MANU!$F$2:$F$4692,MATCH($P618,Sensors_MANU!$A$2:$A$4692,0))),"")</f>
        <v/>
      </c>
      <c r="D618" t="inlineStr">
        <is>
          <t>F64CB6175D08</t>
        </is>
      </c>
      <c r="E618">
        <f>LEFT(D618,2)&amp;":"&amp;MID(D618,3,2)&amp;":"&amp;MID(D618,5,2)&amp;":"&amp;MID(D618,7,2)&amp;":"&amp;MID(D618,9,2)&amp;":"&amp;RIGHT(D618,2)</f>
        <v/>
      </c>
      <c r="H618" t="inlineStr">
        <is>
          <t>067C94FB48C74631</t>
        </is>
      </c>
      <c r="I618">
        <f>IFERROR(_xlfn.IFNA(INDEX(Sensors_MANU!$C$2:$C$4692,MATCH($D618,Sensors_MANU!$B$2:$B$4692,0)),INDEX(Sensors_MANU!$C$2:$C$4692,MATCH($P618,Sensors_MANU!$A$2:$A$4692,0))),"")</f>
        <v/>
      </c>
      <c r="J618">
        <f>IFERROR(_xlfn.IFNA(INDEX(Sensors_MANU!$D$2:$D$4692,MATCH($D618,Sensors_MANU!$B$2:$B$4692,0)),INDEX(Sensors_MANU!$D$2:$D$4692,MATCH($P618,Sensors_MANU!$A$2:$A$4692,0))),"")</f>
        <v/>
      </c>
      <c r="M618" s="27" t="n"/>
      <c r="O618" s="6" t="inlineStr">
        <is>
          <t>v16</t>
        </is>
      </c>
      <c r="P618" t="n">
        <v>4978573</v>
      </c>
    </row>
    <row r="619">
      <c r="A619" s="32">
        <f>IFERROR(_xlfn.IFNA(INDEX(Sensors_MANU!$E$2:$E$4692,MATCH($D619,Sensors_MANU!$B$2:$B$4692,0)),INDEX(Sensors_MANU!$E$2:$E$4692,MATCH($P619,Sensors_MANU!$A$2:$A$4692,0))),"")</f>
        <v/>
      </c>
      <c r="B619" s="24">
        <f>IFERROR(INDEX(Companies!$A$3:$A$101,MATCH(A619,Companies!$B$3:$B$101,0)),"")</f>
        <v/>
      </c>
      <c r="C619">
        <f>IFERROR(_xlfn.IFNA(INDEX(Sensors_MANU!$F$2:$F$4692,MATCH($D619,Sensors_MANU!$B$2:$B$4692,0)),INDEX(Sensors_MANU!$F$2:$F$4692,MATCH($P619,Sensors_MANU!$A$2:$A$4692,0))),"")</f>
        <v/>
      </c>
      <c r="D619" t="inlineStr">
        <is>
          <t>F2DBDCD72E11</t>
        </is>
      </c>
      <c r="E619">
        <f>LEFT(D619,2)&amp;":"&amp;MID(D619,3,2)&amp;":"&amp;MID(D619,5,2)&amp;":"&amp;MID(D619,7,2)&amp;":"&amp;MID(D619,9,2)&amp;":"&amp;RIGHT(D619,2)</f>
        <v/>
      </c>
      <c r="H619" t="inlineStr">
        <is>
          <t>BA1AE7FC439023BB</t>
        </is>
      </c>
      <c r="I619">
        <f>IFERROR(_xlfn.IFNA(INDEX(Sensors_MANU!$C$2:$C$4692,MATCH($D619,Sensors_MANU!$B$2:$B$4692,0)),INDEX(Sensors_MANU!$C$2:$C$4692,MATCH($P619,Sensors_MANU!$A$2:$A$4692,0))),"")</f>
        <v/>
      </c>
      <c r="J619">
        <f>IFERROR(_xlfn.IFNA(INDEX(Sensors_MANU!$D$2:$D$4692,MATCH($D619,Sensors_MANU!$B$2:$B$4692,0)),INDEX(Sensors_MANU!$D$2:$D$4692,MATCH($P619,Sensors_MANU!$A$2:$A$4692,0))),"")</f>
        <v/>
      </c>
      <c r="M619" s="27" t="n"/>
      <c r="N619" s="99">
        <f>IFERROR(INDEX(Sensors_MANU!$G$2:$G$4692,MATCH($P619,Sensors_MANU!$A$2:$A$4692,0)),)</f>
        <v/>
      </c>
      <c r="O619" s="6" t="inlineStr">
        <is>
          <t>v16</t>
        </is>
      </c>
      <c r="P619" t="n">
        <v>4978459</v>
      </c>
    </row>
    <row r="620">
      <c r="A620" s="32">
        <f>IFERROR(_xlfn.IFNA(INDEX(Sensors_MANU!$E$2:$E$4692,MATCH($D620,Sensors_MANU!$B$2:$B$4692,0)),INDEX(Sensors_MANU!$E$2:$E$4692,MATCH($P620,Sensors_MANU!$A$2:$A$4692,0))),"")</f>
        <v/>
      </c>
      <c r="B620" s="24">
        <f>IFERROR(INDEX(Companies!$A$3:$A$101,MATCH(A620,Companies!$B$3:$B$101,0)),"")</f>
        <v/>
      </c>
      <c r="C620">
        <f>IFERROR(_xlfn.IFNA(INDEX(Sensors_MANU!$F$2:$F$4692,MATCH($D620,Sensors_MANU!$B$2:$B$4692,0)),INDEX(Sensors_MANU!$F$2:$F$4692,MATCH($P620,Sensors_MANU!$A$2:$A$4692,0))),"")</f>
        <v/>
      </c>
      <c r="D620" t="inlineStr">
        <is>
          <t>C4488DB681D4</t>
        </is>
      </c>
      <c r="E620" s="24">
        <f>LEFT(D620,2)&amp;":"&amp;MID(D620,3,2)&amp;":"&amp;MID(D620,5,2)&amp;":"&amp;MID(D620,7,2)&amp;":"&amp;MID(D620,9,2)&amp;":"&amp;RIGHT(D620,2)</f>
        <v/>
      </c>
      <c r="H620" t="inlineStr">
        <is>
          <t>6D7CB915E7D46341</t>
        </is>
      </c>
      <c r="I620">
        <f>IFERROR(_xlfn.IFNA(INDEX(Sensors_MANU!$C$2:$C$4692,MATCH($D620,Sensors_MANU!$B$2:$B$4692,0)),INDEX(Sensors_MANU!$C$2:$C$4692,MATCH($P620,Sensors_MANU!$A$2:$A$4692,0))),"")</f>
        <v/>
      </c>
      <c r="J620">
        <f>IFERROR(_xlfn.IFNA(INDEX(Sensors_MANU!$D$2:$D$4692,MATCH($D620,Sensors_MANU!$B$2:$B$4692,0)),INDEX(Sensors_MANU!$D$2:$D$4692,MATCH($P620,Sensors_MANU!$A$2:$A$4692,0))),"")</f>
        <v/>
      </c>
      <c r="N620" s="99">
        <f>IFERROR(INDEX(Sensors_MANU!$G$2:$G$4692,MATCH($P620,Sensors_MANU!$A$2:$A$4692,0)),)</f>
        <v/>
      </c>
      <c r="O620" s="6" t="inlineStr">
        <is>
          <t>v17</t>
        </is>
      </c>
      <c r="P620" t="n">
        <v>4978590</v>
      </c>
    </row>
    <row r="621">
      <c r="A621" s="32">
        <f>IFERROR(_xlfn.IFNA(INDEX(Sensors_MANU!$E$2:$E$4692,MATCH($D621,Sensors_MANU!$B$2:$B$4692,0)),INDEX(Sensors_MANU!$E$2:$E$4692,MATCH($P621,Sensors_MANU!$A$2:$A$4692,0))),"")</f>
        <v/>
      </c>
      <c r="B621" s="24">
        <f>IFERROR(INDEX(Companies!$A$3:$A$101,MATCH(A621,Companies!$B$3:$B$101,0)),"")</f>
        <v/>
      </c>
      <c r="D621" t="inlineStr">
        <is>
          <t>EAA597B34ABB</t>
        </is>
      </c>
      <c r="E621">
        <f>LEFT(D621,2)&amp;":"&amp;MID(D621,3,2)&amp;":"&amp;MID(D621,5,2)&amp;":"&amp;MID(D621,7,2)&amp;":"&amp;MID(D621,9,2)&amp;":"&amp;RIGHT(D621,2)</f>
        <v/>
      </c>
      <c r="F621" s="29" t="n">
        <v>44910</v>
      </c>
      <c r="G621" s="29" t="inlineStr">
        <is>
          <t>Viezo</t>
        </is>
      </c>
      <c r="H621" t="inlineStr">
        <is>
          <t>51F6D85FA8601329</t>
        </is>
      </c>
      <c r="I621">
        <f>IFERROR(_xlfn.IFNA(INDEX(Sensors_MANU!$C$2:$C$4692,MATCH($D621,Sensors_MANU!$B$2:$B$4692,0)),INDEX(Sensors_MANU!$C$2:$C$4692,MATCH($P621,Sensors_MANU!$A$2:$A$4692,0))),"")</f>
        <v/>
      </c>
      <c r="J621">
        <f>IFERROR(_xlfn.IFNA(INDEX(Sensors_MANU!$D$2:$D$4692,MATCH($D621,Sensors_MANU!$B$2:$B$4692,0)),INDEX(Sensors_MANU!$D$2:$D$4692,MATCH($P621,Sensors_MANU!$A$2:$A$4692,0))),"")</f>
        <v/>
      </c>
      <c r="K621" s="27" t="inlineStr">
        <is>
          <t>33854956699-4</t>
        </is>
      </c>
      <c r="L621" s="27" t="inlineStr">
        <is>
          <t>2b</t>
        </is>
      </c>
      <c r="M621" s="61" t="inlineStr">
        <is>
          <t>88220141</t>
        </is>
      </c>
    </row>
    <row r="622">
      <c r="A622" s="32" t="inlineStr">
        <is>
          <t>VIEZO</t>
        </is>
      </c>
      <c r="B622" s="24">
        <f>IFERROR(INDEX(Companies!$A$3:$A$101,MATCH(A622,Companies!$B$3:$B$101,0)),"")</f>
        <v/>
      </c>
      <c r="C622">
        <f>IFERROR(_xlfn.IFNA(INDEX(Sensors_MANU!$F$2:$F$4692,MATCH($D622,Sensors_MANU!$B$2:$B$4692,0)),INDEX(Sensors_MANU!$F$2:$F$4692,MATCH($P622,Sensors_MANU!$A$2:$A$4692,0))),"")</f>
        <v/>
      </c>
      <c r="D622" t="inlineStr">
        <is>
          <t>D45A31B3747B</t>
        </is>
      </c>
      <c r="E622" s="24">
        <f>LEFT(D622,2)&amp;":"&amp;MID(D622,3,2)&amp;":"&amp;MID(D622,5,2)&amp;":"&amp;MID(D622,7,2)&amp;":"&amp;MID(D622,9,2)&amp;":"&amp;RIGHT(D622,2)</f>
        <v/>
      </c>
      <c r="H622" t="inlineStr">
        <is>
          <t>CA1FEA59ADA21456</t>
        </is>
      </c>
      <c r="I622">
        <f>IFERROR(_xlfn.IFNA(INDEX(Sensors_MANU!$C$2:$C$4692,MATCH($D622,Sensors_MANU!$B$2:$B$4692,0)),INDEX(Sensors_MANU!$C$2:$C$4692,MATCH($P622,Sensors_MANU!$A$2:$A$4692,0))),"")</f>
        <v/>
      </c>
      <c r="J622" t="inlineStr">
        <is>
          <t>PR2203-434</t>
        </is>
      </c>
      <c r="N622" s="99">
        <f>IFERROR(INDEX(Sensors_MANU!$G$2:$G$4692,MATCH($P622,Sensors_MANU!$A$2:$A$4692,0)),)</f>
        <v/>
      </c>
      <c r="O622" s="6" t="inlineStr">
        <is>
          <t>v17</t>
        </is>
      </c>
      <c r="P622" t="n">
        <v>4978523</v>
      </c>
    </row>
    <row r="623">
      <c r="B623" s="24">
        <f>IFERROR(INDEX(Companies!$A$3:$A$101,MATCH(A623,Companies!$B$3:$B$101,0)),"")</f>
        <v/>
      </c>
      <c r="C623" t="inlineStr">
        <is>
          <t>cargo</t>
        </is>
      </c>
      <c r="D623" t="inlineStr">
        <is>
          <t>EB503EDADB1A</t>
        </is>
      </c>
      <c r="E623">
        <f>LEFT(D623,2)&amp;":"&amp;MID(D623,3,2)&amp;":"&amp;MID(D623,5,2)&amp;":"&amp;MID(D623,7,2)&amp;":"&amp;MID(D623,9,2)&amp;":"&amp;RIGHT(D623,2)</f>
        <v/>
      </c>
      <c r="H623" t="inlineStr">
        <is>
          <t>5956CC3DE3B0BC15</t>
        </is>
      </c>
      <c r="I623">
        <f>IFERROR(_xlfn.IFNA(INDEX(Sensors_MANU!$C$2:$C$4692,MATCH($D623,Sensors_MANU!$B$2:$B$4692,0)),INDEX(Sensors_MANU!$C$2:$C$4692,MATCH($P623,Sensors_MANU!$A$2:$A$4692,0))),"")</f>
        <v/>
      </c>
      <c r="J623">
        <f>IFERROR(_xlfn.IFNA(INDEX(Sensors_MANU!$D$2:$D$4692,MATCH($D623,Sensors_MANU!$B$2:$B$4692,0)),INDEX(Sensors_MANU!$D$2:$D$4692,MATCH($P623,Sensors_MANU!$A$2:$A$4692,0))),"")</f>
        <v/>
      </c>
      <c r="M623" s="27" t="n"/>
      <c r="O623" s="6" t="inlineStr">
        <is>
          <t>v17</t>
        </is>
      </c>
      <c r="P623" t="n">
        <v>4978540</v>
      </c>
    </row>
    <row r="624">
      <c r="A624" s="32" t="inlineStr">
        <is>
          <t>RENFE</t>
        </is>
      </c>
      <c r="B624" s="24">
        <f>IFERROR(INDEX(Companies!$A$3:$A$101,MATCH(A624,Companies!$B$3:$B$101,0)),"")</f>
        <v/>
      </c>
      <c r="C624">
        <f>IFERROR(_xlfn.IFNA(INDEX(Sensors_MANU!$F$2:$F$4692,MATCH($D624,Sensors_MANU!$B$2:$B$4692,0)),INDEX(Sensors_MANU!$F$2:$F$4692,MATCH($P624,Sensors_MANU!$A$2:$A$4692,0))),"")</f>
        <v/>
      </c>
      <c r="D624" t="inlineStr">
        <is>
          <t>F3B311683780</t>
        </is>
      </c>
      <c r="E624" s="24">
        <f>LEFT(D624,2)&amp;":"&amp;MID(D624,3,2)&amp;":"&amp;MID(D624,5,2)&amp;":"&amp;MID(D624,7,2)&amp;":"&amp;MID(D624,9,2)&amp;":"&amp;RIGHT(D624,2)</f>
        <v/>
      </c>
      <c r="F624" s="29" t="n">
        <v>45083</v>
      </c>
      <c r="G624" s="29" t="inlineStr">
        <is>
          <t>Renfe</t>
        </is>
      </c>
      <c r="H624" t="inlineStr">
        <is>
          <t>4FD518307BE447E9</t>
        </is>
      </c>
      <c r="I624">
        <f>IFERROR(_xlfn.IFNA(INDEX(Sensors_MANU!$C$2:$C$4692,MATCH($D624,Sensors_MANU!$B$2:$B$4692,0)),INDEX(Sensors_MANU!$C$2:$C$4692,MATCH($P624,Sensors_MANU!$A$2:$A$4692,0))),"")</f>
        <v/>
      </c>
      <c r="J624" s="64" t="inlineStr">
        <is>
          <t>PR2203-438</t>
        </is>
      </c>
      <c r="K624" s="27" t="n">
        <v>527015</v>
      </c>
      <c r="L624" s="27" t="inlineStr">
        <is>
          <t>1R</t>
        </is>
      </c>
      <c r="O624" s="6" t="inlineStr">
        <is>
          <t>V25</t>
        </is>
      </c>
    </row>
    <row r="625">
      <c r="A625" s="32">
        <f>IFERROR(_xlfn.IFNA(INDEX(Sensors_MANU!$E$2:$E$4692,MATCH($D625,Sensors_MANU!$B$2:$B$4692,0)),INDEX(Sensors_MANU!$E$2:$E$4692,MATCH($P625,Sensors_MANU!$A$2:$A$4692,0))),"")</f>
        <v/>
      </c>
      <c r="B625" s="24">
        <f>IFERROR(INDEX(Companies!$A$3:$A$101,MATCH(A625,Companies!$B$3:$B$101,0)),"")</f>
        <v/>
      </c>
      <c r="C625">
        <f>IFERROR(_xlfn.IFNA(INDEX(Sensors_MANU!$F$2:$F$4692,MATCH($D625,Sensors_MANU!$B$2:$B$4692,0)),INDEX(Sensors_MANU!$F$2:$F$4692,MATCH($P625,Sensors_MANU!$A$2:$A$4692,0))),"")</f>
        <v/>
      </c>
      <c r="D625" t="inlineStr">
        <is>
          <t>ED2024DFDB3E</t>
        </is>
      </c>
      <c r="E625" s="24">
        <f>LEFT(D625,2)&amp;":"&amp;MID(D625,3,2)&amp;":"&amp;MID(D625,5,2)&amp;":"&amp;MID(D625,7,2)&amp;":"&amp;MID(D625,9,2)&amp;":"&amp;RIGHT(D625,2)</f>
        <v/>
      </c>
      <c r="F625" s="29" t="n">
        <v>44888</v>
      </c>
      <c r="G625" s="29" t="inlineStr">
        <is>
          <t>SGL</t>
        </is>
      </c>
      <c r="H625" t="inlineStr">
        <is>
          <t>BEA54E188E12C9EC</t>
        </is>
      </c>
      <c r="I625">
        <f>IFERROR(_xlfn.IFNA(INDEX(Sensors_MANU!$C$2:$C$4692,MATCH($D625,Sensors_MANU!$B$2:$B$4692,0)),INDEX(Sensors_MANU!$C$2:$C$4692,MATCH($P625,Sensors_MANU!$A$2:$A$4692,0))),"")</f>
        <v/>
      </c>
      <c r="J625">
        <f>IFERROR(_xlfn.IFNA(INDEX(Sensors_MANU!$D$2:$D$4692,MATCH($D625,Sensors_MANU!$B$2:$B$4692,0)),INDEX(Sensors_MANU!$D$2:$D$4692,MATCH($P625,Sensors_MANU!$A$2:$A$4692,0))),"")</f>
        <v/>
      </c>
      <c r="K625" s="27" t="inlineStr">
        <is>
          <t>3780-3939-003-4</t>
        </is>
      </c>
      <c r="N625" s="97" t="inlineStr">
        <is>
          <t>The operator has the device or its lost (they paid for it), but we dont monitor it on Ubidots anymore.</t>
        </is>
      </c>
      <c r="O625" s="6" t="inlineStr">
        <is>
          <t>V25</t>
        </is>
      </c>
    </row>
    <row r="626">
      <c r="B626" s="24">
        <f>IFERROR(INDEX(Companies!$A$3:$A$101,MATCH(A626,Companies!$B$3:$B$101,0)),"")</f>
        <v/>
      </c>
      <c r="C626">
        <f>IFERROR(_xlfn.IFNA(INDEX(Sensors_MANU!$F$2:$F$4692,MATCH($D626,Sensors_MANU!$B$2:$B$4692,0)),INDEX(Sensors_MANU!$F$2:$F$4692,MATCH($P626,Sensors_MANU!$A$2:$A$4692,0))),"")</f>
        <v/>
      </c>
      <c r="D626" t="inlineStr">
        <is>
          <t>F58FEF0C769C</t>
        </is>
      </c>
      <c r="E626">
        <f>LEFT(D626,2)&amp;":"&amp;MID(D626,3,2)&amp;":"&amp;MID(D626,5,2)&amp;":"&amp;MID(D626,7,2)&amp;":"&amp;MID(D626,9,2)&amp;":"&amp;RIGHT(D626,2)</f>
        <v/>
      </c>
      <c r="H626" t="inlineStr">
        <is>
          <t>DA86703B082B95A5</t>
        </is>
      </c>
      <c r="I626">
        <f>IFERROR(_xlfn.IFNA(INDEX(Sensors_MANU!$C$2:$C$4692,MATCH($D626,Sensors_MANU!$B$2:$B$4692,0)),INDEX(Sensors_MANU!$C$2:$C$4692,MATCH($P626,Sensors_MANU!$A$2:$A$4692,0))),"")</f>
        <v/>
      </c>
      <c r="J626">
        <f>IFERROR(_xlfn.IFNA(INDEX(Sensors_MANU!$D$2:$D$4692,MATCH($D626,Sensors_MANU!$B$2:$B$4692,0)),INDEX(Sensors_MANU!$D$2:$D$4692,MATCH($P626,Sensors_MANU!$A$2:$A$4692,0))),"")</f>
        <v/>
      </c>
      <c r="M626" s="27" t="n"/>
      <c r="O626" s="6" t="inlineStr">
        <is>
          <t>v16</t>
        </is>
      </c>
      <c r="P626" t="n">
        <v>4978562</v>
      </c>
    </row>
    <row r="627">
      <c r="A627" s="32">
        <f>IFERROR(_xlfn.IFNA(INDEX(Sensors_MANU!$E$2:$E$4692,MATCH($D627,Sensors_MANU!$B$2:$B$4692,0)),INDEX(Sensors_MANU!$E$2:$E$4692,MATCH($P627,Sensors_MANU!$A$2:$A$4692,0))),"")</f>
        <v/>
      </c>
      <c r="B627" s="24">
        <f>IFERROR(INDEX(Companies!$A$3:$A$101,MATCH(A627,Companies!$B$3:$B$101,0)),"")</f>
        <v/>
      </c>
      <c r="C627">
        <f>IFERROR(_xlfn.IFNA(INDEX(Sensors_MANU!$F$2:$F$4692,MATCH($D627,Sensors_MANU!$B$2:$B$4692,0)),INDEX(Sensors_MANU!$F$2:$F$4692,MATCH($P627,Sensors_MANU!$A$2:$A$4692,0))),"")</f>
        <v/>
      </c>
      <c r="D627" t="inlineStr">
        <is>
          <t>DE58012AF2E9</t>
        </is>
      </c>
      <c r="E627">
        <f>LEFT(D627,2)&amp;":"&amp;MID(D627,3,2)&amp;":"&amp;MID(D627,5,2)&amp;":"&amp;MID(D627,7,2)&amp;":"&amp;MID(D627,9,2)&amp;":"&amp;RIGHT(D627,2)</f>
        <v/>
      </c>
      <c r="F627" s="29" t="n">
        <v>44910</v>
      </c>
      <c r="G627" s="29" t="inlineStr">
        <is>
          <t>Viezo</t>
        </is>
      </c>
      <c r="H627" t="inlineStr">
        <is>
          <t>2D01132FAFDAA25D</t>
        </is>
      </c>
      <c r="I627">
        <f>IFERROR(_xlfn.IFNA(INDEX(Sensors_MANU!$C$2:$C$4692,MATCH($D627,Sensors_MANU!$B$2:$B$4692,0)),INDEX(Sensors_MANU!$C$2:$C$4692,MATCH($P627,Sensors_MANU!$A$2:$A$4692,0))),"")</f>
        <v/>
      </c>
      <c r="J627">
        <f>IFERROR(_xlfn.IFNA(INDEX(Sensors_MANU!$D$2:$D$4692,MATCH($D627,Sensors_MANU!$B$2:$B$4692,0)),INDEX(Sensors_MANU!$D$2:$D$4692,MATCH($P627,Sensors_MANU!$A$2:$A$4692,0))),"")</f>
        <v/>
      </c>
      <c r="K627" s="27" t="inlineStr">
        <is>
          <t>31834589939-3</t>
        </is>
      </c>
      <c r="L627" s="27" t="inlineStr">
        <is>
          <t>3L</t>
        </is>
      </c>
      <c r="M627" s="27" t="n"/>
      <c r="N627" s="99">
        <f>IFERROR(INDEX(Sensors_MANU!$G$2:$G$4692,MATCH($P627,Sensors_MANU!$A$2:$A$4692,0)),)</f>
        <v/>
      </c>
      <c r="O627" s="6" t="inlineStr">
        <is>
          <t>v16</t>
        </is>
      </c>
      <c r="P627" t="n">
        <v>4978870</v>
      </c>
    </row>
    <row r="628">
      <c r="A628" s="32">
        <f>IFERROR(_xlfn.IFNA(INDEX(Sensors_MANU!$E$2:$E$4692,MATCH($D628,Sensors_MANU!$B$2:$B$4692,0)),INDEX(Sensors_MANU!$E$2:$E$4692,MATCH($P628,Sensors_MANU!$A$2:$A$4692,0))),"")</f>
        <v/>
      </c>
      <c r="B628" s="24">
        <f>IFERROR(INDEX(Companies!$A$3:$A$101,MATCH(A628,Companies!$B$3:$B$101,0)),"")</f>
        <v/>
      </c>
      <c r="C628">
        <f>IFERROR(_xlfn.IFNA(INDEX(Sensors_MANU!$F$2:$F$4692,MATCH($D628,Sensors_MANU!$B$2:$B$4692,0)),INDEX(Sensors_MANU!$F$2:$F$4692,MATCH($P628,Sensors_MANU!$A$2:$A$4692,0))),"")</f>
        <v/>
      </c>
      <c r="D628" t="inlineStr">
        <is>
          <t>FC8DAB024ABB</t>
        </is>
      </c>
      <c r="E628">
        <f>LEFT(D628,2)&amp;":"&amp;MID(D628,3,2)&amp;":"&amp;MID(D628,5,2)&amp;":"&amp;MID(D628,7,2)&amp;":"&amp;MID(D628,9,2)&amp;":"&amp;RIGHT(D628,2)</f>
        <v/>
      </c>
      <c r="F628" s="29" t="n">
        <v>44910</v>
      </c>
      <c r="G628" s="29" t="inlineStr">
        <is>
          <t>Viezo</t>
        </is>
      </c>
      <c r="H628" t="inlineStr">
        <is>
          <t>C2577A8A0A12941C</t>
        </is>
      </c>
      <c r="I628">
        <f>IFERROR(_xlfn.IFNA(INDEX(Sensors_MANU!$C$2:$C$4692,MATCH($D628,Sensors_MANU!$B$2:$B$4692,0)),INDEX(Sensors_MANU!$C$2:$C$4692,MATCH($P628,Sensors_MANU!$A$2:$A$4692,0))),"")</f>
        <v/>
      </c>
      <c r="J628">
        <f>IFERROR(_xlfn.IFNA(INDEX(Sensors_MANU!$D$2:$D$4692,MATCH($D628,Sensors_MANU!$B$2:$B$4692,0)),INDEX(Sensors_MANU!$D$2:$D$4692,MATCH($P628,Sensors_MANU!$A$2:$A$4692,0))),"")</f>
        <v/>
      </c>
      <c r="K628" s="27" t="inlineStr">
        <is>
          <t>31834589939-3</t>
        </is>
      </c>
      <c r="L628" s="27" t="inlineStr">
        <is>
          <t>1R</t>
        </is>
      </c>
      <c r="M628" s="27" t="n"/>
      <c r="N628" s="99">
        <f>IFERROR(INDEX(Sensors_MANU!$G$2:$G$4692,MATCH($P628,Sensors_MANU!$A$2:$A$4692,0)),)</f>
        <v/>
      </c>
      <c r="O628" s="6" t="inlineStr">
        <is>
          <t>v16</t>
        </is>
      </c>
      <c r="P628" t="n">
        <v>4978555</v>
      </c>
    </row>
    <row r="629">
      <c r="A629" s="32">
        <f>IFERROR(_xlfn.IFNA(INDEX(Sensors_MANU!$E$2:$E$4692,MATCH($D629,Sensors_MANU!$B$2:$B$4692,0)),INDEX(Sensors_MANU!$E$2:$E$4692,MATCH($P629,Sensors_MANU!$A$2:$A$4692,0))),"")</f>
        <v/>
      </c>
      <c r="B629" s="24">
        <f>IFERROR(INDEX(Companies!$A$3:$A$101,MATCH(A629,Companies!$B$3:$B$101,0)),"")</f>
        <v/>
      </c>
      <c r="C629">
        <f>IFERROR(_xlfn.IFNA(INDEX(Sensors_MANU!$F$2:$F$4692,MATCH($D629,Sensors_MANU!$B$2:$B$4692,0)),INDEX(Sensors_MANU!$F$2:$F$4692,MATCH($P629,Sensors_MANU!$A$2:$A$4692,0))),"")</f>
        <v/>
      </c>
      <c r="D629" t="inlineStr">
        <is>
          <t>F6BAAA7E995F</t>
        </is>
      </c>
      <c r="E629" s="24">
        <f>LEFT(D629,2)&amp;":"&amp;MID(D629,3,2)&amp;":"&amp;MID(D629,5,2)&amp;":"&amp;MID(D629,7,2)&amp;":"&amp;MID(D629,9,2)&amp;":"&amp;RIGHT(D629,2)</f>
        <v/>
      </c>
      <c r="H629" t="inlineStr">
        <is>
          <t>60B3859D72D309D1</t>
        </is>
      </c>
      <c r="I629">
        <f>IFERROR(_xlfn.IFNA(INDEX(Sensors_MANU!$C$2:$C$4692,MATCH($D629,Sensors_MANU!$B$2:$B$4692,0)),INDEX(Sensors_MANU!$C$2:$C$4692,MATCH($P629,Sensors_MANU!$A$2:$A$4692,0))),"")</f>
        <v/>
      </c>
      <c r="J629" s="64">
        <f>IFERROR(_xlfn.IFNA(INDEX(Sensors_MANU!$D$2:$D$4692,MATCH($D629,Sensors_MANU!$B$2:$B$4692,0)),INDEX(Sensors_MANU!$D$2:$D$4692,MATCH($P629,Sensors_MANU!$A$2:$A$4692,0))),"")</f>
        <v/>
      </c>
      <c r="K629" s="27" t="inlineStr">
        <is>
          <t>43714378393-8</t>
        </is>
      </c>
      <c r="L629" s="27" t="inlineStr">
        <is>
          <t>1R</t>
        </is>
      </c>
      <c r="N629" s="99">
        <f>IFERROR(INDEX(Sensors_MANU!$G$2:$G$4692,MATCH($P629,Sensors_MANU!$A$2:$A$4692,0)),)</f>
        <v/>
      </c>
      <c r="O629" s="6" t="inlineStr">
        <is>
          <t>v17</t>
        </is>
      </c>
      <c r="P629" t="n">
        <v>4978464</v>
      </c>
    </row>
    <row r="630">
      <c r="A630" s="32">
        <f>IFERROR(_xlfn.IFNA(INDEX(Sensors_MANU!$E$2:$E$4692,MATCH($D630,Sensors_MANU!$B$2:$B$4692,0)),INDEX(Sensors_MANU!$E$2:$E$4692,MATCH($P630,Sensors_MANU!$A$2:$A$4692,0))),"")</f>
        <v/>
      </c>
      <c r="B630" s="24">
        <f>IFERROR(INDEX(Companies!$A$3:$A$101,MATCH(A630,Companies!$B$3:$B$101,0)),"")</f>
        <v/>
      </c>
      <c r="C630">
        <f>IFERROR(_xlfn.IFNA(INDEX(Sensors_MANU!$F$2:$F$4692,MATCH($D630,Sensors_MANU!$B$2:$B$4692,0)),INDEX(Sensors_MANU!$F$2:$F$4692,MATCH($P630,Sensors_MANU!$A$2:$A$4692,0))),"")</f>
        <v/>
      </c>
      <c r="D630" t="inlineStr">
        <is>
          <t>FE381F39AED9</t>
        </is>
      </c>
      <c r="E630" s="24">
        <f>LEFT(D630,2)&amp;":"&amp;MID(D630,3,2)&amp;":"&amp;MID(D630,5,2)&amp;":"&amp;MID(D630,7,2)&amp;":"&amp;MID(D630,9,2)&amp;":"&amp;RIGHT(D630,2)</f>
        <v/>
      </c>
      <c r="H630" t="inlineStr">
        <is>
          <t>E762CDAE0995334D</t>
        </is>
      </c>
      <c r="I630">
        <f>IFERROR(_xlfn.IFNA(INDEX(Sensors_MANU!$C$2:$C$4692,MATCH($D630,Sensors_MANU!$B$2:$B$4692,0)),INDEX(Sensors_MANU!$C$2:$C$4692,MATCH($P630,Sensors_MANU!$A$2:$A$4692,0))),"")</f>
        <v/>
      </c>
      <c r="J630">
        <f>IFERROR(_xlfn.IFNA(INDEX(Sensors_MANU!$D$2:$D$4692,MATCH($D630,Sensors_MANU!$B$2:$B$4692,0)),INDEX(Sensors_MANU!$D$2:$D$4692,MATCH($P630,Sensors_MANU!$A$2:$A$4692,0))),"")</f>
        <v/>
      </c>
      <c r="N630" s="99">
        <f>IFERROR(INDEX(Sensors_MANU!$G$2:$G$4692,MATCH($P630,Sensors_MANU!$A$2:$A$4692,0)),)</f>
        <v/>
      </c>
      <c r="O630" s="6" t="inlineStr">
        <is>
          <t>v17</t>
        </is>
      </c>
      <c r="P630" t="n">
        <v>4978672</v>
      </c>
    </row>
    <row r="631">
      <c r="A631" s="32">
        <f>IFERROR(_xlfn.IFNA(INDEX(Sensors_MANU!$E$2:$E$4692,MATCH($D631,Sensors_MANU!$B$2:$B$4692,0)),INDEX(Sensors_MANU!$E$2:$E$4692,MATCH($P631,Sensors_MANU!$A$2:$A$4692,0))),"")</f>
        <v/>
      </c>
      <c r="B631" s="24">
        <f>IFERROR(INDEX(Companies!$A$3:$A$101,MATCH(A631,Companies!$B$3:$B$101,0)),"")</f>
        <v/>
      </c>
      <c r="C631">
        <f>IFERROR(_xlfn.IFNA(INDEX(Sensors_MANU!$F$2:$F$4692,MATCH($D631,Sensors_MANU!$B$2:$B$4692,0)),INDEX(Sensors_MANU!$F$2:$F$4692,MATCH($P631,Sensors_MANU!$A$2:$A$4692,0))),"")</f>
        <v/>
      </c>
      <c r="D631" t="inlineStr">
        <is>
          <t>F7DEA20C8D0D</t>
        </is>
      </c>
      <c r="E631" s="24">
        <f>LEFT(D631,2)&amp;":"&amp;MID(D631,3,2)&amp;":"&amp;MID(D631,5,2)&amp;":"&amp;MID(D631,7,2)&amp;":"&amp;MID(D631,9,2)&amp;":"&amp;RIGHT(D631,2)</f>
        <v/>
      </c>
      <c r="H631" t="inlineStr">
        <is>
          <t>20958DA1CD6C961F</t>
        </is>
      </c>
      <c r="I631">
        <f>IFERROR(_xlfn.IFNA(INDEX(Sensors_MANU!$C$2:$C$4692,MATCH($D631,Sensors_MANU!$B$2:$B$4692,0)),INDEX(Sensors_MANU!$C$2:$C$4692,MATCH($P631,Sensors_MANU!$A$2:$A$4692,0))),"")</f>
        <v/>
      </c>
      <c r="J631" s="25">
        <f>IFERROR(_xlfn.IFNA(INDEX(Sensors_MANU!$D$2:$D$4692,MATCH($D631,Sensors_MANU!$B$2:$B$4692,0)),INDEX(Sensors_MANU!$D$2:$D$4692,MATCH($P631,Sensors_MANU!$A$2:$A$4692,0))),"")</f>
        <v/>
      </c>
      <c r="N631" s="99">
        <f>IFERROR(INDEX(Sensors_MANU!$G$2:$G$4692,MATCH($P631,Sensors_MANU!$A$2:$A$4692,0)),)</f>
        <v/>
      </c>
      <c r="O631" s="6" t="inlineStr">
        <is>
          <t>v17</t>
        </is>
      </c>
      <c r="P631" t="n">
        <v>4978428</v>
      </c>
    </row>
    <row r="632">
      <c r="A632" s="32">
        <f>IFERROR(_xlfn.IFNA(INDEX(Sensors_MANU!$E$2:$E$4692,MATCH($D632,Sensors_MANU!$B$2:$B$4692,0)),INDEX(Sensors_MANU!$E$2:$E$4692,MATCH($P632,Sensors_MANU!$A$2:$A$4692,0))),"")</f>
        <v/>
      </c>
      <c r="B632" s="24">
        <f>IFERROR(INDEX(Companies!$A$3:$A$101,MATCH(A632,Companies!$B$3:$B$101,0)),"")</f>
        <v/>
      </c>
      <c r="C632">
        <f>IFERROR(_xlfn.IFNA(INDEX(Sensors_MANU!$F$2:$F$4692,MATCH($D632,Sensors_MANU!$B$2:$B$4692,0)),INDEX(Sensors_MANU!$F$2:$F$4692,MATCH($P632,Sensors_MANU!$A$2:$A$4692,0))),"")</f>
        <v/>
      </c>
      <c r="D632" t="inlineStr">
        <is>
          <t>D763A181CFA3</t>
        </is>
      </c>
      <c r="E632">
        <f>LEFT(D632,2)&amp;":"&amp;MID(D632,3,2)&amp;":"&amp;MID(D632,5,2)&amp;":"&amp;MID(D632,7,2)&amp;":"&amp;MID(D632,9,2)&amp;":"&amp;RIGHT(D632,2)</f>
        <v/>
      </c>
      <c r="F632" s="29" t="n">
        <v>44964</v>
      </c>
      <c r="G632" s="29" t="inlineStr">
        <is>
          <t>Renfe</t>
        </is>
      </c>
      <c r="H632" t="inlineStr">
        <is>
          <t>65FB8A4BDBDF7559</t>
        </is>
      </c>
      <c r="I632">
        <f>IFERROR(_xlfn.IFNA(INDEX(Sensors_MANU!$C$2:$C$4692,MATCH($D632,Sensors_MANU!$B$2:$B$4692,0)),INDEX(Sensors_MANU!$C$2:$C$4692,MATCH($P632,Sensors_MANU!$A$2:$A$4692,0))),"")</f>
        <v/>
      </c>
      <c r="J632" s="68">
        <f>IFERROR(_xlfn.IFNA(INDEX(Sensors_MANU!$D$2:$D$4692,MATCH($D632,Sensors_MANU!$B$2:$B$4692,0)),INDEX(Sensors_MANU!$D$2:$D$4692,MATCH($P632,Sensors_MANU!$A$2:$A$4692,0))),"")</f>
        <v/>
      </c>
      <c r="K632" s="27" t="n">
        <v>529004</v>
      </c>
      <c r="L632" s="27" t="inlineStr">
        <is>
          <t>2L</t>
        </is>
      </c>
      <c r="M632" s="27" t="n"/>
      <c r="O632" s="6" t="inlineStr">
        <is>
          <t>v16</t>
        </is>
      </c>
      <c r="P632" t="n">
        <v>4978474</v>
      </c>
    </row>
    <row r="633">
      <c r="B633" s="24">
        <f>IFERROR(INDEX(Companies!$A$3:$A$101,MATCH(A633,Companies!$B$3:$B$101,0)),"")</f>
        <v/>
      </c>
      <c r="C633">
        <f>IFERROR(_xlfn.IFNA(INDEX(Sensors_MANU!$F$2:$F$4692,MATCH($D633,Sensors_MANU!$B$2:$B$4692,0)),INDEX(Sensors_MANU!$F$2:$F$4692,MATCH($P633,Sensors_MANU!$A$2:$A$4692,0))),"")</f>
        <v/>
      </c>
      <c r="D633" s="25" t="inlineStr">
        <is>
          <t>D2DE6FA9796A</t>
        </is>
      </c>
      <c r="E633" s="24">
        <f>LEFT(D633,2)&amp;":"&amp;MID(D633,3,2)&amp;":"&amp;MID(D633,5,2)&amp;":"&amp;MID(D633,7,2)&amp;":"&amp;MID(D633,9,2)&amp;":"&amp;RIGHT(D633,2)</f>
        <v/>
      </c>
      <c r="H633" t="inlineStr">
        <is>
          <t>20D3372DD4C710F3</t>
        </is>
      </c>
      <c r="I633">
        <f>IFERROR(_xlfn.IFNA(INDEX(Sensors_MANU!$C$2:$C$4692,MATCH($D633,Sensors_MANU!$B$2:$B$4692,0)),INDEX(Sensors_MANU!$C$2:$C$4692,MATCH($P633,Sensors_MANU!$A$2:$A$4692,0))),"")</f>
        <v/>
      </c>
      <c r="J633">
        <f>IFERROR(_xlfn.IFNA(INDEX(Sensors_MANU!$D$2:$D$4692,MATCH($D633,Sensors_MANU!$B$2:$B$4692,0)),INDEX(Sensors_MANU!$D$2:$D$4692,MATCH($P633,Sensors_MANU!$A$2:$A$4692,0))),"")</f>
        <v/>
      </c>
      <c r="O633" s="6" t="inlineStr">
        <is>
          <t>V23</t>
        </is>
      </c>
    </row>
    <row r="634">
      <c r="B634" s="24">
        <f>IFERROR(INDEX(Companies!$A$3:$A$101,MATCH(A634,Companies!$B$3:$B$101,0)),"")</f>
        <v/>
      </c>
      <c r="C634">
        <f>IFERROR(_xlfn.IFNA(INDEX(Sensors_MANU!$F$2:$F$4692,MATCH($D634,Sensors_MANU!$B$2:$B$4692,0)),INDEX(Sensors_MANU!$F$2:$F$4692,MATCH($P634,Sensors_MANU!$A$2:$A$4692,0))),"")</f>
        <v/>
      </c>
      <c r="D634" t="inlineStr">
        <is>
          <t>EC2D1E08BD84</t>
        </is>
      </c>
      <c r="E634" s="24">
        <f>LEFT(D634,2)&amp;":"&amp;MID(D634,3,2)&amp;":"&amp;MID(D634,5,2)&amp;":"&amp;MID(D634,7,2)&amp;":"&amp;MID(D634,9,2)&amp;":"&amp;RIGHT(D634,2)</f>
        <v/>
      </c>
      <c r="H634" t="inlineStr">
        <is>
          <t>9C105B7A9429BB62</t>
        </is>
      </c>
      <c r="I634">
        <f>IFERROR(_xlfn.IFNA(INDEX(Sensors_MANU!$C$2:$C$4692,MATCH($D634,Sensors_MANU!$B$2:$B$4692,0)),INDEX(Sensors_MANU!$C$2:$C$4692,MATCH($P634,Sensors_MANU!$A$2:$A$4692,0))),"")</f>
        <v/>
      </c>
      <c r="J634">
        <f>IFERROR(_xlfn.IFNA(INDEX(Sensors_MANU!$D$2:$D$4692,MATCH($D634,Sensors_MANU!$B$2:$B$4692,0)),INDEX(Sensors_MANU!$D$2:$D$4692,MATCH($P634,Sensors_MANU!$A$2:$A$4692,0))),"")</f>
        <v/>
      </c>
      <c r="N634" s="99">
        <f>IFERROR(INDEX(Sensors_MANU!$G$2:$G$4692,MATCH($P634,Sensors_MANU!$A$2:$A$4692,0)),)</f>
        <v/>
      </c>
      <c r="O634" s="6" t="inlineStr">
        <is>
          <t>v17</t>
        </is>
      </c>
      <c r="P634" t="n">
        <v>4978570</v>
      </c>
    </row>
    <row r="635">
      <c r="A635" s="32">
        <f>IFERROR(_xlfn.IFNA(INDEX(Sensors_MANU!$E$2:$E$4692,MATCH($D635,Sensors_MANU!$B$2:$B$4692,0)),INDEX(Sensors_MANU!$E$2:$E$4692,MATCH($P635,Sensors_MANU!$A$2:$A$4692,0))),"")</f>
        <v/>
      </c>
      <c r="B635" s="24">
        <f>IFERROR(INDEX(Companies!$A$3:$A$101,MATCH(A635,Companies!$B$3:$B$101,0)),"")</f>
        <v/>
      </c>
      <c r="C635">
        <f>IFERROR(_xlfn.IFNA(INDEX(Sensors_MANU!$F$2:$F$4692,MATCH($D635,Sensors_MANU!$B$2:$B$4692,0)),INDEX(Sensors_MANU!$F$2:$F$4692,MATCH($P635,Sensors_MANU!$A$2:$A$4692,0))),"")</f>
        <v/>
      </c>
      <c r="D635" t="inlineStr">
        <is>
          <t>CD393584802F</t>
        </is>
      </c>
      <c r="E635" s="24">
        <f>LEFT(D635,2)&amp;":"&amp;MID(D635,3,2)&amp;":"&amp;MID(D635,5,2)&amp;":"&amp;MID(D635,7,2)&amp;":"&amp;MID(D635,9,2)&amp;":"&amp;RIGHT(D635,2)</f>
        <v/>
      </c>
      <c r="F635" s="29" t="n">
        <v>44888</v>
      </c>
      <c r="G635" s="29" t="inlineStr">
        <is>
          <t>SGL</t>
        </is>
      </c>
      <c r="H635" t="inlineStr">
        <is>
          <t>7A3A4A7E2DCB9BB9</t>
        </is>
      </c>
      <c r="I635">
        <f>IFERROR(_xlfn.IFNA(INDEX(Sensors_MANU!$C$2:$C$4692,MATCH($D635,Sensors_MANU!$B$2:$B$4692,0)),INDEX(Sensors_MANU!$C$2:$C$4692,MATCH($P635,Sensors_MANU!$A$2:$A$4692,0))),"")</f>
        <v/>
      </c>
      <c r="J635">
        <f>IFERROR(_xlfn.IFNA(INDEX(Sensors_MANU!$D$2:$D$4692,MATCH($D635,Sensors_MANU!$B$2:$B$4692,0)),INDEX(Sensors_MANU!$D$2:$D$4692,MATCH($P635,Sensors_MANU!$A$2:$A$4692,0))),"")</f>
        <v/>
      </c>
      <c r="K635" s="27" t="inlineStr">
        <is>
          <t>3780-3939-003-4</t>
        </is>
      </c>
      <c r="N635" s="97" t="inlineStr">
        <is>
          <t>The operator has the device or its lost (they paid for it), but we dont monitor it on Ubidots anymore.</t>
        </is>
      </c>
      <c r="O635" s="6" t="inlineStr">
        <is>
          <t>V25</t>
        </is>
      </c>
    </row>
    <row r="636">
      <c r="A636" s="32" t="inlineStr">
        <is>
          <t>RAILRELEASE</t>
        </is>
      </c>
      <c r="B636" s="24">
        <f>IFERROR(INDEX(Companies!$A$3:$A$101,MATCH(A636,Companies!$B$3:$B$101,0)),"")</f>
        <v/>
      </c>
      <c r="C636" t="inlineStr">
        <is>
          <t>cargo</t>
        </is>
      </c>
      <c r="D636" t="inlineStr">
        <is>
          <t>E25D8DEE7CC0</t>
        </is>
      </c>
      <c r="E636">
        <f>LEFT(D636,2)&amp;":"&amp;MID(D636,3,2)&amp;":"&amp;MID(D636,5,2)&amp;":"&amp;MID(D636,7,2)&amp;":"&amp;MID(D636,9,2)&amp;":"&amp;RIGHT(D636,2)</f>
        <v/>
      </c>
      <c r="F636" s="29" t="n">
        <v>45064</v>
      </c>
      <c r="G636" s="29" t="inlineStr">
        <is>
          <t>Viezo</t>
        </is>
      </c>
      <c r="H636" t="inlineStr">
        <is>
          <t>5D367C1C0DFD7144</t>
        </is>
      </c>
      <c r="J636" t="inlineStr">
        <is>
          <t>PR2203-456</t>
        </is>
      </c>
      <c r="K636" s="27" t="inlineStr">
        <is>
          <t>37844576158-8</t>
        </is>
      </c>
      <c r="L636" s="27" t="inlineStr">
        <is>
          <t>1L</t>
        </is>
      </c>
      <c r="M636" s="27" t="n"/>
      <c r="N636" s="99">
        <f>IFERROR(INDEX(Sensors_MANU!$G$2:$G$4692,MATCH($P636,Sensors_MANU!$A$2:$A$4692,0)),)</f>
        <v/>
      </c>
      <c r="O636" s="6" t="inlineStr">
        <is>
          <t>v16</t>
        </is>
      </c>
      <c r="P636" t="n">
        <v>4978488</v>
      </c>
    </row>
    <row r="637">
      <c r="A637" s="32">
        <f>IFERROR(_xlfn.IFNA(INDEX(Sensors_MANU!$E$2:$E$4692,MATCH($D637,Sensors_MANU!$B$2:$B$4692,0)),INDEX(Sensors_MANU!$E$2:$E$4692,MATCH($P637,Sensors_MANU!$A$2:$A$4692,0))),"")</f>
        <v/>
      </c>
      <c r="B637" s="24">
        <f>IFERROR(INDEX(Companies!$A$3:$A$101,MATCH(A637,Companies!$B$3:$B$101,0)),"")</f>
        <v/>
      </c>
      <c r="C637">
        <f>IFERROR(_xlfn.IFNA(INDEX(Sensors_MANU!$F$2:$F$4692,MATCH($D637,Sensors_MANU!$B$2:$B$4692,0)),INDEX(Sensors_MANU!$F$2:$F$4692,MATCH($P637,Sensors_MANU!$A$2:$A$4692,0))),"")</f>
        <v/>
      </c>
      <c r="D637" t="inlineStr">
        <is>
          <t>ECC92488D94D</t>
        </is>
      </c>
      <c r="E637" s="24">
        <f>LEFT(D637,2)&amp;":"&amp;MID(D637,3,2)&amp;":"&amp;MID(D637,5,2)&amp;":"&amp;MID(D637,7,2)&amp;":"&amp;MID(D637,9,2)&amp;":"&amp;RIGHT(D637,2)</f>
        <v/>
      </c>
      <c r="F637" s="29" t="n">
        <v>44888</v>
      </c>
      <c r="G637" s="29" t="inlineStr">
        <is>
          <t>SGL</t>
        </is>
      </c>
      <c r="H637" t="inlineStr">
        <is>
          <t>5BED639EC4068CFB</t>
        </is>
      </c>
      <c r="I637">
        <f>IFERROR(_xlfn.IFNA(INDEX(Sensors_MANU!$C$2:$C$4692,MATCH($D637,Sensors_MANU!$B$2:$B$4692,0)),INDEX(Sensors_MANU!$C$2:$C$4692,MATCH($P637,Sensors_MANU!$A$2:$A$4692,0))),"")</f>
        <v/>
      </c>
      <c r="J637">
        <f>IFERROR(_xlfn.IFNA(INDEX(Sensors_MANU!$D$2:$D$4692,MATCH($D637,Sensors_MANU!$B$2:$B$4692,0)),INDEX(Sensors_MANU!$D$2:$D$4692,MATCH($P637,Sensors_MANU!$A$2:$A$4692,0))),"")</f>
        <v/>
      </c>
      <c r="K637" s="27" t="inlineStr">
        <is>
          <t>3780-3939-003-4</t>
        </is>
      </c>
      <c r="N637" s="97" t="inlineStr">
        <is>
          <t>The operator has the device or its lost (they paid for it), but we dont monitor it on Ubidots anymore.</t>
        </is>
      </c>
      <c r="O637" s="6" t="inlineStr">
        <is>
          <t>V25</t>
        </is>
      </c>
    </row>
    <row r="638">
      <c r="A638" s="32">
        <f>IFERROR(_xlfn.IFNA(INDEX(Sensors_MANU!$E$2:$E$4692,MATCH($D638,Sensors_MANU!$B$2:$B$4692,0)),INDEX(Sensors_MANU!$E$2:$E$4692,MATCH($P638,Sensors_MANU!$A$2:$A$4692,0))),"")</f>
        <v/>
      </c>
      <c r="B638" s="24">
        <f>IFERROR(INDEX(Companies!$A$3:$A$101,MATCH(A638,Companies!$B$3:$B$101,0)),"")</f>
        <v/>
      </c>
      <c r="C638">
        <f>IFERROR(_xlfn.IFNA(INDEX(Sensors_MANU!$F$2:$F$4692,MATCH($D638,Sensors_MANU!$B$2:$B$4692,0)),INDEX(Sensors_MANU!$F$2:$F$4692,MATCH($P638,Sensors_MANU!$A$2:$A$4692,0))),"")</f>
        <v/>
      </c>
      <c r="D638" t="inlineStr">
        <is>
          <t>E2E41BCBC94E</t>
        </is>
      </c>
      <c r="E638">
        <f>LEFT(D638,2)&amp;":"&amp;MID(D638,3,2)&amp;":"&amp;MID(D638,5,2)&amp;":"&amp;MID(D638,7,2)&amp;":"&amp;MID(D638,9,2)&amp;":"&amp;RIGHT(D638,2)</f>
        <v/>
      </c>
      <c r="F638" s="29" t="n">
        <v>44910</v>
      </c>
      <c r="G638" s="29" t="inlineStr">
        <is>
          <t>Viezo</t>
        </is>
      </c>
      <c r="H638" t="inlineStr">
        <is>
          <t>43E1D0A7ED2DD5C3</t>
        </is>
      </c>
      <c r="I638">
        <f>IFERROR(_xlfn.IFNA(INDEX(Sensors_MANU!$C$2:$C$4692,MATCH($D638,Sensors_MANU!$B$2:$B$4692,0)),INDEX(Sensors_MANU!$C$2:$C$4692,MATCH($P638,Sensors_MANU!$A$2:$A$4692,0))),"")</f>
        <v/>
      </c>
      <c r="J638">
        <f>IFERROR(_xlfn.IFNA(INDEX(Sensors_MANU!$D$2:$D$4692,MATCH($D638,Sensors_MANU!$B$2:$B$4692,0)),INDEX(Sensors_MANU!$D$2:$D$4692,MATCH($P638,Sensors_MANU!$A$2:$A$4692,0))),"")</f>
        <v/>
      </c>
      <c r="K638" s="27" t="inlineStr">
        <is>
          <t>31834575297-2</t>
        </is>
      </c>
      <c r="L638" s="27" t="inlineStr">
        <is>
          <t>1L</t>
        </is>
      </c>
      <c r="M638" s="27" t="n"/>
      <c r="N638" s="99">
        <f>IFERROR(INDEX(Sensors_MANU!$G$2:$G$4692,MATCH($P638,Sensors_MANU!$A$2:$A$4692,0)),)</f>
        <v/>
      </c>
      <c r="O638" s="6" t="inlineStr">
        <is>
          <t>v16</t>
        </is>
      </c>
      <c r="P638" t="n">
        <v>4978910</v>
      </c>
    </row>
    <row r="639">
      <c r="A639" s="32" t="inlineStr">
        <is>
          <t>CARGONET</t>
        </is>
      </c>
      <c r="B639" s="24">
        <f>IFERROR(INDEX(Companies!$A$3:$A$101,MATCH(A639,Companies!$B$3:$B$101,0)),"")</f>
        <v/>
      </c>
      <c r="C639">
        <f>IFERROR(_xlfn.IFNA(INDEX(Sensors_MANU!$F$2:$F$4692,MATCH($D639,Sensors_MANU!$B$2:$B$4692,0)),INDEX(Sensors_MANU!$F$2:$F$4692,MATCH($P639,Sensors_MANU!$A$2:$A$4692,0))),"")</f>
        <v/>
      </c>
      <c r="D639" t="inlineStr">
        <is>
          <t>D4CE56768682</t>
        </is>
      </c>
      <c r="E639" s="24">
        <f>LEFT(D639,2)&amp;":"&amp;MID(D639,3,2)&amp;":"&amp;MID(D639,5,2)&amp;":"&amp;MID(D639,7,2)&amp;":"&amp;MID(D639,9,2)&amp;":"&amp;RIGHT(D639,2)</f>
        <v/>
      </c>
      <c r="H639" t="inlineStr">
        <is>
          <t>58FAE2864FF88D2C</t>
        </is>
      </c>
      <c r="I639">
        <f>IFERROR(_xlfn.IFNA(INDEX(Sensors_MANU!$C$2:$C$4692,MATCH($D639,Sensors_MANU!$B$2:$B$4692,0)),INDEX(Sensors_MANU!$C$2:$C$4692,MATCH($P639,Sensors_MANU!$A$2:$A$4692,0))),"")</f>
        <v/>
      </c>
      <c r="J639" t="inlineStr">
        <is>
          <t>PR2203-459</t>
        </is>
      </c>
      <c r="K639" s="27" t="inlineStr">
        <is>
          <t>33764955324-1</t>
        </is>
      </c>
      <c r="L639" s="27" t="inlineStr">
        <is>
          <t>4L</t>
        </is>
      </c>
      <c r="N639" s="99">
        <f>IFERROR(INDEX(Sensors_MANU!$G$2:$G$4692,MATCH($P639,Sensors_MANU!$A$2:$A$4692,0)),)</f>
        <v/>
      </c>
      <c r="O639" s="6" t="inlineStr">
        <is>
          <t>v17</t>
        </is>
      </c>
      <c r="P639" t="n">
        <v>4978603</v>
      </c>
    </row>
    <row r="640">
      <c r="A640" s="32">
        <f>IFERROR(_xlfn.IFNA(INDEX(Sensors_MANU!$E$2:$E$4692,MATCH($D640,Sensors_MANU!$B$2:$B$4692,0)),INDEX(Sensors_MANU!$E$2:$E$4692,MATCH($P640,Sensors_MANU!$A$2:$A$4692,0))),"")</f>
        <v/>
      </c>
      <c r="B640" s="24">
        <f>IFERROR(INDEX(Companies!$A$3:$A$101,MATCH(A640,Companies!$B$3:$B$101,0)),"")</f>
        <v/>
      </c>
      <c r="C640">
        <f>IFERROR(_xlfn.IFNA(INDEX(Sensors_MANU!$F$2:$F$4692,MATCH($D640,Sensors_MANU!$B$2:$B$4692,0)),INDEX(Sensors_MANU!$F$2:$F$4692,MATCH($P640,Sensors_MANU!$A$2:$A$4692,0))),"")</f>
        <v/>
      </c>
      <c r="D640" s="25" t="inlineStr">
        <is>
          <t>C415A67AD840</t>
        </is>
      </c>
      <c r="E640" s="24">
        <f>LEFT(D640,2)&amp;":"&amp;MID(D640,3,2)&amp;":"&amp;MID(D640,5,2)&amp;":"&amp;MID(D640,7,2)&amp;":"&amp;MID(D640,9,2)&amp;":"&amp;RIGHT(D640,2)</f>
        <v/>
      </c>
      <c r="F640" s="29" t="n">
        <v>44888</v>
      </c>
      <c r="G640" s="29" t="inlineStr">
        <is>
          <t>SGL</t>
        </is>
      </c>
      <c r="H640" t="inlineStr">
        <is>
          <t>C52DD4EBC2C47DF5</t>
        </is>
      </c>
      <c r="I640">
        <f>IFERROR(_xlfn.IFNA(INDEX(Sensors_MANU!$C$2:$C$4692,MATCH($D640,Sensors_MANU!$B$2:$B$4692,0)),INDEX(Sensors_MANU!$C$2:$C$4692,MATCH($P640,Sensors_MANU!$A$2:$A$4692,0))),"")</f>
        <v/>
      </c>
      <c r="J640">
        <f>IFERROR(_xlfn.IFNA(INDEX(Sensors_MANU!$D$2:$D$4692,MATCH($D640,Sensors_MANU!$B$2:$B$4692,0)),INDEX(Sensors_MANU!$D$2:$D$4692,MATCH($P640,Sensors_MANU!$A$2:$A$4692,0))),"")</f>
        <v/>
      </c>
      <c r="K640" s="27" t="inlineStr">
        <is>
          <t>3780-3939-003-4</t>
        </is>
      </c>
      <c r="N640" s="97" t="inlineStr">
        <is>
          <t>The operator has the device or its lost (they paid for it), but we dont monitor it on Ubidots anymore.</t>
        </is>
      </c>
      <c r="O640" s="6" t="inlineStr">
        <is>
          <t>V23</t>
        </is>
      </c>
    </row>
    <row r="641">
      <c r="A641" s="32">
        <f>IFERROR(_xlfn.IFNA(INDEX(Sensors_MANU!$E$2:$E$4692,MATCH($D641,Sensors_MANU!$B$2:$B$4692,0)),INDEX(Sensors_MANU!$E$2:$E$4692,MATCH($P641,Sensors_MANU!$A$2:$A$4692,0))),"")</f>
        <v/>
      </c>
      <c r="B641" s="24">
        <f>IFERROR(INDEX(Companies!$A$3:$A$101,MATCH(A641,Companies!$B$3:$B$101,0)),"")</f>
        <v/>
      </c>
      <c r="C641">
        <f>IFERROR(_xlfn.IFNA(INDEX(Sensors_MANU!$F$2:$F$4692,MATCH($D641,Sensors_MANU!$B$2:$B$4692,0)),INDEX(Sensors_MANU!$F$2:$F$4692,MATCH($P641,Sensors_MANU!$A$2:$A$4692,0))),"")</f>
        <v/>
      </c>
      <c r="D641" t="inlineStr">
        <is>
          <t>EA90F046C76A</t>
        </is>
      </c>
      <c r="E641">
        <f>LEFT(D641,2)&amp;":"&amp;MID(D641,3,2)&amp;":"&amp;MID(D641,5,2)&amp;":"&amp;MID(D641,7,2)&amp;":"&amp;MID(D641,9,2)&amp;":"&amp;RIGHT(D641,2)</f>
        <v/>
      </c>
      <c r="H641" t="inlineStr">
        <is>
          <t>90EEBDC25ECE9515</t>
        </is>
      </c>
      <c r="I641">
        <f>IFERROR(_xlfn.IFNA(INDEX(Sensors_MANU!$C$2:$C$4692,MATCH($D641,Sensors_MANU!$B$2:$B$4692,0)),INDEX(Sensors_MANU!$C$2:$C$4692,MATCH($P641,Sensors_MANU!$A$2:$A$4692,0))),"")</f>
        <v/>
      </c>
      <c r="J641">
        <f>IFERROR(_xlfn.IFNA(INDEX(Sensors_MANU!$D$2:$D$4692,MATCH($D641,Sensors_MANU!$B$2:$B$4692,0)),INDEX(Sensors_MANU!$D$2:$D$4692,MATCH($P641,Sensors_MANU!$A$2:$A$4692,0))),"")</f>
        <v/>
      </c>
      <c r="M641" s="27" t="n"/>
      <c r="N641" s="99">
        <f>IFERROR(INDEX(Sensors_MANU!$G$2:$G$4692,MATCH($P641,Sensors_MANU!$A$2:$A$4692,0)),)</f>
        <v/>
      </c>
      <c r="O641" s="6" t="inlineStr">
        <is>
          <t>v16</t>
        </is>
      </c>
      <c r="P641" t="n">
        <v>4978508</v>
      </c>
    </row>
    <row r="642">
      <c r="A642" s="32">
        <f>IFERROR(_xlfn.IFNA(INDEX(Sensors_MANU!$E$2:$E$4692,MATCH($D642,Sensors_MANU!$B$2:$B$4692,0)),INDEX(Sensors_MANU!$E$2:$E$4692,MATCH($P642,Sensors_MANU!$A$2:$A$4692,0))),"")</f>
        <v/>
      </c>
      <c r="B642" s="24">
        <f>IFERROR(INDEX(Companies!$A$3:$A$101,MATCH(A642,Companies!$B$3:$B$101,0)),"")</f>
        <v/>
      </c>
      <c r="D642" t="inlineStr">
        <is>
          <t>C0550F60EBD8</t>
        </is>
      </c>
      <c r="E642">
        <f>LEFT(D642,2)&amp;":"&amp;MID(D642,3,2)&amp;":"&amp;MID(D642,5,2)&amp;":"&amp;MID(D642,7,2)&amp;":"&amp;MID(D642,9,2)&amp;":"&amp;RIGHT(D642,2)</f>
        <v/>
      </c>
      <c r="H642" t="inlineStr">
        <is>
          <t>F79CA3B9304AD3E4</t>
        </is>
      </c>
      <c r="I642">
        <f>IFERROR(_xlfn.IFNA(INDEX(Sensors_MANU!$C$2:$C$4692,MATCH($D642,Sensors_MANU!$B$2:$B$4692,0)),INDEX(Sensors_MANU!$C$2:$C$4692,MATCH($P642,Sensors_MANU!$A$2:$A$4692,0))),"")</f>
        <v/>
      </c>
      <c r="J642">
        <f>IFERROR(_xlfn.IFNA(INDEX(Sensors_MANU!$D$2:$D$4692,MATCH($D642,Sensors_MANU!$B$2:$B$4692,0)),INDEX(Sensors_MANU!$D$2:$D$4692,MATCH($P642,Sensors_MANU!$A$2:$A$4692,0))),"")</f>
        <v/>
      </c>
      <c r="K642" s="27" t="inlineStr">
        <is>
          <t>BAH103</t>
        </is>
      </c>
      <c r="L642" s="27" t="inlineStr">
        <is>
          <t>2L</t>
        </is>
      </c>
    </row>
    <row r="643">
      <c r="A643" s="32">
        <f>IFERROR(_xlfn.IFNA(INDEX(Sensors_MANU!$E$2:$E$4692,MATCH($D643,Sensors_MANU!$B$2:$B$4692,0)),INDEX(Sensors_MANU!$E$2:$E$4692,MATCH($P643,Sensors_MANU!$A$2:$A$4692,0))),"")</f>
        <v/>
      </c>
      <c r="B643" s="24">
        <f>IFERROR(INDEX(Companies!$A$3:$A$101,MATCH(A643,Companies!$B$3:$B$101,0)),"")</f>
        <v/>
      </c>
      <c r="C643">
        <f>IFERROR(_xlfn.IFNA(INDEX(Sensors_MANU!$F$2:$F$4692,MATCH($D643,Sensors_MANU!$B$2:$B$4692,0)),INDEX(Sensors_MANU!$F$2:$F$4692,MATCH($P643,Sensors_MANU!$A$2:$A$4692,0))),"")</f>
        <v/>
      </c>
      <c r="D643" s="25" t="inlineStr">
        <is>
          <t>F610AF093463</t>
        </is>
      </c>
      <c r="E643" s="24">
        <f>LEFT(D643,2)&amp;":"&amp;MID(D643,3,2)&amp;":"&amp;MID(D643,5,2)&amp;":"&amp;MID(D643,7,2)&amp;":"&amp;MID(D643,9,2)&amp;":"&amp;RIGHT(D643,2)</f>
        <v/>
      </c>
      <c r="F643" s="29" t="n">
        <v>44888</v>
      </c>
      <c r="G643" s="29" t="inlineStr">
        <is>
          <t>SGL</t>
        </is>
      </c>
      <c r="H643" t="inlineStr">
        <is>
          <t>EC8FD566E76153D2</t>
        </is>
      </c>
      <c r="I643">
        <f>IFERROR(_xlfn.IFNA(INDEX(Sensors_MANU!$C$2:$C$4692,MATCH($D643,Sensors_MANU!$B$2:$B$4692,0)),INDEX(Sensors_MANU!$C$2:$C$4692,MATCH($P643,Sensors_MANU!$A$2:$A$4692,0))),"")</f>
        <v/>
      </c>
      <c r="J643">
        <f>IFERROR(_xlfn.IFNA(INDEX(Sensors_MANU!$D$2:$D$4692,MATCH($D643,Sensors_MANU!$B$2:$B$4692,0)),INDEX(Sensors_MANU!$D$2:$D$4692,MATCH($P643,Sensors_MANU!$A$2:$A$4692,0))),"")</f>
        <v/>
      </c>
      <c r="K643" s="27" t="inlineStr">
        <is>
          <t>3354-3937-523-9</t>
        </is>
      </c>
      <c r="N643" s="97" t="inlineStr">
        <is>
          <t>The operator has the device or its lost (they paid for it), but we dont monitor it on Ubidots anymore.</t>
        </is>
      </c>
      <c r="O643" s="6" t="inlineStr">
        <is>
          <t>V23</t>
        </is>
      </c>
    </row>
    <row r="644">
      <c r="B644" s="24">
        <f>IFERROR(INDEX(Companies!$A$3:$A$101,MATCH(A644,Companies!$B$3:$B$101,0)),"")</f>
        <v/>
      </c>
      <c r="C644">
        <f>IFERROR(_xlfn.IFNA(INDEX(Sensors_MANU!$F$2:$F$4692,MATCH($D644,Sensors_MANU!$B$2:$B$4692,0)),INDEX(Sensors_MANU!$F$2:$F$4692,MATCH($P644,Sensors_MANU!$A$2:$A$4692,0))),"")</f>
        <v/>
      </c>
      <c r="D644" t="inlineStr">
        <is>
          <t>D5C7E14D2264</t>
        </is>
      </c>
      <c r="E644" s="24">
        <f>LEFT(D644,2)&amp;":"&amp;MID(D644,3,2)&amp;":"&amp;MID(D644,5,2)&amp;":"&amp;MID(D644,7,2)&amp;":"&amp;MID(D644,9,2)&amp;":"&amp;RIGHT(D644,2)</f>
        <v/>
      </c>
      <c r="H644" t="inlineStr">
        <is>
          <t>DD1B7524CCD5A859</t>
        </is>
      </c>
      <c r="I644">
        <f>IFERROR(_xlfn.IFNA(INDEX(Sensors_MANU!$C$2:$C$4692,MATCH($D644,Sensors_MANU!$B$2:$B$4692,0)),INDEX(Sensors_MANU!$C$2:$C$4692,MATCH($P644,Sensors_MANU!$A$2:$A$4692,0))),"")</f>
        <v/>
      </c>
      <c r="J644">
        <f>IFERROR(_xlfn.IFNA(INDEX(Sensors_MANU!$D$2:$D$4692,MATCH($D644,Sensors_MANU!$B$2:$B$4692,0)),INDEX(Sensors_MANU!$D$2:$D$4692,MATCH($P644,Sensors_MANU!$A$2:$A$4692,0))),"")</f>
        <v/>
      </c>
      <c r="N644" s="99">
        <f>IFERROR(INDEX(Sensors_MANU!$G$2:$G$4692,MATCH($P644,Sensors_MANU!$A$2:$A$4692,0)),)</f>
        <v/>
      </c>
      <c r="O644" s="6" t="inlineStr">
        <is>
          <t>v17</t>
        </is>
      </c>
      <c r="P644" t="n">
        <v>4978612</v>
      </c>
    </row>
    <row r="645">
      <c r="A645" s="32" t="inlineStr">
        <is>
          <t>RAILRELEASE</t>
        </is>
      </c>
      <c r="B645" s="24">
        <f>IFERROR(INDEX(Companies!$A$3:$A$101,MATCH(A645,Companies!$B$3:$B$101,0)),"")</f>
        <v/>
      </c>
      <c r="D645" t="inlineStr">
        <is>
          <t>D05BA6776073</t>
        </is>
      </c>
      <c r="E645" s="24">
        <f>LEFT(D645,2)&amp;":"&amp;MID(D645,3,2)&amp;":"&amp;MID(D645,5,2)&amp;":"&amp;MID(D645,7,2)&amp;":"&amp;MID(D645,9,2)&amp;":"&amp;RIGHT(D645,2)</f>
        <v/>
      </c>
      <c r="F645" s="29" t="n">
        <v>45064</v>
      </c>
      <c r="G645" s="29" t="inlineStr">
        <is>
          <t>Viezo</t>
        </is>
      </c>
      <c r="H645" t="inlineStr">
        <is>
          <t>A182868F8CAF7096</t>
        </is>
      </c>
      <c r="J645" s="71" t="inlineStr">
        <is>
          <t>PR2203-473</t>
        </is>
      </c>
      <c r="K645" s="27" t="inlineStr">
        <is>
          <t>37844576159-6</t>
        </is>
      </c>
      <c r="L645" s="27" t="inlineStr">
        <is>
          <t>3L</t>
        </is>
      </c>
      <c r="N645" s="99">
        <f>IFERROR(INDEX(Sensors_MANU!$G$2:$G$4692,MATCH($P645,Sensors_MANU!$A$2:$A$4692,0)),)</f>
        <v/>
      </c>
      <c r="O645" s="6" t="inlineStr">
        <is>
          <t>v17</t>
        </is>
      </c>
      <c r="P645" t="n">
        <v>4978670</v>
      </c>
    </row>
    <row r="646">
      <c r="A646" s="32">
        <f>IFERROR(_xlfn.IFNA(INDEX(Sensors_MANU!$E$2:$E$4692,MATCH($D646,Sensors_MANU!$B$2:$B$4692,0)),INDEX(Sensors_MANU!$E$2:$E$4692,MATCH($P646,Sensors_MANU!$A$2:$A$4692,0))),"")</f>
        <v/>
      </c>
      <c r="B646" s="24">
        <f>IFERROR(INDEX(Companies!$A$3:$A$101,MATCH(A646,Companies!$B$3:$B$101,0)),"")</f>
        <v/>
      </c>
      <c r="C646">
        <f>IFERROR(_xlfn.IFNA(INDEX(Sensors_MANU!$F$2:$F$4692,MATCH($D646,Sensors_MANU!$B$2:$B$4692,0)),INDEX(Sensors_MANU!$F$2:$F$4692,MATCH($P646,Sensors_MANU!$A$2:$A$4692,0))),"")</f>
        <v/>
      </c>
      <c r="D646" t="inlineStr">
        <is>
          <t>CAD52CC57D9A</t>
        </is>
      </c>
      <c r="E646">
        <f>LEFT(D646,2)&amp;":"&amp;MID(D646,3,2)&amp;":"&amp;MID(D646,5,2)&amp;":"&amp;MID(D646,7,2)&amp;":"&amp;MID(D646,9,2)&amp;":"&amp;RIGHT(D646,2)</f>
        <v/>
      </c>
      <c r="F646" s="29" t="n">
        <v>44910</v>
      </c>
      <c r="G646" s="29" t="inlineStr">
        <is>
          <t>Viezo</t>
        </is>
      </c>
      <c r="H646" t="inlineStr">
        <is>
          <t>A4F27545D425AC08</t>
        </is>
      </c>
      <c r="I646">
        <f>IFERROR(_xlfn.IFNA(INDEX(Sensors_MANU!$C$2:$C$4692,MATCH($D646,Sensors_MANU!$B$2:$B$4692,0)),INDEX(Sensors_MANU!$C$2:$C$4692,MATCH($P646,Sensors_MANU!$A$2:$A$4692,0))),"")</f>
        <v/>
      </c>
      <c r="J646">
        <f>IFERROR(_xlfn.IFNA(INDEX(Sensors_MANU!$D$2:$D$4692,MATCH($D646,Sensors_MANU!$B$2:$B$4692,0)),INDEX(Sensors_MANU!$D$2:$D$4692,MATCH($P646,Sensors_MANU!$A$2:$A$4692,0))),"")</f>
        <v/>
      </c>
      <c r="K646" s="27" t="inlineStr">
        <is>
          <t>31833919338-1</t>
        </is>
      </c>
      <c r="L646" s="27" t="inlineStr">
        <is>
          <t>1L</t>
        </is>
      </c>
      <c r="M646" s="27" t="n"/>
      <c r="N646" s="99">
        <f>IFERROR(INDEX(Sensors_MANU!$G$2:$G$4692,MATCH($P646,Sensors_MANU!$A$2:$A$4692,0)),)</f>
        <v/>
      </c>
      <c r="O646" s="6" t="inlineStr">
        <is>
          <t>v16</t>
        </is>
      </c>
      <c r="P646" t="n">
        <v>4978857</v>
      </c>
    </row>
    <row r="647">
      <c r="A647" s="32">
        <f>IFERROR(_xlfn.IFNA(INDEX(Sensors_MANU!$E$2:$E$4692,MATCH($D647,Sensors_MANU!$B$2:$B$4692,0)),INDEX(Sensors_MANU!$E$2:$E$4692,MATCH($P647,Sensors_MANU!$A$2:$A$4692,0))),"")</f>
        <v/>
      </c>
      <c r="B647" s="24">
        <f>IFERROR(INDEX(Companies!$A$3:$A$101,MATCH(A647,Companies!$B$3:$B$101,0)),"")</f>
        <v/>
      </c>
      <c r="C647" t="inlineStr">
        <is>
          <t>cargo</t>
        </is>
      </c>
      <c r="D647" t="inlineStr">
        <is>
          <t>EF5822E01AF2</t>
        </is>
      </c>
      <c r="E647">
        <f>LEFT(D647,2)&amp;":"&amp;MID(D647,3,2)&amp;":"&amp;MID(D647,5,2)&amp;":"&amp;MID(D647,7,2)&amp;":"&amp;MID(D647,9,2)&amp;":"&amp;RIGHT(D647,2)</f>
        <v/>
      </c>
      <c r="F647" s="29" t="n">
        <v>44918</v>
      </c>
      <c r="G647" s="29" t="inlineStr">
        <is>
          <t>Hupac</t>
        </is>
      </c>
      <c r="H647" t="inlineStr">
        <is>
          <t>67497849622F6BE5</t>
        </is>
      </c>
      <c r="I647">
        <f>IFERROR(_xlfn.IFNA(INDEX(Sensors_MANU!$C$2:$C$4692,MATCH($D647,Sensors_MANU!$B$2:$B$4692,0)),INDEX(Sensors_MANU!$C$2:$C$4692,MATCH($P647,Sensors_MANU!$A$2:$A$4692,0))),"")</f>
        <v/>
      </c>
      <c r="J647">
        <f>IFERROR(_xlfn.IFNA(INDEX(Sensors_MANU!$D$2:$D$4692,MATCH($D647,Sensors_MANU!$B$2:$B$4692,0)),INDEX(Sensors_MANU!$D$2:$D$4692,MATCH($P647,Sensors_MANU!$A$2:$A$4692,0))),"")</f>
        <v/>
      </c>
      <c r="K647" s="27" t="inlineStr">
        <is>
          <t>33854956710-9</t>
        </is>
      </c>
      <c r="L647" s="27" t="inlineStr">
        <is>
          <t>8b</t>
        </is>
      </c>
      <c r="M647" s="27" t="n">
        <v>88150147</v>
      </c>
      <c r="N647" s="99">
        <f>IFERROR(INDEX(Sensors_MANU!$G$2:$G$4692,MATCH($P647,Sensors_MANU!$A$2:$A$4692,0)),)</f>
        <v/>
      </c>
      <c r="O647" s="6" t="inlineStr">
        <is>
          <t>v15</t>
        </is>
      </c>
      <c r="P647" t="n">
        <v>4978564</v>
      </c>
    </row>
    <row r="648">
      <c r="B648" s="24">
        <f>IFERROR(INDEX(Companies!$A$3:$A$101,MATCH(A648,Companies!$B$3:$B$101,0)),"")</f>
        <v/>
      </c>
      <c r="C648">
        <f>IFERROR(_xlfn.IFNA(INDEX(Sensors_MANU!$F$2:$F$4692,MATCH($D648,Sensors_MANU!$B$2:$B$4692,0)),INDEX(Sensors_MANU!$F$2:$F$4692,MATCH($P648,Sensors_MANU!$A$2:$A$4692,0))),"")</f>
        <v/>
      </c>
      <c r="D648" t="inlineStr">
        <is>
          <t>CB7232F006AE</t>
        </is>
      </c>
      <c r="E648" s="24">
        <f>LEFT(D648,2)&amp;":"&amp;MID(D648,3,2)&amp;":"&amp;MID(D648,5,2)&amp;":"&amp;MID(D648,7,2)&amp;":"&amp;MID(D648,9,2)&amp;":"&amp;RIGHT(D648,2)</f>
        <v/>
      </c>
      <c r="H648" t="inlineStr">
        <is>
          <t>F6BACF0CA0D4C772</t>
        </is>
      </c>
      <c r="I648">
        <f>IFERROR(_xlfn.IFNA(INDEX(Sensors_MANU!$C$2:$C$4692,MATCH($D648,Sensors_MANU!$B$2:$B$4692,0)),INDEX(Sensors_MANU!$C$2:$C$4692,MATCH($P648,Sensors_MANU!$A$2:$A$4692,0))),"")</f>
        <v/>
      </c>
      <c r="J648">
        <f>IFERROR(_xlfn.IFNA(INDEX(Sensors_MANU!$D$2:$D$4692,MATCH($D648,Sensors_MANU!$B$2:$B$4692,0)),INDEX(Sensors_MANU!$D$2:$D$4692,MATCH($P648,Sensors_MANU!$A$2:$A$4692,0))),"")</f>
        <v/>
      </c>
      <c r="N648" s="99">
        <f>IFERROR(INDEX(Sensors_MANU!$G$2:$G$4692,MATCH($P648,Sensors_MANU!$A$2:$A$4692,0)),)</f>
        <v/>
      </c>
      <c r="O648" s="6" t="inlineStr">
        <is>
          <t>v17</t>
        </is>
      </c>
      <c r="P648" t="n">
        <v>4978650</v>
      </c>
    </row>
    <row r="649" ht="14.25" customHeight="1">
      <c r="B649" s="24">
        <f>IFERROR(INDEX(Companies!$A$3:$A$101,MATCH(A649,Companies!$B$3:$B$101,0)),"")</f>
        <v/>
      </c>
      <c r="C649" t="inlineStr">
        <is>
          <t>cargo</t>
        </is>
      </c>
      <c r="D649" t="inlineStr">
        <is>
          <t>FEDD7A73462D</t>
        </is>
      </c>
      <c r="E649">
        <f>LEFT(D649,2)&amp;":"&amp;MID(D649,3,2)&amp;":"&amp;MID(D649,5,2)&amp;":"&amp;MID(D649,7,2)&amp;":"&amp;MID(D649,9,2)&amp;":"&amp;RIGHT(D649,2)</f>
        <v/>
      </c>
      <c r="H649" t="inlineStr">
        <is>
          <t>3BC964C7E45C99A4</t>
        </is>
      </c>
      <c r="I649" s="63">
        <f>IFERROR(_xlfn.IFNA(INDEX(Sensors_MANU!$C$2:$C$4692,MATCH($D649,Sensors_MANU!$B$2:$B$4692,0)),INDEX(Sensors_MANU!$C$2:$C$4692,MATCH($P649,Sensors_MANU!$A$2:$A$4692,0))),"")</f>
        <v/>
      </c>
      <c r="J649">
        <f>IFERROR(_xlfn.IFNA(INDEX(Sensors_MANU!$D$2:$D$4692,MATCH($D649,Sensors_MANU!$B$2:$B$4692,0)),INDEX(Sensors_MANU!$D$2:$D$4692,MATCH($P649,Sensors_MANU!$A$2:$A$4692,0))),"")</f>
        <v/>
      </c>
      <c r="M649" s="35" t="n"/>
      <c r="N649" s="99">
        <f>IFERROR(INDEX(Sensors_MANU!$G$2:$G$4692,MATCH($P649,Sensors_MANU!$A$2:$A$4692,0)),)</f>
        <v/>
      </c>
      <c r="O649" s="6" t="inlineStr">
        <is>
          <t>v15</t>
        </is>
      </c>
      <c r="P649" t="n">
        <v>4978752</v>
      </c>
    </row>
    <row r="650" ht="14.25" customHeight="1">
      <c r="A650" s="32">
        <f>IFERROR(_xlfn.IFNA(INDEX(Sensors_MANU!$E$2:$E$4692,MATCH($D650,Sensors_MANU!$B$2:$B$4692,0)),INDEX(Sensors_MANU!$E$2:$E$4692,MATCH($P650,Sensors_MANU!$A$2:$A$4692,0))),"")</f>
        <v/>
      </c>
      <c r="B650" s="24">
        <f>IFERROR(INDEX(Companies!$A$3:$A$101,MATCH(A650,Companies!$B$3:$B$101,0)),"")</f>
        <v/>
      </c>
      <c r="D650" t="inlineStr">
        <is>
          <t>DCB6CC870AC3</t>
        </is>
      </c>
      <c r="E650">
        <f>LEFT(D650,2)&amp;":"&amp;MID(D650,3,2)&amp;":"&amp;MID(D650,5,2)&amp;":"&amp;MID(D650,7,2)&amp;":"&amp;MID(D650,9,2)&amp;":"&amp;RIGHT(D650,2)</f>
        <v/>
      </c>
      <c r="H650" t="inlineStr">
        <is>
          <t>1CB5118A4076A1AD</t>
        </is>
      </c>
      <c r="I650">
        <f>IFERROR(_xlfn.IFNA(INDEX(Sensors_MANU!$C$2:$C$4692,MATCH($D650,Sensors_MANU!$B$2:$B$4692,0)),INDEX(Sensors_MANU!$C$2:$C$4692,MATCH($P650,Sensors_MANU!$A$2:$A$4692,0))),"")</f>
        <v/>
      </c>
      <c r="J650">
        <f>IFERROR(_xlfn.IFNA(INDEX(Sensors_MANU!$D$2:$D$4692,MATCH($D650,Sensors_MANU!$B$2:$B$4692,0)),INDEX(Sensors_MANU!$D$2:$D$4692,MATCH($P650,Sensors_MANU!$A$2:$A$4692,0))),"")</f>
        <v/>
      </c>
      <c r="K650" s="27" t="inlineStr">
        <is>
          <t>BAH101</t>
        </is>
      </c>
      <c r="L650" s="27" t="inlineStr">
        <is>
          <t>4L</t>
        </is>
      </c>
    </row>
    <row r="651">
      <c r="A651" s="32" t="inlineStr">
        <is>
          <t>MERCITALIA</t>
        </is>
      </c>
      <c r="B651" s="24">
        <f>IFERROR(INDEX(Companies!$A$3:$A$101,MATCH(A651,Companies!$B$3:$B$101,0)),"")</f>
        <v/>
      </c>
      <c r="D651" t="inlineStr">
        <is>
          <t>C0C112CCDDD2</t>
        </is>
      </c>
      <c r="E651">
        <f>LEFT(D651,2)&amp;":"&amp;MID(D651,3,2)&amp;":"&amp;MID(D651,5,2)&amp;":"&amp;MID(D651,7,2)&amp;":"&amp;MID(D651,9,2)&amp;":"&amp;RIGHT(D651,2)</f>
        <v/>
      </c>
      <c r="G651" s="29" t="inlineStr">
        <is>
          <t>Viezo</t>
        </is>
      </c>
      <c r="H651" t="inlineStr">
        <is>
          <t>0FB9AA5CADCBCCD7</t>
        </is>
      </c>
      <c r="J651" s="71">
        <f>IFERROR(_xlfn.IFNA(INDEX(Sensors_MANU!$D$2:$D$4692,MATCH($D651,Sensors_MANU!$B$2:$B$4692,0)),INDEX(Sensors_MANU!$D$2:$D$4692,MATCH($P651,Sensors_MANU!$A$2:$A$4692,0))),"")</f>
        <v/>
      </c>
      <c r="K651" s="27" t="inlineStr">
        <is>
          <t>31834575297-2</t>
        </is>
      </c>
      <c r="L651" s="27" t="inlineStr">
        <is>
          <t>1L</t>
        </is>
      </c>
      <c r="M651" s="27" t="n"/>
      <c r="N651" s="99" t="inlineStr">
        <is>
          <t>was registered 338. Real marking is unknown (354?)</t>
        </is>
      </c>
      <c r="O651" s="6" t="inlineStr">
        <is>
          <t>v16</t>
        </is>
      </c>
      <c r="P651" t="n">
        <v>4978761</v>
      </c>
    </row>
    <row r="652">
      <c r="A652" s="32">
        <f>IFERROR(_xlfn.IFNA(INDEX(Sensors_MANU!$E$2:$E$4692,MATCH($D652,Sensors_MANU!$B$2:$B$4692,0)),INDEX(Sensors_MANU!$E$2:$E$4692,MATCH($P652,Sensors_MANU!$A$2:$A$4692,0))),"")</f>
        <v/>
      </c>
      <c r="B652" s="24">
        <f>IFERROR(INDEX(Companies!$A$3:$A$101,MATCH(A652,Companies!$B$3:$B$101,0)),"")</f>
        <v/>
      </c>
      <c r="C652">
        <f>IFERROR(_xlfn.IFNA(INDEX(Sensors_MANU!$F$2:$F$4692,MATCH($D652,Sensors_MANU!$B$2:$B$4692,0)),INDEX(Sensors_MANU!$F$2:$F$4692,MATCH($P652,Sensors_MANU!$A$2:$A$4692,0))),"")</f>
        <v/>
      </c>
      <c r="D652" t="inlineStr">
        <is>
          <t>CD5791D76AA2</t>
        </is>
      </c>
      <c r="E652">
        <f>LEFT(D652,2)&amp;":"&amp;MID(D652,3,2)&amp;":"&amp;MID(D652,5,2)&amp;":"&amp;MID(D652,7,2)&amp;":"&amp;MID(D652,9,2)&amp;":"&amp;RIGHT(D652,2)</f>
        <v/>
      </c>
      <c r="F652" s="29" t="n">
        <v>44910</v>
      </c>
      <c r="G652" s="29" t="inlineStr">
        <is>
          <t>Viezo</t>
        </is>
      </c>
      <c r="H652" s="18" t="inlineStr">
        <is>
          <t>2E508DAFAB8E6E1B</t>
        </is>
      </c>
      <c r="I652">
        <f>IFERROR(_xlfn.IFNA(INDEX(Sensors_MANU!$C$2:$C$4692,MATCH($D652,Sensors_MANU!$B$2:$B$4692,0)),INDEX(Sensors_MANU!$C$2:$C$4692,MATCH($P652,Sensors_MANU!$A$2:$A$4692,0))),"")</f>
        <v/>
      </c>
      <c r="J652">
        <f>IFERROR(_xlfn.IFNA(INDEX(Sensors_MANU!$D$2:$D$4692,MATCH($D652,Sensors_MANU!$B$2:$B$4692,0)),INDEX(Sensors_MANU!$D$2:$D$4692,MATCH($P652,Sensors_MANU!$A$2:$A$4692,0))),"")</f>
        <v/>
      </c>
      <c r="K652" s="27" t="inlineStr">
        <is>
          <t>31833918084-2</t>
        </is>
      </c>
      <c r="L652" s="27" t="inlineStr">
        <is>
          <t>1L</t>
        </is>
      </c>
      <c r="N652" s="99">
        <f>IFERROR(INDEX(Sensors_MANU!$G$2:$G$4692,MATCH($P652,Sensors_MANU!$A$2:$A$4692,0)),)</f>
        <v/>
      </c>
      <c r="O652" s="6" t="inlineStr">
        <is>
          <t>v17</t>
        </is>
      </c>
      <c r="P652" t="n">
        <v>4978608</v>
      </c>
    </row>
    <row r="653">
      <c r="A653" s="26" t="inlineStr">
        <is>
          <t>VIEZO</t>
        </is>
      </c>
      <c r="B653" s="24">
        <f>IFERROR(INDEX(Companies!$A$3:$A$101,MATCH(A653,Companies!$B$3:$B$101,0)),"")</f>
        <v/>
      </c>
      <c r="C653">
        <f>IFERROR(_xlfn.IFNA(INDEX(Sensors_MANU!$F$2:$F$4692,MATCH($D653,Sensors_MANU!$B$2:$B$4692,0)),INDEX(Sensors_MANU!$F$2:$F$4692,MATCH($P653,Sensors_MANU!$A$2:$A$4692,0))),"")</f>
        <v/>
      </c>
      <c r="D653" t="inlineStr">
        <is>
          <t>ECDAF363EB1B</t>
        </is>
      </c>
      <c r="E653">
        <f>LEFT(D653,2)&amp;":"&amp;MID(D653,3,2)&amp;":"&amp;MID(D653,5,2)&amp;":"&amp;MID(D653,7,2)&amp;":"&amp;MID(D653,9,2)&amp;":"&amp;RIGHT(D653,2)</f>
        <v/>
      </c>
      <c r="H653" t="inlineStr">
        <is>
          <t>B5ABEEF9AA871868</t>
        </is>
      </c>
      <c r="I653">
        <f>IFERROR(_xlfn.IFNA(INDEX(Sensors_MANU!$C$2:$C$4692,MATCH($D653,Sensors_MANU!$B$2:$B$4692,0)),INDEX(Sensors_MANU!$C$2:$C$4692,MATCH($P653,Sensors_MANU!$A$2:$A$4692,0))),"")</f>
        <v/>
      </c>
      <c r="J653">
        <f>IFERROR(_xlfn.IFNA(INDEX(Sensors_MANU!$D$2:$D$4692,MATCH($D653,Sensors_MANU!$B$2:$B$4692,0)),INDEX(Sensors_MANU!$D$2:$D$4692,MATCH($P653,Sensors_MANU!$A$2:$A$4692,0))),"")</f>
        <v/>
      </c>
      <c r="N653" s="99">
        <f>IFERROR(INDEX(Sensors_MANU!$G$2:$G$4692,MATCH($P653,Sensors_MANU!$A$2:$A$4692,0)),)</f>
        <v/>
      </c>
      <c r="O653" s="6" t="inlineStr">
        <is>
          <t>v16</t>
        </is>
      </c>
      <c r="P653" t="n">
        <v>4978749</v>
      </c>
    </row>
    <row r="654">
      <c r="A654" s="32">
        <f>IFERROR(_xlfn.IFNA(INDEX(Sensors_MANU!$E$2:$E$4692,MATCH($D654,Sensors_MANU!$B$2:$B$4692,0)),INDEX(Sensors_MANU!$E$2:$E$4692,MATCH($P654,Sensors_MANU!$A$2:$A$4692,0))),"")</f>
        <v/>
      </c>
      <c r="B654" s="24">
        <f>IFERROR(INDEX(Companies!$A$3:$A$101,MATCH(A654,Companies!$B$3:$B$101,0)),"")</f>
        <v/>
      </c>
      <c r="C654">
        <f>IFERROR(_xlfn.IFNA(INDEX(Sensors_MANU!$F$2:$F$4692,MATCH($D654,Sensors_MANU!$B$2:$B$4692,0)),INDEX(Sensors_MANU!$F$2:$F$4692,MATCH($P654,Sensors_MANU!$A$2:$A$4692,0))),"")</f>
        <v/>
      </c>
      <c r="D654" s="50" t="inlineStr">
        <is>
          <t>D66E37E271E1</t>
        </is>
      </c>
      <c r="E654" s="24">
        <f>LEFT(D654,2)&amp;":"&amp;MID(D654,3,2)&amp;":"&amp;MID(D654,5,2)&amp;":"&amp;MID(D654,7,2)&amp;":"&amp;MID(D654,9,2)&amp;":"&amp;RIGHT(D654,2)</f>
        <v/>
      </c>
      <c r="F654" s="29" t="n">
        <v>44754</v>
      </c>
      <c r="G654" s="29" t="inlineStr">
        <is>
          <t>Viezo</t>
        </is>
      </c>
      <c r="H654" s="26" t="inlineStr">
        <is>
          <t>26ACB0F40F8F29D4</t>
        </is>
      </c>
      <c r="I654">
        <f>IFERROR(_xlfn.IFNA(INDEX(Sensors_MANU!$C$2:$C$4692,MATCH($D654,Sensors_MANU!$B$2:$B$4692,0)),INDEX(Sensors_MANU!$C$2:$C$4692,MATCH($P654,Sensors_MANU!$A$2:$A$4692,0))),"")</f>
        <v/>
      </c>
      <c r="J654">
        <f>IFERROR(_xlfn.IFNA(INDEX(Sensors_MANU!$D$2:$D$4692,MATCH($D654,Sensors_MANU!$B$2:$B$4692,0)),INDEX(Sensors_MANU!$D$2:$D$4692,MATCH($P654,Sensors_MANU!$A$2:$A$4692,0))),"")</f>
        <v/>
      </c>
      <c r="K654" s="27" t="inlineStr">
        <is>
          <t>31833919095-7</t>
        </is>
      </c>
      <c r="L654" s="27" t="inlineStr">
        <is>
          <t>3R</t>
        </is>
      </c>
      <c r="O654" s="6" t="inlineStr">
        <is>
          <t>V23</t>
        </is>
      </c>
    </row>
    <row r="655">
      <c r="A655" s="32">
        <f>IFERROR(_xlfn.IFNA(INDEX(Sensors_MANU!$E$2:$E$4692,MATCH($D655,Sensors_MANU!$B$2:$B$4692,0)),INDEX(Sensors_MANU!$E$2:$E$4692,MATCH($P655,Sensors_MANU!$A$2:$A$4692,0))),"")</f>
        <v/>
      </c>
      <c r="B655" s="24">
        <f>IFERROR(INDEX(Companies!$A$3:$A$101,MATCH(A655,Companies!$B$3:$B$101,0)),"")</f>
        <v/>
      </c>
      <c r="C655">
        <f>IFERROR(_xlfn.IFNA(INDEX(Sensors_MANU!$F$2:$F$4692,MATCH($D655,Sensors_MANU!$B$2:$B$4692,0)),INDEX(Sensors_MANU!$F$2:$F$4692,MATCH($P655,Sensors_MANU!$A$2:$A$4692,0))),"")</f>
        <v/>
      </c>
      <c r="D655" s="50" t="inlineStr">
        <is>
          <t>CEF36537E724</t>
        </is>
      </c>
      <c r="E655" s="24">
        <f>LEFT(D655,2)&amp;":"&amp;MID(D655,3,2)&amp;":"&amp;MID(D655,5,2)&amp;":"&amp;MID(D655,7,2)&amp;":"&amp;MID(D655,9,2)&amp;":"&amp;RIGHT(D655,2)</f>
        <v/>
      </c>
      <c r="F655" s="29" t="n">
        <v>44754</v>
      </c>
      <c r="G655" s="29" t="inlineStr">
        <is>
          <t>Viezo</t>
        </is>
      </c>
      <c r="H655" s="26" t="inlineStr">
        <is>
          <t>C24A2AC617A8A136</t>
        </is>
      </c>
      <c r="I655">
        <f>IFERROR(_xlfn.IFNA(INDEX(Sensors_MANU!$C$2:$C$4692,MATCH($D655,Sensors_MANU!$B$2:$B$4692,0)),INDEX(Sensors_MANU!$C$2:$C$4692,MATCH($P655,Sensors_MANU!$A$2:$A$4692,0))),"")</f>
        <v/>
      </c>
      <c r="J655">
        <f>IFERROR(_xlfn.IFNA(INDEX(Sensors_MANU!$D$2:$D$4692,MATCH($D655,Sensors_MANU!$B$2:$B$4692,0)),INDEX(Sensors_MANU!$D$2:$D$4692,MATCH($P655,Sensors_MANU!$A$2:$A$4692,0))),"")</f>
        <v/>
      </c>
      <c r="K655" s="27" t="inlineStr">
        <is>
          <t>31834668448-9</t>
        </is>
      </c>
      <c r="L655" s="27" t="inlineStr">
        <is>
          <t>4R</t>
        </is>
      </c>
      <c r="O655" s="6" t="inlineStr">
        <is>
          <t>V23</t>
        </is>
      </c>
    </row>
    <row r="656">
      <c r="A656" s="32">
        <f>IFERROR(_xlfn.IFNA(INDEX(Sensors_MANU!$E$2:$E$4692,MATCH($D656,Sensors_MANU!$B$2:$B$4692,0)),INDEX(Sensors_MANU!$E$2:$E$4692,MATCH($P656,Sensors_MANU!$A$2:$A$4692,0))),"")</f>
        <v/>
      </c>
      <c r="B656" s="24">
        <f>IFERROR(INDEX(Companies!$A$3:$A$101,MATCH(A656,Companies!$B$3:$B$101,0)),"")</f>
        <v/>
      </c>
      <c r="C656">
        <f>IFERROR(_xlfn.IFNA(INDEX(Sensors_MANU!$F$2:$F$4692,MATCH($D656,Sensors_MANU!$B$2:$B$4692,0)),INDEX(Sensors_MANU!$F$2:$F$4692,MATCH($P656,Sensors_MANU!$A$2:$A$4692,0))),"")</f>
        <v/>
      </c>
      <c r="D656" t="inlineStr">
        <is>
          <t>E04A7434E274</t>
        </is>
      </c>
      <c r="E656" s="24">
        <f>LEFT(D656,2)&amp;":"&amp;MID(D656,3,2)&amp;":"&amp;MID(D656,5,2)&amp;":"&amp;MID(D656,7,2)&amp;":"&amp;MID(D656,9,2)&amp;":"&amp;RIGHT(D656,2)</f>
        <v/>
      </c>
      <c r="F656" s="29" t="n">
        <v>44880</v>
      </c>
      <c r="G656" s="29" t="inlineStr">
        <is>
          <t>Viezo</t>
        </is>
      </c>
      <c r="H656" t="inlineStr">
        <is>
          <t>FB1024BD6A6EE611</t>
        </is>
      </c>
      <c r="I656">
        <f>IFERROR(_xlfn.IFNA(INDEX(Sensors_MANU!$C$2:$C$4692,MATCH($D656,Sensors_MANU!$B$2:$B$4692,0)),INDEX(Sensors_MANU!$C$2:$C$4692,MATCH($P656,Sensors_MANU!$A$2:$A$4692,0))),"")</f>
        <v/>
      </c>
      <c r="J656">
        <f>IFERROR(_xlfn.IFNA(INDEX(Sensors_MANU!$D$2:$D$4692,MATCH($D656,Sensors_MANU!$B$2:$B$4692,0)),INDEX(Sensors_MANU!$D$2:$D$4692,MATCH($P656,Sensors_MANU!$A$2:$A$4692,0))),"")</f>
        <v/>
      </c>
      <c r="K656" s="27" t="inlineStr">
        <is>
          <t>83546985012-6</t>
        </is>
      </c>
      <c r="L656" s="27" t="inlineStr">
        <is>
          <t>2R</t>
        </is>
      </c>
      <c r="O656" s="6" t="inlineStr">
        <is>
          <t>V25</t>
        </is>
      </c>
    </row>
    <row r="657">
      <c r="A657" s="32">
        <f>IFERROR(_xlfn.IFNA(INDEX(Sensors_MANU!$E$2:$E$4692,MATCH($D657,Sensors_MANU!$B$2:$B$4692,0)),INDEX(Sensors_MANU!$E$2:$E$4692,MATCH($P657,Sensors_MANU!$A$2:$A$4692,0))),"")</f>
        <v/>
      </c>
      <c r="B657" s="24">
        <f>IFERROR(INDEX(Companies!$A$3:$A$101,MATCH(A657,Companies!$B$3:$B$101,0)),"")</f>
        <v/>
      </c>
      <c r="C657">
        <f>IFERROR(_xlfn.IFNA(INDEX(Sensors_MANU!$F$2:$F$4692,MATCH($D657,Sensors_MANU!$B$2:$B$4692,0)),INDEX(Sensors_MANU!$F$2:$F$4692,MATCH($P657,Sensors_MANU!$A$2:$A$4692,0))),"")</f>
        <v/>
      </c>
      <c r="D657" s="50" t="inlineStr">
        <is>
          <t>DCADFA767B61</t>
        </is>
      </c>
      <c r="E657" s="24">
        <f>LEFT(D657,2)&amp;":"&amp;MID(D657,3,2)&amp;":"&amp;MID(D657,5,2)&amp;":"&amp;MID(D657,7,2)&amp;":"&amp;MID(D657,9,2)&amp;":"&amp;RIGHT(D657,2)</f>
        <v/>
      </c>
      <c r="F657" s="29" t="n">
        <v>44754</v>
      </c>
      <c r="G657" s="29" t="inlineStr">
        <is>
          <t>Viezo</t>
        </is>
      </c>
      <c r="H657" s="26" t="inlineStr">
        <is>
          <t>D036B38DF68D6164</t>
        </is>
      </c>
      <c r="I657">
        <f>IFERROR(_xlfn.IFNA(INDEX(Sensors_MANU!$C$2:$C$4692,MATCH($D657,Sensors_MANU!$B$2:$B$4692,0)),INDEX(Sensors_MANU!$C$2:$C$4692,MATCH($P657,Sensors_MANU!$A$2:$A$4692,0))),"")</f>
        <v/>
      </c>
      <c r="J657">
        <f>IFERROR(_xlfn.IFNA(INDEX(Sensors_MANU!$D$2:$D$4692,MATCH($D657,Sensors_MANU!$B$2:$B$4692,0)),INDEX(Sensors_MANU!$D$2:$D$4692,MATCH($P657,Sensors_MANU!$A$2:$A$4692,0))),"")</f>
        <v/>
      </c>
      <c r="K657" s="27" t="inlineStr">
        <is>
          <t>31834789278-4</t>
        </is>
      </c>
      <c r="L657" s="27" t="inlineStr">
        <is>
          <t>2L</t>
        </is>
      </c>
      <c r="O657" s="6" t="inlineStr">
        <is>
          <t>V23</t>
        </is>
      </c>
    </row>
    <row r="658">
      <c r="A658" s="32">
        <f>IFERROR(_xlfn.IFNA(INDEX(Sensors_MANU!$E$2:$E$4692,MATCH($D658,Sensors_MANU!$B$2:$B$4692,0)),INDEX(Sensors_MANU!$E$2:$E$4692,MATCH($P658,Sensors_MANU!$A$2:$A$4692,0))),"")</f>
        <v/>
      </c>
      <c r="B658" s="24">
        <f>IFERROR(INDEX(Companies!$A$3:$A$101,MATCH(A658,Companies!$B$3:$B$101,0)),"")</f>
        <v/>
      </c>
      <c r="C658">
        <f>IFERROR(_xlfn.IFNA(INDEX(Sensors_MANU!$F$2:$F$4692,MATCH($D658,Sensors_MANU!$B$2:$B$4692,0)),INDEX(Sensors_MANU!$F$2:$F$4692,MATCH($P658,Sensors_MANU!$A$2:$A$4692,0))),"")</f>
        <v/>
      </c>
      <c r="D658" s="25" t="inlineStr">
        <is>
          <t>D393FDF1ED49</t>
        </is>
      </c>
      <c r="E658" s="24">
        <f>LEFT(D658,2)&amp;":"&amp;MID(D658,3,2)&amp;":"&amp;MID(D658,5,2)&amp;":"&amp;MID(D658,7,2)&amp;":"&amp;MID(D658,9,2)&amp;":"&amp;RIGHT(D658,2)</f>
        <v/>
      </c>
      <c r="F658" s="29" t="n">
        <v>44754</v>
      </c>
      <c r="G658" s="29" t="inlineStr">
        <is>
          <t>Viezo</t>
        </is>
      </c>
      <c r="H658" t="inlineStr">
        <is>
          <t>292A75A257B7FEE2</t>
        </is>
      </c>
      <c r="I658">
        <f>IFERROR(_xlfn.IFNA(INDEX(Sensors_MANU!$C$2:$C$4692,MATCH($D658,Sensors_MANU!$B$2:$B$4692,0)),INDEX(Sensors_MANU!$C$2:$C$4692,MATCH($P658,Sensors_MANU!$A$2:$A$4692,0))),"")</f>
        <v/>
      </c>
      <c r="J658">
        <f>IFERROR(_xlfn.IFNA(INDEX(Sensors_MANU!$D$2:$D$4692,MATCH($D658,Sensors_MANU!$B$2:$B$4692,0)),INDEX(Sensors_MANU!$D$2:$D$4692,MATCH($P658,Sensors_MANU!$A$2:$A$4692,0))),"")</f>
        <v/>
      </c>
      <c r="K658" s="27" t="inlineStr">
        <is>
          <t>31833919095-7</t>
        </is>
      </c>
      <c r="L658" s="27" t="inlineStr">
        <is>
          <t>4L</t>
        </is>
      </c>
      <c r="O658" s="6" t="inlineStr">
        <is>
          <t>V23</t>
        </is>
      </c>
    </row>
    <row r="659">
      <c r="A659" s="32">
        <f>IFERROR(_xlfn.IFNA(INDEX(Sensors_MANU!$E$2:$E$4692,MATCH($D659,Sensors_MANU!$B$2:$B$4692,0)),INDEX(Sensors_MANU!$E$2:$E$4692,MATCH($P659,Sensors_MANU!$A$2:$A$4692,0))),"")</f>
        <v/>
      </c>
      <c r="B659" s="24">
        <f>IFERROR(INDEX(Companies!$A$3:$A$101,MATCH(A659,Companies!$B$3:$B$101,0)),"")</f>
        <v/>
      </c>
      <c r="C659">
        <f>IFERROR(_xlfn.IFNA(INDEX(Sensors_MANU!$F$2:$F$4692,MATCH($D659,Sensors_MANU!$B$2:$B$4692,0)),INDEX(Sensors_MANU!$F$2:$F$4692,MATCH($P659,Sensors_MANU!$A$2:$A$4692,0))),"")</f>
        <v/>
      </c>
      <c r="D659" s="25" t="inlineStr">
        <is>
          <t>F91897578D5A</t>
        </is>
      </c>
      <c r="E659" s="24">
        <f>LEFT(D659,2)&amp;":"&amp;MID(D659,3,2)&amp;":"&amp;MID(D659,5,2)&amp;":"&amp;MID(D659,7,2)&amp;":"&amp;MID(D659,9,2)&amp;":"&amp;RIGHT(D659,2)</f>
        <v/>
      </c>
      <c r="F659" s="29" t="n">
        <v>44880</v>
      </c>
      <c r="G659" s="29" t="inlineStr">
        <is>
          <t>Viezo</t>
        </is>
      </c>
      <c r="H659" t="inlineStr">
        <is>
          <t>67D88709A82AAF4D</t>
        </is>
      </c>
      <c r="I659">
        <f>IFERROR(_xlfn.IFNA(INDEX(Sensors_MANU!$C$2:$C$4692,MATCH($D659,Sensors_MANU!$B$2:$B$4692,0)),INDEX(Sensors_MANU!$C$2:$C$4692,MATCH($P659,Sensors_MANU!$A$2:$A$4692,0))),"")</f>
        <v/>
      </c>
      <c r="J659">
        <f>IFERROR(_xlfn.IFNA(INDEX(Sensors_MANU!$D$2:$D$4692,MATCH($D659,Sensors_MANU!$B$2:$B$4692,0)),INDEX(Sensors_MANU!$D$2:$D$4692,MATCH($P659,Sensors_MANU!$A$2:$A$4692,0))),"")</f>
        <v/>
      </c>
      <c r="K659" s="27" t="inlineStr">
        <is>
          <t>83546985079-5</t>
        </is>
      </c>
      <c r="L659" s="27" t="inlineStr">
        <is>
          <t>2L</t>
        </is>
      </c>
      <c r="O659" s="6" t="inlineStr">
        <is>
          <t>V23</t>
        </is>
      </c>
    </row>
    <row r="660">
      <c r="B660" s="24">
        <f>IFERROR(INDEX(Companies!$A$3:$A$101,MATCH(A660,Companies!$B$3:$B$101,0)),"")</f>
        <v/>
      </c>
      <c r="C660">
        <f>IFERROR(_xlfn.IFNA(INDEX(Sensors_MANU!$F$2:$F$4692,MATCH($D660,Sensors_MANU!$B$2:$B$4692,0)),INDEX(Sensors_MANU!$F$2:$F$4692,MATCH($P660,Sensors_MANU!$A$2:$A$4692,0))),"")</f>
        <v/>
      </c>
      <c r="D660" s="25" t="inlineStr">
        <is>
          <t>D444D428A103</t>
        </is>
      </c>
      <c r="E660" s="24">
        <f>LEFT(D660,2)&amp;":"&amp;MID(D660,3,2)&amp;":"&amp;MID(D660,5,2)&amp;":"&amp;MID(D660,7,2)&amp;":"&amp;MID(D660,9,2)&amp;":"&amp;RIGHT(D660,2)</f>
        <v/>
      </c>
      <c r="H660" t="inlineStr">
        <is>
          <t>9380F2DEA036B7C7</t>
        </is>
      </c>
      <c r="I660">
        <f>IFERROR(_xlfn.IFNA(INDEX(Sensors_MANU!$C$2:$C$4692,MATCH($D660,Sensors_MANU!$B$2:$B$4692,0)),INDEX(Sensors_MANU!$C$2:$C$4692,MATCH($P660,Sensors_MANU!$A$2:$A$4692,0))),"")</f>
        <v/>
      </c>
      <c r="J660">
        <f>IFERROR(_xlfn.IFNA(INDEX(Sensors_MANU!$D$2:$D$4692,MATCH($D660,Sensors_MANU!$B$2:$B$4692,0)),INDEX(Sensors_MANU!$D$2:$D$4692,MATCH($P660,Sensors_MANU!$A$2:$A$4692,0))),"")</f>
        <v/>
      </c>
      <c r="O660" s="6" t="inlineStr">
        <is>
          <t>V23</t>
        </is>
      </c>
    </row>
    <row r="661">
      <c r="A661" s="32">
        <f>IFERROR(_xlfn.IFNA(INDEX(Sensors_MANU!$E$2:$E$4692,MATCH($D661,Sensors_MANU!$B$2:$B$4692,0)),INDEX(Sensors_MANU!$E$2:$E$4692,MATCH($P661,Sensors_MANU!$A$2:$A$4692,0))),"")</f>
        <v/>
      </c>
      <c r="B661" s="24">
        <f>IFERROR(INDEX(Companies!$A$3:$A$101,MATCH(A661,Companies!$B$3:$B$101,0)),"")</f>
        <v/>
      </c>
      <c r="C661">
        <f>IFERROR(_xlfn.IFNA(INDEX(Sensors_MANU!$F$2:$F$4692,MATCH($D661,Sensors_MANU!$B$2:$B$4692,0)),INDEX(Sensors_MANU!$F$2:$F$4692,MATCH($P661,Sensors_MANU!$A$2:$A$4692,0))),"")</f>
        <v/>
      </c>
      <c r="D661" s="25" t="inlineStr">
        <is>
          <t>FE6248C5C4C6</t>
        </is>
      </c>
      <c r="E661" s="24">
        <f>LEFT(D661,2)&amp;":"&amp;MID(D661,3,2)&amp;":"&amp;MID(D661,5,2)&amp;":"&amp;MID(D661,7,2)&amp;":"&amp;MID(D661,9,2)&amp;":"&amp;RIGHT(D661,2)</f>
        <v/>
      </c>
      <c r="F661" s="29" t="n">
        <v>44754</v>
      </c>
      <c r="G661" s="29" t="inlineStr">
        <is>
          <t>Viezo</t>
        </is>
      </c>
      <c r="H661" t="inlineStr">
        <is>
          <t>B03AD84F85608041</t>
        </is>
      </c>
      <c r="I661">
        <f>IFERROR(_xlfn.IFNA(INDEX(Sensors_MANU!$C$2:$C$4692,MATCH($D661,Sensors_MANU!$B$2:$B$4692,0)),INDEX(Sensors_MANU!$C$2:$C$4692,MATCH($P661,Sensors_MANU!$A$2:$A$4692,0))),"")</f>
        <v/>
      </c>
      <c r="J661">
        <f>IFERROR(_xlfn.IFNA(INDEX(Sensors_MANU!$D$2:$D$4692,MATCH($D661,Sensors_MANU!$B$2:$B$4692,0)),INDEX(Sensors_MANU!$D$2:$D$4692,MATCH($P661,Sensors_MANU!$A$2:$A$4692,0))),"")</f>
        <v/>
      </c>
      <c r="K661" s="27" t="inlineStr">
        <is>
          <t>31834789193-5</t>
        </is>
      </c>
      <c r="L661" s="27" t="inlineStr">
        <is>
          <t>2L</t>
        </is>
      </c>
      <c r="O661" s="6" t="inlineStr">
        <is>
          <t>V23</t>
        </is>
      </c>
    </row>
    <row r="662">
      <c r="A662" s="32">
        <f>IFERROR(_xlfn.IFNA(INDEX(Sensors_MANU!$E$2:$E$4692,MATCH($D662,Sensors_MANU!$B$2:$B$4692,0)),INDEX(Sensors_MANU!$E$2:$E$4692,MATCH($P662,Sensors_MANU!$A$2:$A$4692,0))),"")</f>
        <v/>
      </c>
      <c r="B662" s="24">
        <f>IFERROR(INDEX(Companies!$A$3:$A$101,MATCH(A662,Companies!$B$3:$B$101,0)),"")</f>
        <v/>
      </c>
      <c r="C662">
        <f>IFERROR(_xlfn.IFNA(INDEX(Sensors_MANU!$F$2:$F$4692,MATCH($D662,Sensors_MANU!$B$2:$B$4692,0)),INDEX(Sensors_MANU!$F$2:$F$4692,MATCH($P662,Sensors_MANU!$A$2:$A$4692,0))),"")</f>
        <v/>
      </c>
      <c r="D662" s="25" t="inlineStr">
        <is>
          <t>DD51A16CDEBF</t>
        </is>
      </c>
      <c r="E662" s="24">
        <f>LEFT(D662,2)&amp;":"&amp;MID(D662,3,2)&amp;":"&amp;MID(D662,5,2)&amp;":"&amp;MID(D662,7,2)&amp;":"&amp;MID(D662,9,2)&amp;":"&amp;RIGHT(D662,2)</f>
        <v/>
      </c>
      <c r="F662" s="29" t="n">
        <v>44754</v>
      </c>
      <c r="G662" s="29" t="inlineStr">
        <is>
          <t>Viezo</t>
        </is>
      </c>
      <c r="H662" t="inlineStr">
        <is>
          <t>33035E77A96044FC</t>
        </is>
      </c>
      <c r="I662">
        <f>IFERROR(_xlfn.IFNA(INDEX(Sensors_MANU!$C$2:$C$4692,MATCH($D662,Sensors_MANU!$B$2:$B$4692,0)),INDEX(Sensors_MANU!$C$2:$C$4692,MATCH($P662,Sensors_MANU!$A$2:$A$4692,0))),"")</f>
        <v/>
      </c>
      <c r="J662">
        <f>IFERROR(_xlfn.IFNA(INDEX(Sensors_MANU!$D$2:$D$4692,MATCH($D662,Sensors_MANU!$B$2:$B$4692,0)),INDEX(Sensors_MANU!$D$2:$D$4692,MATCH($P662,Sensors_MANU!$A$2:$A$4692,0))),"")</f>
        <v/>
      </c>
      <c r="K662" s="27" t="inlineStr">
        <is>
          <t>31833919467-8</t>
        </is>
      </c>
      <c r="L662" s="27" t="inlineStr">
        <is>
          <t>4R</t>
        </is>
      </c>
      <c r="O662" s="6" t="inlineStr">
        <is>
          <t>V23</t>
        </is>
      </c>
    </row>
    <row r="663">
      <c r="A663" s="32">
        <f>IFERROR(_xlfn.IFNA(INDEX(Sensors_MANU!$E$2:$E$4692,MATCH($D663,Sensors_MANU!$B$2:$B$4692,0)),INDEX(Sensors_MANU!$E$2:$E$4692,MATCH($P663,Sensors_MANU!$A$2:$A$4692,0))),"")</f>
        <v/>
      </c>
      <c r="B663" s="24">
        <f>IFERROR(INDEX(Companies!$A$3:$A$101,MATCH(A663,Companies!$B$3:$B$101,0)),"")</f>
        <v/>
      </c>
      <c r="C663">
        <f>IFERROR(_xlfn.IFNA(INDEX(Sensors_MANU!$F$2:$F$4692,MATCH($D663,Sensors_MANU!$B$2:$B$4692,0)),INDEX(Sensors_MANU!$F$2:$F$4692,MATCH($P663,Sensors_MANU!$A$2:$A$4692,0))),"")</f>
        <v/>
      </c>
      <c r="D663" s="50" t="inlineStr">
        <is>
          <t>D36B4B682636</t>
        </is>
      </c>
      <c r="E663" s="24">
        <f>LEFT(D663,2)&amp;":"&amp;MID(D663,3,2)&amp;":"&amp;MID(D663,5,2)&amp;":"&amp;MID(D663,7,2)&amp;":"&amp;MID(D663,9,2)&amp;":"&amp;RIGHT(D663,2)</f>
        <v/>
      </c>
      <c r="F663" s="29" t="n">
        <v>44754</v>
      </c>
      <c r="G663" s="29" t="inlineStr">
        <is>
          <t>Viezo</t>
        </is>
      </c>
      <c r="H663" s="26" t="inlineStr">
        <is>
          <t>E857351C6E965557</t>
        </is>
      </c>
      <c r="I663">
        <f>IFERROR(_xlfn.IFNA(INDEX(Sensors_MANU!$C$2:$C$4692,MATCH($D663,Sensors_MANU!$B$2:$B$4692,0)),INDEX(Sensors_MANU!$C$2:$C$4692,MATCH($P663,Sensors_MANU!$A$2:$A$4692,0))),"")</f>
        <v/>
      </c>
      <c r="J663">
        <f>IFERROR(_xlfn.IFNA(INDEX(Sensors_MANU!$D$2:$D$4692,MATCH($D663,Sensors_MANU!$B$2:$B$4692,0)),INDEX(Sensors_MANU!$D$2:$D$4692,MATCH($P663,Sensors_MANU!$A$2:$A$4692,0))),"")</f>
        <v/>
      </c>
      <c r="K663" s="27" t="inlineStr">
        <is>
          <t>31834789278-4</t>
        </is>
      </c>
      <c r="L663" s="27" t="inlineStr">
        <is>
          <t>1L</t>
        </is>
      </c>
      <c r="O663" s="6" t="inlineStr">
        <is>
          <t>V23</t>
        </is>
      </c>
    </row>
    <row r="664">
      <c r="A664" s="32">
        <f>IFERROR(_xlfn.IFNA(INDEX(Sensors_MANU!$E$2:$E$4692,MATCH($D664,Sensors_MANU!$B$2:$B$4692,0)),INDEX(Sensors_MANU!$E$2:$E$4692,MATCH($P664,Sensors_MANU!$A$2:$A$4692,0))),"")</f>
        <v/>
      </c>
      <c r="B664" s="24">
        <f>IFERROR(INDEX(Companies!$A$3:$A$101,MATCH(A664,Companies!$B$3:$B$101,0)),"")</f>
        <v/>
      </c>
      <c r="C664">
        <f>IFERROR(_xlfn.IFNA(INDEX(Sensors_MANU!$F$2:$F$4692,MATCH($D664,Sensors_MANU!$B$2:$B$4692,0)),INDEX(Sensors_MANU!$F$2:$F$4692,MATCH($P664,Sensors_MANU!$A$2:$A$4692,0))),"")</f>
        <v/>
      </c>
      <c r="D664" t="inlineStr">
        <is>
          <t>F724EE3CE4DB</t>
        </is>
      </c>
      <c r="E664">
        <f>LEFT(D664,2)&amp;":"&amp;MID(D664,3,2)&amp;":"&amp;MID(D664,5,2)&amp;":"&amp;MID(D664,7,2)&amp;":"&amp;MID(D664,9,2)&amp;":"&amp;RIGHT(D664,2)</f>
        <v/>
      </c>
      <c r="F664" s="29" t="n">
        <v>44880</v>
      </c>
      <c r="G664" s="29" t="inlineStr">
        <is>
          <t>Viezo</t>
        </is>
      </c>
      <c r="H664" t="inlineStr">
        <is>
          <t>84D1F95D8162D7CF</t>
        </is>
      </c>
      <c r="I664">
        <f>IFERROR(_xlfn.IFNA(INDEX(Sensors_MANU!$C$2:$C$4692,MATCH($D664,Sensors_MANU!$B$2:$B$4692,0)),INDEX(Sensors_MANU!$C$2:$C$4692,MATCH($P664,Sensors_MANU!$A$2:$A$4692,0))),"")</f>
        <v/>
      </c>
      <c r="J664">
        <f>IFERROR(_xlfn.IFNA(INDEX(Sensors_MANU!$D$2:$D$4692,MATCH($D664,Sensors_MANU!$B$2:$B$4692,0)),INDEX(Sensors_MANU!$D$2:$D$4692,MATCH($P664,Sensors_MANU!$A$2:$A$4692,0))),"")</f>
        <v/>
      </c>
      <c r="K664" s="27" t="inlineStr">
        <is>
          <t>83546985065-4</t>
        </is>
      </c>
      <c r="L664" s="27" t="inlineStr">
        <is>
          <t>1R</t>
        </is>
      </c>
      <c r="M664" s="27" t="n"/>
      <c r="N664" s="99">
        <f>IFERROR(INDEX(Sensors_MANU!$G$2:$G$4692,MATCH($P664,Sensors_MANU!$A$2:$A$4692,0)),)</f>
        <v/>
      </c>
      <c r="O664" s="6" t="inlineStr">
        <is>
          <t>v16</t>
        </is>
      </c>
      <c r="P664" t="n">
        <v>4978912</v>
      </c>
    </row>
    <row r="665">
      <c r="A665" s="32">
        <f>IFERROR(_xlfn.IFNA(INDEX(Sensors_MANU!$E$2:$E$4692,MATCH($D665,Sensors_MANU!$B$2:$B$4692,0)),INDEX(Sensors_MANU!$E$2:$E$4692,MATCH($P665,Sensors_MANU!$A$2:$A$4692,0))),"")</f>
        <v/>
      </c>
      <c r="B665" s="24">
        <f>IFERROR(INDEX(Companies!$A$3:$A$101,MATCH(A665,Companies!$B$3:$B$101,0)),"")</f>
        <v/>
      </c>
      <c r="C665">
        <f>IFERROR(_xlfn.IFNA(INDEX(Sensors_MANU!$F$2:$F$4692,MATCH($D665,Sensors_MANU!$B$2:$B$4692,0)),INDEX(Sensors_MANU!$F$2:$F$4692,MATCH($P665,Sensors_MANU!$A$2:$A$4692,0))),"")</f>
        <v/>
      </c>
      <c r="D665" s="50" t="inlineStr">
        <is>
          <t>F106F701B5ED</t>
        </is>
      </c>
      <c r="E665" s="24">
        <f>LEFT(D665,2)&amp;":"&amp;MID(D665,3,2)&amp;":"&amp;MID(D665,5,2)&amp;":"&amp;MID(D665,7,2)&amp;":"&amp;MID(D665,9,2)&amp;":"&amp;RIGHT(D665,2)</f>
        <v/>
      </c>
      <c r="F665" s="29" t="n">
        <v>44754</v>
      </c>
      <c r="G665" s="29" t="inlineStr">
        <is>
          <t>Viezo</t>
        </is>
      </c>
      <c r="H665" s="26" t="inlineStr">
        <is>
          <t>E8F95EDD0BB94B50</t>
        </is>
      </c>
      <c r="I665">
        <f>IFERROR(_xlfn.IFNA(INDEX(Sensors_MANU!$C$2:$C$4692,MATCH($D665,Sensors_MANU!$B$2:$B$4692,0)),INDEX(Sensors_MANU!$C$2:$C$4692,MATCH($P665,Sensors_MANU!$A$2:$A$4692,0))),"")</f>
        <v/>
      </c>
      <c r="J665">
        <f>IFERROR(_xlfn.IFNA(INDEX(Sensors_MANU!$D$2:$D$4692,MATCH($D665,Sensors_MANU!$B$2:$B$4692,0)),INDEX(Sensors_MANU!$D$2:$D$4692,MATCH($P665,Sensors_MANU!$A$2:$A$4692,0))),"")</f>
        <v/>
      </c>
      <c r="K665" s="27" t="inlineStr">
        <is>
          <t>31833919095-7</t>
        </is>
      </c>
      <c r="L665" s="27" t="inlineStr">
        <is>
          <t>1R</t>
        </is>
      </c>
      <c r="O665" s="6" t="inlineStr">
        <is>
          <t>V23</t>
        </is>
      </c>
    </row>
    <row r="666">
      <c r="A666" s="32">
        <f>IFERROR(_xlfn.IFNA(INDEX(Sensors_MANU!$E$2:$E$4692,MATCH($D666,Sensors_MANU!$B$2:$B$4692,0)),INDEX(Sensors_MANU!$E$2:$E$4692,MATCH($P666,Sensors_MANU!$A$2:$A$4692,0))),"")</f>
        <v/>
      </c>
      <c r="B666" s="24">
        <f>IFERROR(INDEX(Companies!$A$3:$A$101,MATCH(A666,Companies!$B$3:$B$101,0)),"")</f>
        <v/>
      </c>
      <c r="C666">
        <f>IFERROR(_xlfn.IFNA(INDEX(Sensors_MANU!$F$2:$F$4692,MATCH($D666,Sensors_MANU!$B$2:$B$4692,0)),INDEX(Sensors_MANU!$F$2:$F$4692,MATCH($P666,Sensors_MANU!$A$2:$A$4692,0))),"")</f>
        <v/>
      </c>
      <c r="D666" t="inlineStr">
        <is>
          <t>D62F97440B60</t>
        </is>
      </c>
      <c r="E666">
        <f>LEFT(D666,2)&amp;":"&amp;MID(D666,3,2)&amp;":"&amp;MID(D666,5,2)&amp;":"&amp;MID(D666,7,2)&amp;":"&amp;MID(D666,9,2)&amp;":"&amp;RIGHT(D666,2)</f>
        <v/>
      </c>
      <c r="F666" s="29" t="n">
        <v>44880</v>
      </c>
      <c r="G666" s="29" t="inlineStr">
        <is>
          <t>Viezo</t>
        </is>
      </c>
      <c r="H666" t="inlineStr">
        <is>
          <t>D508D72E7F0C46A1</t>
        </is>
      </c>
      <c r="I666">
        <f>IFERROR(_xlfn.IFNA(INDEX(Sensors_MANU!$C$2:$C$4692,MATCH($D666,Sensors_MANU!$B$2:$B$4692,0)),INDEX(Sensors_MANU!$C$2:$C$4692,MATCH($P666,Sensors_MANU!$A$2:$A$4692,0))),"")</f>
        <v/>
      </c>
      <c r="J666">
        <f>IFERROR(_xlfn.IFNA(INDEX(Sensors_MANU!$D$2:$D$4692,MATCH($D666,Sensors_MANU!$B$2:$B$4692,0)),INDEX(Sensors_MANU!$D$2:$D$4692,MATCH($P666,Sensors_MANU!$A$2:$A$4692,0))),"")</f>
        <v/>
      </c>
      <c r="K666" s="27" t="inlineStr">
        <is>
          <t>83546985072-0</t>
        </is>
      </c>
      <c r="L666" s="27" t="inlineStr">
        <is>
          <t>3L</t>
        </is>
      </c>
      <c r="M666" s="27" t="n"/>
      <c r="N666" s="99">
        <f>IFERROR(INDEX(Sensors_MANU!$G$2:$G$4692,MATCH($P666,Sensors_MANU!$A$2:$A$4692,0)),)</f>
        <v/>
      </c>
      <c r="O666" s="6" t="inlineStr">
        <is>
          <t>v16</t>
        </is>
      </c>
      <c r="P666" t="n">
        <v>4978845</v>
      </c>
    </row>
    <row r="667">
      <c r="A667" s="32">
        <f>IFERROR(_xlfn.IFNA(INDEX(Sensors_MANU!$E$2:$E$4692,MATCH($D667,Sensors_MANU!$B$2:$B$4692,0)),INDEX(Sensors_MANU!$E$2:$E$4692,MATCH($P667,Sensors_MANU!$A$2:$A$4692,0))),"")</f>
        <v/>
      </c>
      <c r="B667" s="24">
        <f>IFERROR(INDEX(Companies!$A$3:$A$101,MATCH(A667,Companies!$B$3:$B$101,0)),"")</f>
        <v/>
      </c>
      <c r="C667">
        <f>IFERROR(_xlfn.IFNA(INDEX(Sensors_MANU!$F$2:$F$4692,MATCH($D667,Sensors_MANU!$B$2:$B$4692,0)),INDEX(Sensors_MANU!$F$2:$F$4692,MATCH($P667,Sensors_MANU!$A$2:$A$4692,0))),"")</f>
        <v/>
      </c>
      <c r="D667" s="50" t="inlineStr">
        <is>
          <t>D289274AEE75</t>
        </is>
      </c>
      <c r="E667" s="24">
        <f>LEFT(D667,2)&amp;":"&amp;MID(D667,3,2)&amp;":"&amp;MID(D667,5,2)&amp;":"&amp;MID(D667,7,2)&amp;":"&amp;MID(D667,9,2)&amp;":"&amp;RIGHT(D667,2)</f>
        <v/>
      </c>
      <c r="F667" s="29" t="n">
        <v>44754</v>
      </c>
      <c r="G667" s="29" t="inlineStr">
        <is>
          <t>Viezo</t>
        </is>
      </c>
      <c r="H667" s="26" t="inlineStr">
        <is>
          <t>6ED2FC4DD08EF5BB</t>
        </is>
      </c>
      <c r="I667">
        <f>IFERROR(_xlfn.IFNA(INDEX(Sensors_MANU!$C$2:$C$4692,MATCH($D667,Sensors_MANU!$B$2:$B$4692,0)),INDEX(Sensors_MANU!$C$2:$C$4692,MATCH($P667,Sensors_MANU!$A$2:$A$4692,0))),"")</f>
        <v/>
      </c>
      <c r="J667">
        <f>IFERROR(_xlfn.IFNA(INDEX(Sensors_MANU!$D$2:$D$4692,MATCH($D667,Sensors_MANU!$B$2:$B$4692,0)),INDEX(Sensors_MANU!$D$2:$D$4692,MATCH($P667,Sensors_MANU!$A$2:$A$4692,0))),"")</f>
        <v/>
      </c>
      <c r="K667" s="27" t="inlineStr">
        <is>
          <t>31833919467-8</t>
        </is>
      </c>
      <c r="L667" s="27" t="inlineStr">
        <is>
          <t>3R</t>
        </is>
      </c>
      <c r="N667" s="99" t="inlineStr">
        <is>
          <t>Nuskenuoti NFC ir patikrinti MAC</t>
        </is>
      </c>
      <c r="O667" s="6" t="inlineStr">
        <is>
          <t>V23</t>
        </is>
      </c>
    </row>
    <row r="668">
      <c r="A668" s="32">
        <f>IFERROR(_xlfn.IFNA(INDEX(Sensors_MANU!$E$2:$E$4692,MATCH($D668,Sensors_MANU!$B$2:$B$4692,0)),INDEX(Sensors_MANU!$E$2:$E$4692,MATCH($P668,Sensors_MANU!$A$2:$A$4692,0))),"")</f>
        <v/>
      </c>
      <c r="B668" s="24">
        <f>IFERROR(INDEX(Companies!$A$3:$A$101,MATCH(A668,Companies!$B$3:$B$101,0)),"")</f>
        <v/>
      </c>
      <c r="C668">
        <f>IFERROR(_xlfn.IFNA(INDEX(Sensors_MANU!$F$2:$F$4692,MATCH($D668,Sensors_MANU!$B$2:$B$4692,0)),INDEX(Sensors_MANU!$F$2:$F$4692,MATCH($P668,Sensors_MANU!$A$2:$A$4692,0))),"")</f>
        <v/>
      </c>
      <c r="D668" t="inlineStr">
        <is>
          <t>DD9BD7BFBF1D</t>
        </is>
      </c>
      <c r="E668">
        <f>LEFT(D668,2)&amp;":"&amp;MID(D668,3,2)&amp;":"&amp;MID(D668,5,2)&amp;":"&amp;MID(D668,7,2)&amp;":"&amp;MID(D668,9,2)&amp;":"&amp;RIGHT(D668,2)</f>
        <v/>
      </c>
      <c r="F668" s="29" t="n">
        <v>44880</v>
      </c>
      <c r="G668" s="29" t="inlineStr">
        <is>
          <t>Viezo</t>
        </is>
      </c>
      <c r="H668" t="inlineStr">
        <is>
          <t>5BFE265937A39C40</t>
        </is>
      </c>
      <c r="I668">
        <f>IFERROR(_xlfn.IFNA(INDEX(Sensors_MANU!$C$2:$C$4692,MATCH($D668,Sensors_MANU!$B$2:$B$4692,0)),INDEX(Sensors_MANU!$C$2:$C$4692,MATCH($P668,Sensors_MANU!$A$2:$A$4692,0))),"")</f>
        <v/>
      </c>
      <c r="J668">
        <f>IFERROR(_xlfn.IFNA(INDEX(Sensors_MANU!$D$2:$D$4692,MATCH($D668,Sensors_MANU!$B$2:$B$4692,0)),INDEX(Sensors_MANU!$D$2:$D$4692,MATCH($P668,Sensors_MANU!$A$2:$A$4692,0))),"")</f>
        <v/>
      </c>
      <c r="K668" s="27" t="inlineStr">
        <is>
          <t>83546985012-6</t>
        </is>
      </c>
      <c r="L668" s="27" t="inlineStr">
        <is>
          <t>4R</t>
        </is>
      </c>
      <c r="M668" s="27" t="n"/>
      <c r="N668" s="99">
        <f>IFERROR(INDEX(Sensors_MANU!$G$2:$G$4692,MATCH($P668,Sensors_MANU!$A$2:$A$4692,0)),)</f>
        <v/>
      </c>
      <c r="O668" s="6" t="inlineStr">
        <is>
          <t>v16</t>
        </is>
      </c>
      <c r="P668" t="n">
        <v>4978862</v>
      </c>
    </row>
    <row r="669">
      <c r="A669" s="32">
        <f>IFERROR(_xlfn.IFNA(INDEX(Sensors_MANU!$E$2:$E$4692,MATCH($D669,Sensors_MANU!$B$2:$B$4692,0)),INDEX(Sensors_MANU!$E$2:$E$4692,MATCH($P669,Sensors_MANU!$A$2:$A$4692,0))),"")</f>
        <v/>
      </c>
      <c r="B669" s="24">
        <f>IFERROR(INDEX(Companies!$A$3:$A$101,MATCH(A669,Companies!$B$3:$B$101,0)),"")</f>
        <v/>
      </c>
      <c r="C669">
        <f>IFERROR(_xlfn.IFNA(INDEX(Sensors_MANU!$F$2:$F$4692,MATCH($D669,Sensors_MANU!$B$2:$B$4692,0)),INDEX(Sensors_MANU!$F$2:$F$4692,MATCH($P669,Sensors_MANU!$A$2:$A$4692,0))),"")</f>
        <v/>
      </c>
      <c r="D669" s="25" t="inlineStr">
        <is>
          <t>CA2A8FE5132B</t>
        </is>
      </c>
      <c r="E669" s="24">
        <f>LEFT(D669,2)&amp;":"&amp;MID(D669,3,2)&amp;":"&amp;MID(D669,5,2)&amp;":"&amp;MID(D669,7,2)&amp;":"&amp;MID(D669,9,2)&amp;":"&amp;RIGHT(D669,2)</f>
        <v/>
      </c>
      <c r="F669" s="29" t="n">
        <v>44754</v>
      </c>
      <c r="G669" s="29" t="inlineStr">
        <is>
          <t>Viezo</t>
        </is>
      </c>
      <c r="H669" t="inlineStr">
        <is>
          <t>47FA10B96CE896EB</t>
        </is>
      </c>
      <c r="I669">
        <f>IFERROR(_xlfn.IFNA(INDEX(Sensors_MANU!$C$2:$C$4692,MATCH($D669,Sensors_MANU!$B$2:$B$4692,0)),INDEX(Sensors_MANU!$C$2:$C$4692,MATCH($P669,Sensors_MANU!$A$2:$A$4692,0))),"")</f>
        <v/>
      </c>
      <c r="J669">
        <f>IFERROR(_xlfn.IFNA(INDEX(Sensors_MANU!$D$2:$D$4692,MATCH($D669,Sensors_MANU!$B$2:$B$4692,0)),INDEX(Sensors_MANU!$D$2:$D$4692,MATCH($P669,Sensors_MANU!$A$2:$A$4692,0))),"")</f>
        <v/>
      </c>
      <c r="K669" s="27" t="inlineStr">
        <is>
          <t>31834668448-9</t>
        </is>
      </c>
      <c r="L669" s="27" t="inlineStr">
        <is>
          <t>1R</t>
        </is>
      </c>
      <c r="O669" s="6" t="inlineStr">
        <is>
          <t>V23</t>
        </is>
      </c>
    </row>
    <row r="670">
      <c r="A670" s="32">
        <f>IFERROR(_xlfn.IFNA(INDEX(Sensors_MANU!$E$2:$E$4692,MATCH($D670,Sensors_MANU!$B$2:$B$4692,0)),INDEX(Sensors_MANU!$E$2:$E$4692,MATCH($P670,Sensors_MANU!$A$2:$A$4692,0))),"")</f>
        <v/>
      </c>
      <c r="B670" s="24">
        <f>IFERROR(INDEX(Companies!$A$3:$A$101,MATCH(A670,Companies!$B$3:$B$101,0)),"")</f>
        <v/>
      </c>
      <c r="C670">
        <f>IFERROR(_xlfn.IFNA(INDEX(Sensors_MANU!$F$2:$F$4692,MATCH($D670,Sensors_MANU!$B$2:$B$4692,0)),INDEX(Sensors_MANU!$F$2:$F$4692,MATCH($P670,Sensors_MANU!$A$2:$A$4692,0))),"")</f>
        <v/>
      </c>
      <c r="D670" s="50" t="inlineStr">
        <is>
          <t>D4B2288F32A9</t>
        </is>
      </c>
      <c r="E670" s="24">
        <f>LEFT(D670,2)&amp;":"&amp;MID(D670,3,2)&amp;":"&amp;MID(D670,5,2)&amp;":"&amp;MID(D670,7,2)&amp;":"&amp;MID(D670,9,2)&amp;":"&amp;RIGHT(D670,2)</f>
        <v/>
      </c>
      <c r="F670" s="29" t="n">
        <v>44754</v>
      </c>
      <c r="G670" s="29" t="inlineStr">
        <is>
          <t>Viezo</t>
        </is>
      </c>
      <c r="H670" s="26" t="inlineStr">
        <is>
          <t>0143C883A1426C40</t>
        </is>
      </c>
      <c r="I670">
        <f>IFERROR(_xlfn.IFNA(INDEX(Sensors_MANU!$C$2:$C$4692,MATCH($D670,Sensors_MANU!$B$2:$B$4692,0)),INDEX(Sensors_MANU!$C$2:$C$4692,MATCH($P670,Sensors_MANU!$A$2:$A$4692,0))),"")</f>
        <v/>
      </c>
      <c r="J670">
        <f>IFERROR(_xlfn.IFNA(INDEX(Sensors_MANU!$D$2:$D$4692,MATCH($D670,Sensors_MANU!$B$2:$B$4692,0)),INDEX(Sensors_MANU!$D$2:$D$4692,MATCH($P670,Sensors_MANU!$A$2:$A$4692,0))),"")</f>
        <v/>
      </c>
      <c r="K670" s="27" t="inlineStr">
        <is>
          <t>31834789193-5</t>
        </is>
      </c>
      <c r="L670" s="27" t="inlineStr">
        <is>
          <t>1R</t>
        </is>
      </c>
      <c r="O670" s="6" t="inlineStr">
        <is>
          <t>V23</t>
        </is>
      </c>
    </row>
    <row r="671">
      <c r="A671" s="32">
        <f>IFERROR(_xlfn.IFNA(INDEX(Sensors_MANU!$E$2:$E$4692,MATCH($D671,Sensors_MANU!$B$2:$B$4692,0)),INDEX(Sensors_MANU!$E$2:$E$4692,MATCH($P671,Sensors_MANU!$A$2:$A$4692,0))),"")</f>
        <v/>
      </c>
      <c r="B671" s="24">
        <f>IFERROR(INDEX(Companies!$A$3:$A$101,MATCH(A671,Companies!$B$3:$B$101,0)),"")</f>
        <v/>
      </c>
      <c r="C671">
        <f>IFERROR(_xlfn.IFNA(INDEX(Sensors_MANU!$F$2:$F$4692,MATCH($D671,Sensors_MANU!$B$2:$B$4692,0)),INDEX(Sensors_MANU!$F$2:$F$4692,MATCH($P671,Sensors_MANU!$A$2:$A$4692,0))),"")</f>
        <v/>
      </c>
      <c r="D671" t="inlineStr">
        <is>
          <t>C8D42C9F3D6D</t>
        </is>
      </c>
      <c r="E671" s="24">
        <f>LEFT(D671,2)&amp;":"&amp;MID(D671,3,2)&amp;":"&amp;MID(D671,5,2)&amp;":"&amp;MID(D671,7,2)&amp;":"&amp;MID(D671,9,2)&amp;":"&amp;RIGHT(D671,2)</f>
        <v/>
      </c>
      <c r="F671" s="29" t="n">
        <v>44880</v>
      </c>
      <c r="G671" s="29" t="inlineStr">
        <is>
          <t>Viezo</t>
        </is>
      </c>
      <c r="H671" t="inlineStr">
        <is>
          <t>FA064A78EF50BDD7</t>
        </is>
      </c>
      <c r="I671">
        <f>IFERROR(_xlfn.IFNA(INDEX(Sensors_MANU!$C$2:$C$4692,MATCH($D671,Sensors_MANU!$B$2:$B$4692,0)),INDEX(Sensors_MANU!$C$2:$C$4692,MATCH($P671,Sensors_MANU!$A$2:$A$4692,0))),"")</f>
        <v/>
      </c>
      <c r="J671">
        <f>IFERROR(_xlfn.IFNA(INDEX(Sensors_MANU!$D$2:$D$4692,MATCH($D671,Sensors_MANU!$B$2:$B$4692,0)),INDEX(Sensors_MANU!$D$2:$D$4692,MATCH($P671,Sensors_MANU!$A$2:$A$4692,0))),"")</f>
        <v/>
      </c>
      <c r="K671" s="27" t="inlineStr">
        <is>
          <t>83546985065-4</t>
        </is>
      </c>
      <c r="L671" s="27" t="inlineStr">
        <is>
          <t>1L</t>
        </is>
      </c>
      <c r="O671" s="6" t="inlineStr">
        <is>
          <t>V25</t>
        </is>
      </c>
    </row>
    <row r="672">
      <c r="A672" s="32">
        <f>IFERROR(_xlfn.IFNA(INDEX(Sensors_MANU!$E$2:$E$4692,MATCH($D672,Sensors_MANU!$B$2:$B$4692,0)),INDEX(Sensors_MANU!$E$2:$E$4692,MATCH($P672,Sensors_MANU!$A$2:$A$4692,0))),"")</f>
        <v/>
      </c>
      <c r="B672" s="24">
        <f>IFERROR(INDEX(Companies!$A$3:$A$101,MATCH(A672,Companies!$B$3:$B$101,0)),"")</f>
        <v/>
      </c>
      <c r="C672">
        <f>IFERROR(_xlfn.IFNA(INDEX(Sensors_MANU!$F$2:$F$4692,MATCH($D672,Sensors_MANU!$B$2:$B$4692,0)),INDEX(Sensors_MANU!$F$2:$F$4692,MATCH($P672,Sensors_MANU!$A$2:$A$4692,0))),"")</f>
        <v/>
      </c>
      <c r="D672" t="inlineStr">
        <is>
          <t>EFA449C53205</t>
        </is>
      </c>
      <c r="E672" s="24">
        <f>LEFT(D672,2)&amp;":"&amp;MID(D672,3,2)&amp;":"&amp;MID(D672,5,2)&amp;":"&amp;MID(D672,7,2)&amp;":"&amp;MID(D672,9,2)&amp;":"&amp;RIGHT(D672,2)</f>
        <v/>
      </c>
      <c r="F672" s="29" t="n">
        <v>44832</v>
      </c>
      <c r="G672" s="29" t="inlineStr">
        <is>
          <t>Hupac</t>
        </is>
      </c>
      <c r="H672" t="inlineStr">
        <is>
          <t>D505CC82735D4DF0</t>
        </is>
      </c>
      <c r="I672">
        <f>IFERROR(_xlfn.IFNA(INDEX(Sensors_MANU!$C$2:$C$4692,MATCH($D672,Sensors_MANU!$B$2:$B$4692,0)),INDEX(Sensors_MANU!$C$2:$C$4692,MATCH($P672,Sensors_MANU!$A$2:$A$4692,0))),"")</f>
        <v/>
      </c>
      <c r="J672">
        <f>IFERROR(_xlfn.IFNA(INDEX(Sensors_MANU!$D$2:$D$4692,MATCH($D672,Sensors_MANU!$B$2:$B$4692,0)),INDEX(Sensors_MANU!$D$2:$D$4692,MATCH($P672,Sensors_MANU!$A$2:$A$4692,0))),"")</f>
        <v/>
      </c>
      <c r="K672" s="27" t="inlineStr">
        <is>
          <t>33-85-4956-687-9</t>
        </is>
      </c>
      <c r="L672" s="27" t="inlineStr">
        <is>
          <t>4b</t>
        </is>
      </c>
      <c r="M672" s="61" t="inlineStr">
        <is>
          <t>88200742</t>
        </is>
      </c>
      <c r="O672" s="6" t="inlineStr">
        <is>
          <t>V24</t>
        </is>
      </c>
    </row>
    <row r="673">
      <c r="A673" s="32">
        <f>IFERROR(_xlfn.IFNA(INDEX(Sensors_MANU!$E$2:$E$4692,MATCH($D673,Sensors_MANU!$B$2:$B$4692,0)),INDEX(Sensors_MANU!$E$2:$E$4692,MATCH($P673,Sensors_MANU!$A$2:$A$4692,0))),"")</f>
        <v/>
      </c>
      <c r="B673" s="24">
        <f>IFERROR(INDEX(Companies!$A$3:$A$101,MATCH(A673,Companies!$B$3:$B$101,0)),"")</f>
        <v/>
      </c>
      <c r="C673">
        <f>IFERROR(_xlfn.IFNA(INDEX(Sensors_MANU!$F$2:$F$4692,MATCH($D673,Sensors_MANU!$B$2:$B$4692,0)),INDEX(Sensors_MANU!$F$2:$F$4692,MATCH($P673,Sensors_MANU!$A$2:$A$4692,0))),"")</f>
        <v/>
      </c>
      <c r="D673" t="inlineStr">
        <is>
          <t>D406293E79B2</t>
        </is>
      </c>
      <c r="E673">
        <f>LEFT(D673,2)&amp;":"&amp;MID(D673,3,2)&amp;":"&amp;MID(D673,5,2)&amp;":"&amp;MID(D673,7,2)&amp;":"&amp;MID(D673,9,2)&amp;":"&amp;RIGHT(D673,2)</f>
        <v/>
      </c>
      <c r="F673" s="29" t="n">
        <v>44872</v>
      </c>
      <c r="G673" s="29" t="inlineStr">
        <is>
          <t>Viezo</t>
        </is>
      </c>
      <c r="H673" t="inlineStr">
        <is>
          <t>3B542B8A1E55258B</t>
        </is>
      </c>
      <c r="I673">
        <f>IFERROR(_xlfn.IFNA(INDEX(Sensors_MANU!$C$2:$C$4692,MATCH($D673,Sensors_MANU!$B$2:$B$4692,0)),INDEX(Sensors_MANU!$C$2:$C$4692,MATCH($P673,Sensors_MANU!$A$2:$A$4692,0))),"")</f>
        <v/>
      </c>
      <c r="J673">
        <f>IFERROR(_xlfn.IFNA(INDEX(Sensors_MANU!$D$2:$D$4692,MATCH($D673,Sensors_MANU!$B$2:$B$4692,0)),INDEX(Sensors_MANU!$D$2:$D$4692,MATCH($P673,Sensors_MANU!$A$2:$A$4692,0))),"")</f>
        <v/>
      </c>
      <c r="K673" s="27" t="inlineStr">
        <is>
          <t>84515332773-7</t>
        </is>
      </c>
      <c r="L673" s="27" t="inlineStr">
        <is>
          <t>3R</t>
        </is>
      </c>
      <c r="M673" s="27" t="n"/>
      <c r="N673" s="99" t="inlineStr">
        <is>
          <t>The operator has the device or its lost (they got it for free), but we dont monitor it on Ubidots anymore.</t>
        </is>
      </c>
      <c r="O673" s="6" t="inlineStr">
        <is>
          <t>v15</t>
        </is>
      </c>
      <c r="P673" t="n">
        <v>4978692</v>
      </c>
    </row>
    <row r="674">
      <c r="B674" s="24">
        <f>IFERROR(INDEX(Companies!$A$3:$A$101,MATCH(A674,Companies!$B$3:$B$101,0)),"")</f>
        <v/>
      </c>
      <c r="C674">
        <f>IFERROR(_xlfn.IFNA(INDEX(Sensors_MANU!$F$2:$F$4692,MATCH($D674,Sensors_MANU!$B$2:$B$4692,0)),INDEX(Sensors_MANU!$F$2:$F$4692,MATCH($P674,Sensors_MANU!$A$2:$A$4692,0))),"")</f>
        <v/>
      </c>
      <c r="D674" s="25" t="inlineStr">
        <is>
          <t>DDAA1C12EC43</t>
        </is>
      </c>
      <c r="E674" s="24">
        <f>LEFT(D674,2)&amp;":"&amp;MID(D674,3,2)&amp;":"&amp;MID(D674,5,2)&amp;":"&amp;MID(D674,7,2)&amp;":"&amp;MID(D674,9,2)&amp;":"&amp;RIGHT(D674,2)</f>
        <v/>
      </c>
      <c r="H674" t="inlineStr">
        <is>
          <t>4765178B9E95AB9A</t>
        </is>
      </c>
      <c r="I674">
        <f>IFERROR(_xlfn.IFNA(INDEX(Sensors_MANU!$C$2:$C$4692,MATCH($D674,Sensors_MANU!$B$2:$B$4692,0)),INDEX(Sensors_MANU!$C$2:$C$4692,MATCH($P674,Sensors_MANU!$A$2:$A$4692,0))),"")</f>
        <v/>
      </c>
      <c r="J674">
        <f>IFERROR(_xlfn.IFNA(INDEX(Sensors_MANU!$D$2:$D$4692,MATCH($D674,Sensors_MANU!$B$2:$B$4692,0)),INDEX(Sensors_MANU!$D$2:$D$4692,MATCH($P674,Sensors_MANU!$A$2:$A$4692,0))),"")</f>
        <v/>
      </c>
      <c r="O674" s="6" t="inlineStr">
        <is>
          <t>V23</t>
        </is>
      </c>
    </row>
    <row r="675">
      <c r="A675" s="32">
        <f>IFERROR(_xlfn.IFNA(INDEX(Sensors_MANU!$E$2:$E$4692,MATCH($D675,Sensors_MANU!$B$2:$B$4692,0)),INDEX(Sensors_MANU!$E$2:$E$4692,MATCH($P675,Sensors_MANU!$A$2:$A$4692,0))),"")</f>
        <v/>
      </c>
      <c r="B675" s="24">
        <f>IFERROR(INDEX(Companies!$A$3:$A$101,MATCH(A675,Companies!$B$3:$B$101,0)),"")</f>
        <v/>
      </c>
      <c r="C675">
        <f>IFERROR(_xlfn.IFNA(INDEX(Sensors_MANU!$F$2:$F$4692,MATCH($D675,Sensors_MANU!$B$2:$B$4692,0)),INDEX(Sensors_MANU!$F$2:$F$4692,MATCH($P675,Sensors_MANU!$A$2:$A$4692,0))),"")</f>
        <v/>
      </c>
      <c r="D675" s="25" t="inlineStr">
        <is>
          <t>DE3E390C3FAA</t>
        </is>
      </c>
      <c r="E675" s="24">
        <f>LEFT(D675,2)&amp;":"&amp;MID(D675,3,2)&amp;":"&amp;MID(D675,5,2)&amp;":"&amp;MID(D675,7,2)&amp;":"&amp;MID(D675,9,2)&amp;":"&amp;RIGHT(D675,2)</f>
        <v/>
      </c>
      <c r="F675" s="29" t="n">
        <v>44880</v>
      </c>
      <c r="G675" s="29" t="inlineStr">
        <is>
          <t>Viezo</t>
        </is>
      </c>
      <c r="H675" t="inlineStr">
        <is>
          <t>FCDFD5382CA47671</t>
        </is>
      </c>
      <c r="I675">
        <f>IFERROR(_xlfn.IFNA(INDEX(Sensors_MANU!$C$2:$C$4692,MATCH($D675,Sensors_MANU!$B$2:$B$4692,0)),INDEX(Sensors_MANU!$C$2:$C$4692,MATCH($P675,Sensors_MANU!$A$2:$A$4692,0))),"")</f>
        <v/>
      </c>
      <c r="J675">
        <f>IFERROR(_xlfn.IFNA(INDEX(Sensors_MANU!$D$2:$D$4692,MATCH($D675,Sensors_MANU!$B$2:$B$4692,0)),INDEX(Sensors_MANU!$D$2:$D$4692,MATCH($P675,Sensors_MANU!$A$2:$A$4692,0))),"")</f>
        <v/>
      </c>
      <c r="K675" s="27" t="inlineStr">
        <is>
          <t>83546985095-1</t>
        </is>
      </c>
      <c r="L675" s="27" t="inlineStr">
        <is>
          <t>2L</t>
        </is>
      </c>
      <c r="O675" s="6" t="inlineStr">
        <is>
          <t>V23</t>
        </is>
      </c>
    </row>
    <row r="676">
      <c r="A676" s="32">
        <f>IFERROR(_xlfn.IFNA(INDEX(Sensors_MANU!$E$2:$E$4692,MATCH($D676,Sensors_MANU!$B$2:$B$4692,0)),INDEX(Sensors_MANU!$E$2:$E$4692,MATCH($P676,Sensors_MANU!$A$2:$A$4692,0))),"")</f>
        <v/>
      </c>
      <c r="B676" s="24">
        <f>IFERROR(INDEX(Companies!$A$3:$A$101,MATCH(A676,Companies!$B$3:$B$101,0)),"")</f>
        <v/>
      </c>
      <c r="C676">
        <f>IFERROR(_xlfn.IFNA(INDEX(Sensors_MANU!$F$2:$F$4692,MATCH($D676,Sensors_MANU!$B$2:$B$4692,0)),INDEX(Sensors_MANU!$F$2:$F$4692,MATCH($P676,Sensors_MANU!$A$2:$A$4692,0))),"")</f>
        <v/>
      </c>
      <c r="D676" s="25" t="inlineStr">
        <is>
          <t>C5A4DB10399C</t>
        </is>
      </c>
      <c r="E676" s="24">
        <f>LEFT(D676,2)&amp;":"&amp;MID(D676,3,2)&amp;":"&amp;MID(D676,5,2)&amp;":"&amp;MID(D676,7,2)&amp;":"&amp;MID(D676,9,2)&amp;":"&amp;RIGHT(D676,2)</f>
        <v/>
      </c>
      <c r="F676" s="29" t="n">
        <v>44754</v>
      </c>
      <c r="G676" s="29" t="inlineStr">
        <is>
          <t>Viezo</t>
        </is>
      </c>
      <c r="H676" t="inlineStr">
        <is>
          <t>924F41FCB1BFBD95</t>
        </is>
      </c>
      <c r="I676">
        <f>IFERROR(_xlfn.IFNA(INDEX(Sensors_MANU!$C$2:$C$4692,MATCH($D676,Sensors_MANU!$B$2:$B$4692,0)),INDEX(Sensors_MANU!$C$2:$C$4692,MATCH($P676,Sensors_MANU!$A$2:$A$4692,0))),"")</f>
        <v/>
      </c>
      <c r="J676">
        <f>IFERROR(_xlfn.IFNA(INDEX(Sensors_MANU!$D$2:$D$4692,MATCH($D676,Sensors_MANU!$B$2:$B$4692,0)),INDEX(Sensors_MANU!$D$2:$D$4692,MATCH($P676,Sensors_MANU!$A$2:$A$4692,0))),"")</f>
        <v/>
      </c>
      <c r="K676" s="27" t="inlineStr">
        <is>
          <t>31834785082-4</t>
        </is>
      </c>
      <c r="L676" s="27" t="inlineStr">
        <is>
          <t>2R</t>
        </is>
      </c>
      <c r="O676" s="6" t="inlineStr">
        <is>
          <t>V23</t>
        </is>
      </c>
    </row>
    <row r="677">
      <c r="A677" s="32">
        <f>IFERROR(_xlfn.IFNA(INDEX(Sensors_MANU!$E$2:$E$4692,MATCH($D677,Sensors_MANU!$B$2:$B$4692,0)),INDEX(Sensors_MANU!$E$2:$E$4692,MATCH($P677,Sensors_MANU!$A$2:$A$4692,0))),"")</f>
        <v/>
      </c>
      <c r="B677" s="24">
        <f>IFERROR(INDEX(Companies!$A$3:$A$101,MATCH(A677,Companies!$B$3:$B$101,0)),"")</f>
        <v/>
      </c>
      <c r="C677">
        <f>IFERROR(_xlfn.IFNA(INDEX(Sensors_MANU!$F$2:$F$4692,MATCH($D677,Sensors_MANU!$B$2:$B$4692,0)),INDEX(Sensors_MANU!$F$2:$F$4692,MATCH($P677,Sensors_MANU!$A$2:$A$4692,0))),"")</f>
        <v/>
      </c>
      <c r="D677" s="50" t="inlineStr">
        <is>
          <t>E6A4DF5F1E7F</t>
        </is>
      </c>
      <c r="E677" s="24">
        <f>LEFT(D677,2)&amp;":"&amp;MID(D677,3,2)&amp;":"&amp;MID(D677,5,2)&amp;":"&amp;MID(D677,7,2)&amp;":"&amp;MID(D677,9,2)&amp;":"&amp;RIGHT(D677,2)</f>
        <v/>
      </c>
      <c r="F677" s="29" t="n">
        <v>44754</v>
      </c>
      <c r="G677" s="29" t="inlineStr">
        <is>
          <t>Viezo</t>
        </is>
      </c>
      <c r="H677" s="26" t="inlineStr">
        <is>
          <t>9D107FDBC11A295E</t>
        </is>
      </c>
      <c r="I677">
        <f>IFERROR(_xlfn.IFNA(INDEX(Sensors_MANU!$C$2:$C$4692,MATCH($D677,Sensors_MANU!$B$2:$B$4692,0)),INDEX(Sensors_MANU!$C$2:$C$4692,MATCH($P677,Sensors_MANU!$A$2:$A$4692,0))),"")</f>
        <v/>
      </c>
      <c r="J677">
        <f>IFERROR(_xlfn.IFNA(INDEX(Sensors_MANU!$D$2:$D$4692,MATCH($D677,Sensors_MANU!$B$2:$B$4692,0)),INDEX(Sensors_MANU!$D$2:$D$4692,MATCH($P677,Sensors_MANU!$A$2:$A$4692,0))),"")</f>
        <v/>
      </c>
      <c r="K677" s="27" t="inlineStr">
        <is>
          <t>31834785082-4</t>
        </is>
      </c>
      <c r="L677" s="27" t="inlineStr">
        <is>
          <t>3L</t>
        </is>
      </c>
      <c r="O677" s="6" t="inlineStr">
        <is>
          <t>V23</t>
        </is>
      </c>
    </row>
    <row r="678">
      <c r="A678" s="32">
        <f>IFERROR(_xlfn.IFNA(INDEX(Sensors_MANU!$E$2:$E$4692,MATCH($D678,Sensors_MANU!$B$2:$B$4692,0)),INDEX(Sensors_MANU!$E$2:$E$4692,MATCH($P678,Sensors_MANU!$A$2:$A$4692,0))),"")</f>
        <v/>
      </c>
      <c r="B678" s="24">
        <f>IFERROR(INDEX(Companies!$A$3:$A$101,MATCH(A678,Companies!$B$3:$B$101,0)),"")</f>
        <v/>
      </c>
      <c r="C678">
        <f>IFERROR(_xlfn.IFNA(INDEX(Sensors_MANU!$F$2:$F$4692,MATCH($D678,Sensors_MANU!$B$2:$B$4692,0)),INDEX(Sensors_MANU!$F$2:$F$4692,MATCH($P678,Sensors_MANU!$A$2:$A$4692,0))),"")</f>
        <v/>
      </c>
      <c r="D678" s="25" t="inlineStr">
        <is>
          <t>C99CEE6526AF</t>
        </is>
      </c>
      <c r="E678" s="24">
        <f>LEFT(D678,2)&amp;":"&amp;MID(D678,3,2)&amp;":"&amp;MID(D678,5,2)&amp;":"&amp;MID(D678,7,2)&amp;":"&amp;MID(D678,9,2)&amp;":"&amp;RIGHT(D678,2)</f>
        <v/>
      </c>
      <c r="F678" s="29" t="n">
        <v>44754</v>
      </c>
      <c r="G678" s="29" t="inlineStr">
        <is>
          <t>Viezo</t>
        </is>
      </c>
      <c r="H678" t="inlineStr">
        <is>
          <t>AF6EB656D594A634</t>
        </is>
      </c>
      <c r="I678">
        <f>IFERROR(_xlfn.IFNA(INDEX(Sensors_MANU!$C$2:$C$4692,MATCH($D678,Sensors_MANU!$B$2:$B$4692,0)),INDEX(Sensors_MANU!$C$2:$C$4692,MATCH($P678,Sensors_MANU!$A$2:$A$4692,0))),"")</f>
        <v/>
      </c>
      <c r="J678">
        <f>IFERROR(_xlfn.IFNA(INDEX(Sensors_MANU!$D$2:$D$4692,MATCH($D678,Sensors_MANU!$B$2:$B$4692,0)),INDEX(Sensors_MANU!$D$2:$D$4692,MATCH($P678,Sensors_MANU!$A$2:$A$4692,0))),"")</f>
        <v/>
      </c>
      <c r="K678" s="27" t="inlineStr">
        <is>
          <t>31834557682-7</t>
        </is>
      </c>
      <c r="L678" s="27" t="inlineStr">
        <is>
          <t>3R</t>
        </is>
      </c>
      <c r="O678" s="6" t="inlineStr">
        <is>
          <t>V23</t>
        </is>
      </c>
    </row>
    <row r="679">
      <c r="A679" s="32">
        <f>IFERROR(_xlfn.IFNA(INDEX(Sensors_MANU!$E$2:$E$4692,MATCH($D679,Sensors_MANU!$B$2:$B$4692,0)),INDEX(Sensors_MANU!$E$2:$E$4692,MATCH($P679,Sensors_MANU!$A$2:$A$4692,0))),"")</f>
        <v/>
      </c>
      <c r="B679" s="24">
        <f>IFERROR(INDEX(Companies!$A$3:$A$101,MATCH(A679,Companies!$B$3:$B$101,0)),"")</f>
        <v/>
      </c>
      <c r="C679">
        <f>IFERROR(_xlfn.IFNA(INDEX(Sensors_MANU!$F$2:$F$4692,MATCH($D679,Sensors_MANU!$B$2:$B$4692,0)),INDEX(Sensors_MANU!$F$2:$F$4692,MATCH($P679,Sensors_MANU!$A$2:$A$4692,0))),"")</f>
        <v/>
      </c>
      <c r="D679" s="25" t="inlineStr">
        <is>
          <t>DFE1C8D13339</t>
        </is>
      </c>
      <c r="E679" s="24">
        <f>LEFT(D679,2)&amp;":"&amp;MID(D679,3,2)&amp;":"&amp;MID(D679,5,2)&amp;":"&amp;MID(D679,7,2)&amp;":"&amp;MID(D679,9,2)&amp;":"&amp;RIGHT(D679,2)</f>
        <v/>
      </c>
      <c r="F679" s="29" t="n">
        <v>44754</v>
      </c>
      <c r="G679" s="29" t="inlineStr">
        <is>
          <t>Viezo</t>
        </is>
      </c>
      <c r="H679" t="inlineStr">
        <is>
          <t>1C7C95127306E535</t>
        </is>
      </c>
      <c r="I679">
        <f>IFERROR(_xlfn.IFNA(INDEX(Sensors_MANU!$C$2:$C$4692,MATCH($D679,Sensors_MANU!$B$2:$B$4692,0)),INDEX(Sensors_MANU!$C$2:$C$4692,MATCH($P679,Sensors_MANU!$A$2:$A$4692,0))),"")</f>
        <v/>
      </c>
      <c r="J679">
        <f>IFERROR(_xlfn.IFNA(INDEX(Sensors_MANU!$D$2:$D$4692,MATCH($D679,Sensors_MANU!$B$2:$B$4692,0)),INDEX(Sensors_MANU!$D$2:$D$4692,MATCH($P679,Sensors_MANU!$A$2:$A$4692,0))),"")</f>
        <v/>
      </c>
      <c r="K679" s="27" t="inlineStr">
        <is>
          <t>31832852846-4</t>
        </is>
      </c>
      <c r="L679" s="27" t="inlineStr">
        <is>
          <t>2L</t>
        </is>
      </c>
      <c r="O679" s="6" t="inlineStr">
        <is>
          <t>V23</t>
        </is>
      </c>
    </row>
    <row r="680">
      <c r="A680" s="32">
        <f>IFERROR(_xlfn.IFNA(INDEX(Sensors_MANU!$E$2:$E$4692,MATCH($D680,Sensors_MANU!$B$2:$B$4692,0)),INDEX(Sensors_MANU!$E$2:$E$4692,MATCH($P680,Sensors_MANU!$A$2:$A$4692,0))),"")</f>
        <v/>
      </c>
      <c r="B680" s="24">
        <f>IFERROR(INDEX(Companies!$A$3:$A$101,MATCH(A680,Companies!$B$3:$B$101,0)),"")</f>
        <v/>
      </c>
      <c r="C680">
        <f>IFERROR(_xlfn.IFNA(INDEX(Sensors_MANU!$F$2:$F$4692,MATCH($D680,Sensors_MANU!$B$2:$B$4692,0)),INDEX(Sensors_MANU!$F$2:$F$4692,MATCH($P680,Sensors_MANU!$A$2:$A$4692,0))),"")</f>
        <v/>
      </c>
      <c r="D680" t="inlineStr">
        <is>
          <t>D31DF9FEFB1D</t>
        </is>
      </c>
      <c r="E680">
        <f>LEFT(D680,2)&amp;":"&amp;MID(D680,3,2)&amp;":"&amp;MID(D680,5,2)&amp;":"&amp;MID(D680,7,2)&amp;":"&amp;MID(D680,9,2)&amp;":"&amp;RIGHT(D680,2)</f>
        <v/>
      </c>
      <c r="F680" s="29" t="n">
        <v>44880</v>
      </c>
      <c r="G680" s="29" t="inlineStr">
        <is>
          <t>Viezo</t>
        </is>
      </c>
      <c r="H680" t="inlineStr">
        <is>
          <t>428B7159DBDEB1F2</t>
        </is>
      </c>
      <c r="I680">
        <f>IFERROR(_xlfn.IFNA(INDEX(Sensors_MANU!$C$2:$C$4692,MATCH($D680,Sensors_MANU!$B$2:$B$4692,0)),INDEX(Sensors_MANU!$C$2:$C$4692,MATCH($P680,Sensors_MANU!$A$2:$A$4692,0))),"")</f>
        <v/>
      </c>
      <c r="J680">
        <f>IFERROR(_xlfn.IFNA(INDEX(Sensors_MANU!$D$2:$D$4692,MATCH($D680,Sensors_MANU!$B$2:$B$4692,0)),INDEX(Sensors_MANU!$D$2:$D$4692,MATCH($P680,Sensors_MANU!$A$2:$A$4692,0))),"")</f>
        <v/>
      </c>
      <c r="K680" s="27" t="inlineStr">
        <is>
          <t>83546985065-4</t>
        </is>
      </c>
      <c r="L680" s="27" t="inlineStr">
        <is>
          <t>4R</t>
        </is>
      </c>
      <c r="M680" s="27" t="n"/>
      <c r="N680" s="99">
        <f>IFERROR(INDEX(Sensors_MANU!$G$2:$G$4692,MATCH($P680,Sensors_MANU!$A$2:$A$4692,0)),)</f>
        <v/>
      </c>
      <c r="O680" s="6" t="inlineStr">
        <is>
          <t>v16</t>
        </is>
      </c>
      <c r="P680" t="n">
        <v>4978850</v>
      </c>
    </row>
    <row r="681">
      <c r="A681" s="32">
        <f>IFERROR(_xlfn.IFNA(INDEX(Sensors_MANU!$E$2:$E$4692,MATCH($D681,Sensors_MANU!$B$2:$B$4692,0)),INDEX(Sensors_MANU!$E$2:$E$4692,MATCH($P681,Sensors_MANU!$A$2:$A$4692,0))),"")</f>
        <v/>
      </c>
      <c r="B681" s="24">
        <f>IFERROR(INDEX(Companies!$A$3:$A$101,MATCH(A681,Companies!$B$3:$B$101,0)),"")</f>
        <v/>
      </c>
      <c r="C681">
        <f>IFERROR(_xlfn.IFNA(INDEX(Sensors_MANU!$F$2:$F$4692,MATCH($D681,Sensors_MANU!$B$2:$B$4692,0)),INDEX(Sensors_MANU!$F$2:$F$4692,MATCH($P681,Sensors_MANU!$A$2:$A$4692,0))),"")</f>
        <v/>
      </c>
      <c r="D681" s="25" t="inlineStr">
        <is>
          <t>F09B5F733735</t>
        </is>
      </c>
      <c r="E681" s="24">
        <f>LEFT(D681,2)&amp;":"&amp;MID(D681,3,2)&amp;":"&amp;MID(D681,5,2)&amp;":"&amp;MID(D681,7,2)&amp;":"&amp;MID(D681,9,2)&amp;":"&amp;RIGHT(D681,2)</f>
        <v/>
      </c>
      <c r="F681" s="29" t="n">
        <v>44754</v>
      </c>
      <c r="G681" s="29" t="inlineStr">
        <is>
          <t>Viezo</t>
        </is>
      </c>
      <c r="H681" t="inlineStr">
        <is>
          <t>F72F23B28F654E1A</t>
        </is>
      </c>
      <c r="I681">
        <f>IFERROR(_xlfn.IFNA(INDEX(Sensors_MANU!$C$2:$C$4692,MATCH($D681,Sensors_MANU!$B$2:$B$4692,0)),INDEX(Sensors_MANU!$C$2:$C$4692,MATCH($P681,Sensors_MANU!$A$2:$A$4692,0))),"")</f>
        <v/>
      </c>
      <c r="J681">
        <f>IFERROR(_xlfn.IFNA(INDEX(Sensors_MANU!$D$2:$D$4692,MATCH($D681,Sensors_MANU!$B$2:$B$4692,0)),INDEX(Sensors_MANU!$D$2:$D$4692,MATCH($P681,Sensors_MANU!$A$2:$A$4692,0))),"")</f>
        <v/>
      </c>
      <c r="K681" s="27" t="inlineStr">
        <is>
          <t>31833919095-7</t>
        </is>
      </c>
      <c r="L681" s="27" t="inlineStr">
        <is>
          <t>2R</t>
        </is>
      </c>
      <c r="O681" s="6" t="inlineStr">
        <is>
          <t>V23</t>
        </is>
      </c>
    </row>
    <row r="682">
      <c r="A682" s="32">
        <f>IFERROR(_xlfn.IFNA(INDEX(Sensors_MANU!$E$2:$E$4692,MATCH($D682,Sensors_MANU!$B$2:$B$4692,0)),INDEX(Sensors_MANU!$E$2:$E$4692,MATCH($P682,Sensors_MANU!$A$2:$A$4692,0))),"")</f>
        <v/>
      </c>
      <c r="B682" s="24">
        <f>IFERROR(INDEX(Companies!$A$3:$A$101,MATCH(A682,Companies!$B$3:$B$101,0)),"")</f>
        <v/>
      </c>
      <c r="C682">
        <f>IFERROR(_xlfn.IFNA(INDEX(Sensors_MANU!$F$2:$F$4692,MATCH($D682,Sensors_MANU!$B$2:$B$4692,0)),INDEX(Sensors_MANU!$F$2:$F$4692,MATCH($P682,Sensors_MANU!$A$2:$A$4692,0))),"")</f>
        <v/>
      </c>
      <c r="D682" s="25" t="inlineStr">
        <is>
          <t>CBDB48E85D24</t>
        </is>
      </c>
      <c r="E682" s="24">
        <f>LEFT(D682,2)&amp;":"&amp;MID(D682,3,2)&amp;":"&amp;MID(D682,5,2)&amp;":"&amp;MID(D682,7,2)&amp;":"&amp;MID(D682,9,2)&amp;":"&amp;RIGHT(D682,2)</f>
        <v/>
      </c>
      <c r="F682" s="29" t="n">
        <v>44754</v>
      </c>
      <c r="G682" s="29" t="inlineStr">
        <is>
          <t>Viezo</t>
        </is>
      </c>
      <c r="H682" t="inlineStr">
        <is>
          <t>ED8FAE6B4C95C9F5</t>
        </is>
      </c>
      <c r="I682">
        <f>IFERROR(_xlfn.IFNA(INDEX(Sensors_MANU!$C$2:$C$4692,MATCH($D682,Sensors_MANU!$B$2:$B$4692,0)),INDEX(Sensors_MANU!$C$2:$C$4692,MATCH($P682,Sensors_MANU!$A$2:$A$4692,0))),"")</f>
        <v/>
      </c>
      <c r="J682">
        <f>IFERROR(_xlfn.IFNA(INDEX(Sensors_MANU!$D$2:$D$4692,MATCH($D682,Sensors_MANU!$B$2:$B$4692,0)),INDEX(Sensors_MANU!$D$2:$D$4692,MATCH($P682,Sensors_MANU!$A$2:$A$4692,0))),"")</f>
        <v/>
      </c>
      <c r="K682" s="27" t="inlineStr">
        <is>
          <t>31834789193-5</t>
        </is>
      </c>
      <c r="L682" s="27" t="inlineStr">
        <is>
          <t>3L</t>
        </is>
      </c>
      <c r="O682" s="6" t="inlineStr">
        <is>
          <t>V23</t>
        </is>
      </c>
    </row>
    <row r="683">
      <c r="A683" s="32">
        <f>IFERROR(_xlfn.IFNA(INDEX(Sensors_MANU!$E$2:$E$4692,MATCH($D683,Sensors_MANU!$B$2:$B$4692,0)),INDEX(Sensors_MANU!$E$2:$E$4692,MATCH($P683,Sensors_MANU!$A$2:$A$4692,0))),"")</f>
        <v/>
      </c>
      <c r="B683" s="24">
        <f>IFERROR(INDEX(Companies!$A$3:$A$101,MATCH(A683,Companies!$B$3:$B$101,0)),"")</f>
        <v/>
      </c>
      <c r="C683">
        <f>IFERROR(_xlfn.IFNA(INDEX(Sensors_MANU!$F$2:$F$4692,MATCH($D683,Sensors_MANU!$B$2:$B$4692,0)),INDEX(Sensors_MANU!$F$2:$F$4692,MATCH($P683,Sensors_MANU!$A$2:$A$4692,0))),"")</f>
        <v/>
      </c>
      <c r="D683" s="25" t="inlineStr">
        <is>
          <t>D3423334BE54</t>
        </is>
      </c>
      <c r="E683" s="24">
        <f>LEFT(D683,2)&amp;":"&amp;MID(D683,3,2)&amp;":"&amp;MID(D683,5,2)&amp;":"&amp;MID(D683,7,2)&amp;":"&amp;MID(D683,9,2)&amp;":"&amp;RIGHT(D683,2)</f>
        <v/>
      </c>
      <c r="F683" s="29" t="n">
        <v>44754</v>
      </c>
      <c r="G683" s="29" t="inlineStr">
        <is>
          <t>Viezo</t>
        </is>
      </c>
      <c r="H683" t="inlineStr">
        <is>
          <t>DFA0DBF2F7817122</t>
        </is>
      </c>
      <c r="I683">
        <f>IFERROR(_xlfn.IFNA(INDEX(Sensors_MANU!$C$2:$C$4692,MATCH($D683,Sensors_MANU!$B$2:$B$4692,0)),INDEX(Sensors_MANU!$C$2:$C$4692,MATCH($P683,Sensors_MANU!$A$2:$A$4692,0))),"")</f>
        <v/>
      </c>
      <c r="J683">
        <f>IFERROR(_xlfn.IFNA(INDEX(Sensors_MANU!$D$2:$D$4692,MATCH($D683,Sensors_MANU!$B$2:$B$4692,0)),INDEX(Sensors_MANU!$D$2:$D$4692,MATCH($P683,Sensors_MANU!$A$2:$A$4692,0))),"")</f>
        <v/>
      </c>
      <c r="K683" s="27" t="inlineStr">
        <is>
          <t>31833919467-8</t>
        </is>
      </c>
      <c r="L683" s="27" t="inlineStr">
        <is>
          <t>1R</t>
        </is>
      </c>
      <c r="O683" s="6" t="inlineStr">
        <is>
          <t>V23</t>
        </is>
      </c>
    </row>
    <row r="684">
      <c r="A684" s="32">
        <f>IFERROR(_xlfn.IFNA(INDEX(Sensors_MANU!$E$2:$E$4692,MATCH($D684,Sensors_MANU!$B$2:$B$4692,0)),INDEX(Sensors_MANU!$E$2:$E$4692,MATCH($P684,Sensors_MANU!$A$2:$A$4692,0))),"")</f>
        <v/>
      </c>
      <c r="B684" s="24">
        <f>IFERROR(INDEX(Companies!$A$3:$A$101,MATCH(A684,Companies!$B$3:$B$101,0)),"")</f>
        <v/>
      </c>
      <c r="C684">
        <f>IFERROR(_xlfn.IFNA(INDEX(Sensors_MANU!$F$2:$F$4692,MATCH($D684,Sensors_MANU!$B$2:$B$4692,0)),INDEX(Sensors_MANU!$F$2:$F$4692,MATCH($P684,Sensors_MANU!$A$2:$A$4692,0))),"")</f>
        <v/>
      </c>
      <c r="D684" t="inlineStr">
        <is>
          <t>EE9EBAABAAE9</t>
        </is>
      </c>
      <c r="E684">
        <f>LEFT(D684,2)&amp;":"&amp;MID(D684,3,2)&amp;":"&amp;MID(D684,5,2)&amp;":"&amp;MID(D684,7,2)&amp;":"&amp;MID(D684,9,2)&amp;":"&amp;RIGHT(D684,2)</f>
        <v/>
      </c>
      <c r="F684" s="29" t="n">
        <v>44880</v>
      </c>
      <c r="G684" s="29" t="inlineStr">
        <is>
          <t>Viezo</t>
        </is>
      </c>
      <c r="H684" t="inlineStr">
        <is>
          <t>A77F4E93554B9092</t>
        </is>
      </c>
      <c r="I684">
        <f>IFERROR(_xlfn.IFNA(INDEX(Sensors_MANU!$C$2:$C$4692,MATCH($D684,Sensors_MANU!$B$2:$B$4692,0)),INDEX(Sensors_MANU!$C$2:$C$4692,MATCH($P684,Sensors_MANU!$A$2:$A$4692,0))),"")</f>
        <v/>
      </c>
      <c r="J684">
        <f>IFERROR(_xlfn.IFNA(INDEX(Sensors_MANU!$D$2:$D$4692,MATCH($D684,Sensors_MANU!$B$2:$B$4692,0)),INDEX(Sensors_MANU!$D$2:$D$4692,MATCH($P684,Sensors_MANU!$A$2:$A$4692,0))),"")</f>
        <v/>
      </c>
      <c r="K684" s="27" t="inlineStr">
        <is>
          <t>83546985084-5</t>
        </is>
      </c>
      <c r="L684" s="27" t="inlineStr">
        <is>
          <t>4R</t>
        </is>
      </c>
      <c r="M684" s="27" t="n"/>
      <c r="N684" s="99">
        <f>IFERROR(INDEX(Sensors_MANU!$G$2:$G$4692,MATCH($P684,Sensors_MANU!$A$2:$A$4692,0)),)</f>
        <v/>
      </c>
      <c r="O684" s="6" t="inlineStr">
        <is>
          <t>v16</t>
        </is>
      </c>
      <c r="P684" t="n">
        <v>4978828</v>
      </c>
    </row>
    <row r="685">
      <c r="A685" s="32">
        <f>IFERROR(_xlfn.IFNA(INDEX(Sensors_MANU!$E$2:$E$4692,MATCH($D685,Sensors_MANU!$B$2:$B$4692,0)),INDEX(Sensors_MANU!$E$2:$E$4692,MATCH($P685,Sensors_MANU!$A$2:$A$4692,0))),"")</f>
        <v/>
      </c>
      <c r="B685" s="24">
        <f>IFERROR(INDEX(Companies!$A$3:$A$101,MATCH(A685,Companies!$B$3:$B$101,0)),"")</f>
        <v/>
      </c>
      <c r="C685">
        <f>IFERROR(_xlfn.IFNA(INDEX(Sensors_MANU!$F$2:$F$4692,MATCH($D685,Sensors_MANU!$B$2:$B$4692,0)),INDEX(Sensors_MANU!$F$2:$F$4692,MATCH($P685,Sensors_MANU!$A$2:$A$4692,0))),"")</f>
        <v/>
      </c>
      <c r="D685" s="25" t="inlineStr">
        <is>
          <t>E49AC76DD99A</t>
        </is>
      </c>
      <c r="E685" s="24">
        <f>LEFT(D685,2)&amp;":"&amp;MID(D685,3,2)&amp;":"&amp;MID(D685,5,2)&amp;":"&amp;MID(D685,7,2)&amp;":"&amp;MID(D685,9,2)&amp;":"&amp;RIGHT(D685,2)</f>
        <v/>
      </c>
      <c r="F685" s="29" t="n">
        <v>44754</v>
      </c>
      <c r="G685" s="29" t="inlineStr">
        <is>
          <t>Viezo</t>
        </is>
      </c>
      <c r="H685" t="inlineStr">
        <is>
          <t>507F6E10AE3F4387</t>
        </is>
      </c>
      <c r="I685">
        <f>IFERROR(_xlfn.IFNA(INDEX(Sensors_MANU!$C$2:$C$4692,MATCH($D685,Sensors_MANU!$B$2:$B$4692,0)),INDEX(Sensors_MANU!$C$2:$C$4692,MATCH($P685,Sensors_MANU!$A$2:$A$4692,0))),"")</f>
        <v/>
      </c>
      <c r="J685">
        <f>IFERROR(_xlfn.IFNA(INDEX(Sensors_MANU!$D$2:$D$4692,MATCH($D685,Sensors_MANU!$B$2:$B$4692,0)),INDEX(Sensors_MANU!$D$2:$D$4692,MATCH($P685,Sensors_MANU!$A$2:$A$4692,0))),"")</f>
        <v/>
      </c>
      <c r="K685" s="27" t="inlineStr">
        <is>
          <t>31834789278-4</t>
        </is>
      </c>
      <c r="L685" s="27" t="inlineStr">
        <is>
          <t>4L</t>
        </is>
      </c>
      <c r="O685" s="6" t="inlineStr">
        <is>
          <t>V23</t>
        </is>
      </c>
    </row>
    <row r="686">
      <c r="A686" s="32">
        <f>IFERROR(_xlfn.IFNA(INDEX(Sensors_MANU!$E$2:$E$4692,MATCH($D686,Sensors_MANU!$B$2:$B$4692,0)),INDEX(Sensors_MANU!$E$2:$E$4692,MATCH($P686,Sensors_MANU!$A$2:$A$4692,0))),"")</f>
        <v/>
      </c>
      <c r="B686" s="24">
        <f>IFERROR(INDEX(Companies!$A$3:$A$101,MATCH(A686,Companies!$B$3:$B$101,0)),"")</f>
        <v/>
      </c>
      <c r="C686">
        <f>IFERROR(_xlfn.IFNA(INDEX(Sensors_MANU!$F$2:$F$4692,MATCH($D686,Sensors_MANU!$B$2:$B$4692,0)),INDEX(Sensors_MANU!$F$2:$F$4692,MATCH($P686,Sensors_MANU!$A$2:$A$4692,0))),"")</f>
        <v/>
      </c>
      <c r="D686" t="inlineStr">
        <is>
          <t>D0B42C5BB7E5</t>
        </is>
      </c>
      <c r="E686" s="24">
        <f>LEFT(D686,2)&amp;":"&amp;MID(D686,3,2)&amp;":"&amp;MID(D686,5,2)&amp;":"&amp;MID(D686,7,2)&amp;":"&amp;MID(D686,9,2)&amp;":"&amp;RIGHT(D686,2)</f>
        <v/>
      </c>
      <c r="F686" s="29" t="n">
        <v>44880</v>
      </c>
      <c r="G686" s="29" t="inlineStr">
        <is>
          <t>Viezo</t>
        </is>
      </c>
      <c r="H686" t="inlineStr">
        <is>
          <t>E55ADBCC04E4543D</t>
        </is>
      </c>
      <c r="I686">
        <f>IFERROR(_xlfn.IFNA(INDEX(Sensors_MANU!$C$2:$C$4692,MATCH($D686,Sensors_MANU!$B$2:$B$4692,0)),INDEX(Sensors_MANU!$C$2:$C$4692,MATCH($P686,Sensors_MANU!$A$2:$A$4692,0))),"")</f>
        <v/>
      </c>
      <c r="J686">
        <f>IFERROR(_xlfn.IFNA(INDEX(Sensors_MANU!$D$2:$D$4692,MATCH($D686,Sensors_MANU!$B$2:$B$4692,0)),INDEX(Sensors_MANU!$D$2:$D$4692,MATCH($P686,Sensors_MANU!$A$2:$A$4692,0))),"")</f>
        <v/>
      </c>
      <c r="K686" s="27" t="inlineStr">
        <is>
          <t>83546985015-9</t>
        </is>
      </c>
      <c r="L686" s="27" t="inlineStr">
        <is>
          <t>2R</t>
        </is>
      </c>
      <c r="O686" s="6" t="inlineStr">
        <is>
          <t>V25</t>
        </is>
      </c>
    </row>
    <row r="687">
      <c r="A687" s="32">
        <f>IFERROR(_xlfn.IFNA(INDEX(Sensors_MANU!$E$2:$E$4692,MATCH($D687,Sensors_MANU!$B$2:$B$4692,0)),INDEX(Sensors_MANU!$E$2:$E$4692,MATCH($P687,Sensors_MANU!$A$2:$A$4692,0))),"")</f>
        <v/>
      </c>
      <c r="B687" s="24" t="inlineStr">
        <is>
          <t>64818ba10166b80f8d06f5fa</t>
        </is>
      </c>
      <c r="C687">
        <f>IFERROR(_xlfn.IFNA(INDEX(Sensors_MANU!$F$2:$F$4692,MATCH($D687,Sensors_MANU!$B$2:$B$4692,0)),INDEX(Sensors_MANU!$F$2:$F$4692,MATCH($P687,Sensors_MANU!$A$2:$A$4692,0))),"")</f>
        <v/>
      </c>
      <c r="D687" t="inlineStr">
        <is>
          <t>ECC02018A581</t>
        </is>
      </c>
      <c r="E687" s="24">
        <f>LEFT(D687,2)&amp;":"&amp;MID(D687,3,2)&amp;":"&amp;MID(D687,5,2)&amp;":"&amp;MID(D687,7,2)&amp;":"&amp;MID(D687,9,2)&amp;":"&amp;RIGHT(D687,2)</f>
        <v/>
      </c>
      <c r="F687" s="29" t="n">
        <v>45090</v>
      </c>
      <c r="G687" s="29" t="inlineStr">
        <is>
          <t>VIEZO</t>
        </is>
      </c>
      <c r="H687" t="inlineStr">
        <is>
          <t>79877563F16365CD</t>
        </is>
      </c>
      <c r="I687">
        <f>IFERROR(_xlfn.IFNA(INDEX(Sensors_MANU!$C$2:$C$4692,MATCH($D687,Sensors_MANU!$B$2:$B$4692,0)),INDEX(Sensors_MANU!$C$2:$C$4692,MATCH($P687,Sensors_MANU!$A$2:$A$4692,0))),"")</f>
        <v/>
      </c>
      <c r="J687">
        <f>IFERROR(_xlfn.IFNA(INDEX(Sensors_MANU!$D$2:$D$4692,MATCH($D687,Sensors_MANU!$B$2:$B$4692,0)),INDEX(Sensors_MANU!$D$2:$D$4692,MATCH($P687,Sensors_MANU!$A$2:$A$4692,0))),"")</f>
        <v/>
      </c>
      <c r="K687" s="27" t="inlineStr">
        <is>
          <t>33802742481-5</t>
        </is>
      </c>
      <c r="L687" s="27" t="inlineStr">
        <is>
          <t>1R</t>
        </is>
      </c>
      <c r="O687" s="6" t="inlineStr">
        <is>
          <t>V24</t>
        </is>
      </c>
    </row>
    <row r="688">
      <c r="A688" s="32">
        <f>IFERROR(_xlfn.IFNA(INDEX(Sensors_MANU!$E$2:$E$4692,MATCH($D688,Sensors_MANU!$B$2:$B$4692,0)),INDEX(Sensors_MANU!$E$2:$E$4692,MATCH($P688,Sensors_MANU!$A$2:$A$4692,0))),"")</f>
        <v/>
      </c>
      <c r="B688" s="24">
        <f>IFERROR(INDEX(Companies!$A$3:$A$101,MATCH(A688,Companies!$B$3:$B$101,0)),"")</f>
        <v/>
      </c>
      <c r="C688">
        <f>IFERROR(_xlfn.IFNA(INDEX(Sensors_MANU!$F$2:$F$4692,MATCH($D688,Sensors_MANU!$B$2:$B$4692,0)),INDEX(Sensors_MANU!$F$2:$F$4692,MATCH($P688,Sensors_MANU!$A$2:$A$4692,0))),"")</f>
        <v/>
      </c>
      <c r="D688" s="25" t="inlineStr">
        <is>
          <t>E717D2FC946C</t>
        </is>
      </c>
      <c r="E688" s="24">
        <f>LEFT(D688,2)&amp;":"&amp;MID(D688,3,2)&amp;":"&amp;MID(D688,5,2)&amp;":"&amp;MID(D688,7,2)&amp;":"&amp;MID(D688,9,2)&amp;":"&amp;RIGHT(D688,2)</f>
        <v/>
      </c>
      <c r="F688" s="29" t="n">
        <v>44754</v>
      </c>
      <c r="G688" s="29" t="inlineStr">
        <is>
          <t>Viezo</t>
        </is>
      </c>
      <c r="H688" t="inlineStr">
        <is>
          <t>497A31F5E4A87055</t>
        </is>
      </c>
      <c r="I688">
        <f>IFERROR(_xlfn.IFNA(INDEX(Sensors_MANU!$C$2:$C$4692,MATCH($D688,Sensors_MANU!$B$2:$B$4692,0)),INDEX(Sensors_MANU!$C$2:$C$4692,MATCH($P688,Sensors_MANU!$A$2:$A$4692,0))),"")</f>
        <v/>
      </c>
      <c r="J688">
        <f>IFERROR(_xlfn.IFNA(INDEX(Sensors_MANU!$D$2:$D$4692,MATCH($D688,Sensors_MANU!$B$2:$B$4692,0)),INDEX(Sensors_MANU!$D$2:$D$4692,MATCH($P688,Sensors_MANU!$A$2:$A$4692,0))),"")</f>
        <v/>
      </c>
      <c r="K688" s="27" t="inlineStr">
        <is>
          <t>31834789193-5</t>
        </is>
      </c>
      <c r="L688" s="27" t="inlineStr">
        <is>
          <t>3R</t>
        </is>
      </c>
      <c r="O688" s="6" t="inlineStr">
        <is>
          <t>V23</t>
        </is>
      </c>
    </row>
    <row r="689">
      <c r="A689" s="32">
        <f>IFERROR(_xlfn.IFNA(INDEX(Sensors_MANU!$E$2:$E$4692,MATCH($D689,Sensors_MANU!$B$2:$B$4692,0)),INDEX(Sensors_MANU!$E$2:$E$4692,MATCH($P689,Sensors_MANU!$A$2:$A$4692,0))),"")</f>
        <v/>
      </c>
      <c r="B689" s="24">
        <f>IFERROR(INDEX(Companies!$A$3:$A$101,MATCH(A689,Companies!$B$3:$B$101,0)),"")</f>
        <v/>
      </c>
      <c r="C689">
        <f>IFERROR(_xlfn.IFNA(INDEX(Sensors_MANU!$F$2:$F$4692,MATCH($D689,Sensors_MANU!$B$2:$B$4692,0)),INDEX(Sensors_MANU!$F$2:$F$4692,MATCH($P689,Sensors_MANU!$A$2:$A$4692,0))),"")</f>
        <v/>
      </c>
      <c r="D689" s="25" t="inlineStr">
        <is>
          <t>D9067BFAA11F</t>
        </is>
      </c>
      <c r="E689" s="24">
        <f>LEFT(D689,2)&amp;":"&amp;MID(D689,3,2)&amp;":"&amp;MID(D689,5,2)&amp;":"&amp;MID(D689,7,2)&amp;":"&amp;MID(D689,9,2)&amp;":"&amp;RIGHT(D689,2)</f>
        <v/>
      </c>
      <c r="F689" s="29" t="n">
        <v>44754</v>
      </c>
      <c r="G689" s="29" t="inlineStr">
        <is>
          <t>Viezo</t>
        </is>
      </c>
      <c r="H689" t="inlineStr">
        <is>
          <t>5F910220651C7F5C</t>
        </is>
      </c>
      <c r="I689">
        <f>IFERROR(_xlfn.IFNA(INDEX(Sensors_MANU!$C$2:$C$4692,MATCH($D689,Sensors_MANU!$B$2:$B$4692,0)),INDEX(Sensors_MANU!$C$2:$C$4692,MATCH($P689,Sensors_MANU!$A$2:$A$4692,0))),"")</f>
        <v/>
      </c>
      <c r="J689">
        <f>IFERROR(_xlfn.IFNA(INDEX(Sensors_MANU!$D$2:$D$4692,MATCH($D689,Sensors_MANU!$B$2:$B$4692,0)),INDEX(Sensors_MANU!$D$2:$D$4692,MATCH($P689,Sensors_MANU!$A$2:$A$4692,0))),"")</f>
        <v/>
      </c>
      <c r="K689" s="27" t="inlineStr">
        <is>
          <t>31834668448-9</t>
        </is>
      </c>
      <c r="L689" s="27" t="inlineStr">
        <is>
          <t>1L</t>
        </is>
      </c>
      <c r="O689" s="6" t="inlineStr">
        <is>
          <t>V23</t>
        </is>
      </c>
    </row>
    <row r="690">
      <c r="A690" s="32">
        <f>IFERROR(_xlfn.IFNA(INDEX(Sensors_MANU!$E$2:$E$4692,MATCH($D690,Sensors_MANU!$B$2:$B$4692,0)),INDEX(Sensors_MANU!$E$2:$E$4692,MATCH($P690,Sensors_MANU!$A$2:$A$4692,0))),"")</f>
        <v/>
      </c>
      <c r="B690" s="24">
        <f>IFERROR(INDEX(Companies!$A$3:$A$101,MATCH(A690,Companies!$B$3:$B$101,0)),"")</f>
        <v/>
      </c>
      <c r="C690">
        <f>IFERROR(_xlfn.IFNA(INDEX(Sensors_MANU!$F$2:$F$4692,MATCH($D690,Sensors_MANU!$B$2:$B$4692,0)),INDEX(Sensors_MANU!$F$2:$F$4692,MATCH($P690,Sensors_MANU!$A$2:$A$4692,0))),"")</f>
        <v/>
      </c>
      <c r="D690" s="25" t="inlineStr">
        <is>
          <t>D2E1AC6D20F1</t>
        </is>
      </c>
      <c r="E690" s="24">
        <f>LEFT(D690,2)&amp;":"&amp;MID(D690,3,2)&amp;":"&amp;MID(D690,5,2)&amp;":"&amp;MID(D690,7,2)&amp;":"&amp;MID(D690,9,2)&amp;":"&amp;RIGHT(D690,2)</f>
        <v/>
      </c>
      <c r="F690" s="29" t="n">
        <v>44754</v>
      </c>
      <c r="G690" s="29" t="inlineStr">
        <is>
          <t>Viezo</t>
        </is>
      </c>
      <c r="H690" t="inlineStr">
        <is>
          <t>3BA6760B0C11FE6D</t>
        </is>
      </c>
      <c r="I690">
        <f>IFERROR(_xlfn.IFNA(INDEX(Sensors_MANU!$C$2:$C$4692,MATCH($D690,Sensors_MANU!$B$2:$B$4692,0)),INDEX(Sensors_MANU!$C$2:$C$4692,MATCH($P690,Sensors_MANU!$A$2:$A$4692,0))),"")</f>
        <v/>
      </c>
      <c r="J690">
        <f>IFERROR(_xlfn.IFNA(INDEX(Sensors_MANU!$D$2:$D$4692,MATCH($D690,Sensors_MANU!$B$2:$B$4692,0)),INDEX(Sensors_MANU!$D$2:$D$4692,MATCH($P690,Sensors_MANU!$A$2:$A$4692,0))),"")</f>
        <v/>
      </c>
      <c r="K690" s="27" t="inlineStr">
        <is>
          <t>31833919095-7</t>
        </is>
      </c>
      <c r="L690" s="27" t="inlineStr">
        <is>
          <t>2L</t>
        </is>
      </c>
      <c r="O690" s="6" t="inlineStr">
        <is>
          <t>V23</t>
        </is>
      </c>
    </row>
    <row r="691">
      <c r="A691" s="32">
        <f>IFERROR(_xlfn.IFNA(INDEX(Sensors_MANU!$E$2:$E$4692,MATCH($D691,Sensors_MANU!$B$2:$B$4692,0)),INDEX(Sensors_MANU!$E$2:$E$4692,MATCH($P691,Sensors_MANU!$A$2:$A$4692,0))),"")</f>
        <v/>
      </c>
      <c r="B691" s="24">
        <f>IFERROR(INDEX(Companies!$A$3:$A$101,MATCH(A691,Companies!$B$3:$B$101,0)),"")</f>
        <v/>
      </c>
      <c r="C691">
        <f>IFERROR(_xlfn.IFNA(INDEX(Sensors_MANU!$F$2:$F$4692,MATCH($D691,Sensors_MANU!$B$2:$B$4692,0)),INDEX(Sensors_MANU!$F$2:$F$4692,MATCH($P691,Sensors_MANU!$A$2:$A$4692,0))),"")</f>
        <v/>
      </c>
      <c r="D691" t="inlineStr">
        <is>
          <t>E97F71244ECD</t>
        </is>
      </c>
      <c r="E691">
        <f>LEFT(D691,2)&amp;":"&amp;MID(D691,3,2)&amp;":"&amp;MID(D691,5,2)&amp;":"&amp;MID(D691,7,2)&amp;":"&amp;MID(D691,9,2)&amp;":"&amp;RIGHT(D691,2)</f>
        <v/>
      </c>
      <c r="F691" s="29" t="n">
        <v>44872</v>
      </c>
      <c r="G691" s="29" t="inlineStr">
        <is>
          <t>Viezo</t>
        </is>
      </c>
      <c r="H691" t="inlineStr">
        <is>
          <t>0E77B4F2A0223C28</t>
        </is>
      </c>
      <c r="I691">
        <f>IFERROR(_xlfn.IFNA(INDEX(Sensors_MANU!$C$2:$C$4692,MATCH($D691,Sensors_MANU!$B$2:$B$4692,0)),INDEX(Sensors_MANU!$C$2:$C$4692,MATCH($P691,Sensors_MANU!$A$2:$A$4692,0))),"")</f>
        <v/>
      </c>
      <c r="J691">
        <f>IFERROR(_xlfn.IFNA(INDEX(Sensors_MANU!$D$2:$D$4692,MATCH($D691,Sensors_MANU!$B$2:$B$4692,0)),INDEX(Sensors_MANU!$D$2:$D$4692,MATCH($P691,Sensors_MANU!$A$2:$A$4692,0))),"")</f>
        <v/>
      </c>
      <c r="K691" s="27" t="inlineStr">
        <is>
          <t>84515332773-7</t>
        </is>
      </c>
      <c r="L691" s="27" t="inlineStr">
        <is>
          <t>4R</t>
        </is>
      </c>
      <c r="M691" s="35" t="n"/>
      <c r="N691" s="99" t="inlineStr">
        <is>
          <t>The operator has the device or its lost (they got it for free), but we dont monitor it on Ubidots anymore.</t>
        </is>
      </c>
      <c r="O691" s="6" t="inlineStr">
        <is>
          <t>v15</t>
        </is>
      </c>
      <c r="P691" t="n">
        <v>4978688</v>
      </c>
    </row>
    <row r="692">
      <c r="A692" s="32">
        <f>IFERROR(_xlfn.IFNA(INDEX(Sensors_MANU!$E$2:$E$4692,MATCH($D692,Sensors_MANU!$B$2:$B$4692,0)),INDEX(Sensors_MANU!$E$2:$E$4692,MATCH($P692,Sensors_MANU!$A$2:$A$4692,0))),"")</f>
        <v/>
      </c>
      <c r="B692" s="24">
        <f>IFERROR(INDEX(Companies!$A$3:$A$101,MATCH(A692,Companies!$B$3:$B$101,0)),"")</f>
        <v/>
      </c>
      <c r="C692">
        <f>IFERROR(_xlfn.IFNA(INDEX(Sensors_MANU!$F$2:$F$4692,MATCH($D692,Sensors_MANU!$B$2:$B$4692,0)),INDEX(Sensors_MANU!$F$2:$F$4692,MATCH($P692,Sensors_MANU!$A$2:$A$4692,0))),"")</f>
        <v/>
      </c>
      <c r="D692" s="25" t="inlineStr">
        <is>
          <t>F8D9960621DD</t>
        </is>
      </c>
      <c r="E692" s="24">
        <f>LEFT(D692,2)&amp;":"&amp;MID(D692,3,2)&amp;":"&amp;MID(D692,5,2)&amp;":"&amp;MID(D692,7,2)&amp;":"&amp;MID(D692,9,2)&amp;":"&amp;RIGHT(D692,2)</f>
        <v/>
      </c>
      <c r="F692" s="29" t="n">
        <v>44754</v>
      </c>
      <c r="G692" s="29" t="inlineStr">
        <is>
          <t>Viezo</t>
        </is>
      </c>
      <c r="H692" t="inlineStr">
        <is>
          <t>6C3A43A20613294D</t>
        </is>
      </c>
      <c r="I692">
        <f>IFERROR(_xlfn.IFNA(INDEX(Sensors_MANU!$C$2:$C$4692,MATCH($D692,Sensors_MANU!$B$2:$B$4692,0)),INDEX(Sensors_MANU!$C$2:$C$4692,MATCH($P692,Sensors_MANU!$A$2:$A$4692,0))),"")</f>
        <v/>
      </c>
      <c r="J692">
        <f>IFERROR(_xlfn.IFNA(INDEX(Sensors_MANU!$D$2:$D$4692,MATCH($D692,Sensors_MANU!$B$2:$B$4692,0)),INDEX(Sensors_MANU!$D$2:$D$4692,MATCH($P692,Sensors_MANU!$A$2:$A$4692,0))),"")</f>
        <v/>
      </c>
      <c r="K692" s="27" t="inlineStr">
        <is>
          <t>31834785082-4</t>
        </is>
      </c>
      <c r="L692" s="27" t="inlineStr">
        <is>
          <t>3R</t>
        </is>
      </c>
      <c r="O692" s="6" t="inlineStr">
        <is>
          <t>V23</t>
        </is>
      </c>
    </row>
    <row r="693">
      <c r="A693" s="32">
        <f>IFERROR(_xlfn.IFNA(INDEX(Sensors_MANU!$E$2:$E$4692,MATCH($D693,Sensors_MANU!$B$2:$B$4692,0)),INDEX(Sensors_MANU!$E$2:$E$4692,MATCH($P693,Sensors_MANU!$A$2:$A$4692,0))),"")</f>
        <v/>
      </c>
      <c r="B693" s="24">
        <f>IFERROR(INDEX(Companies!$A$3:$A$101,MATCH(A693,Companies!$B$3:$B$101,0)),"")</f>
        <v/>
      </c>
      <c r="C693">
        <f>IFERROR(_xlfn.IFNA(INDEX(Sensors_MANU!$F$2:$F$4692,MATCH($D693,Sensors_MANU!$B$2:$B$4692,0)),INDEX(Sensors_MANU!$F$2:$F$4692,MATCH($P693,Sensors_MANU!$A$2:$A$4692,0))),"")</f>
        <v/>
      </c>
      <c r="D693" s="25" t="inlineStr">
        <is>
          <t>E748CA6FCC37</t>
        </is>
      </c>
      <c r="E693" s="24">
        <f>LEFT(D693,2)&amp;":"&amp;MID(D693,3,2)&amp;":"&amp;MID(D693,5,2)&amp;":"&amp;MID(D693,7,2)&amp;":"&amp;MID(D693,9,2)&amp;":"&amp;RIGHT(D693,2)</f>
        <v/>
      </c>
      <c r="F693" s="29" t="n">
        <v>44754</v>
      </c>
      <c r="G693" s="29" t="inlineStr">
        <is>
          <t>Viezo</t>
        </is>
      </c>
      <c r="H693" t="inlineStr">
        <is>
          <t>22DFE6364F218492</t>
        </is>
      </c>
      <c r="I693">
        <f>IFERROR(_xlfn.IFNA(INDEX(Sensors_MANU!$C$2:$C$4692,MATCH($D693,Sensors_MANU!$B$2:$B$4692,0)),INDEX(Sensors_MANU!$C$2:$C$4692,MATCH($P693,Sensors_MANU!$A$2:$A$4692,0))),"")</f>
        <v/>
      </c>
      <c r="J693">
        <f>IFERROR(_xlfn.IFNA(INDEX(Sensors_MANU!$D$2:$D$4692,MATCH($D693,Sensors_MANU!$B$2:$B$4692,0)),INDEX(Sensors_MANU!$D$2:$D$4692,MATCH($P693,Sensors_MANU!$A$2:$A$4692,0))),"")</f>
        <v/>
      </c>
      <c r="K693" s="27" t="inlineStr">
        <is>
          <t>31833919467-8</t>
        </is>
      </c>
      <c r="L693" s="27" t="inlineStr">
        <is>
          <t>1L</t>
        </is>
      </c>
      <c r="O693" s="6" t="inlineStr">
        <is>
          <t>V23</t>
        </is>
      </c>
    </row>
    <row r="694">
      <c r="A694" s="32">
        <f>IFERROR(_xlfn.IFNA(INDEX(Sensors_MANU!$E$2:$E$4692,MATCH($D694,Sensors_MANU!$B$2:$B$4692,0)),INDEX(Sensors_MANU!$E$2:$E$4692,MATCH($P694,Sensors_MANU!$A$2:$A$4692,0))),"")</f>
        <v/>
      </c>
      <c r="B694" s="24">
        <f>IFERROR(INDEX(Companies!$A$3:$A$101,MATCH(A694,Companies!$B$3:$B$101,0)),"")</f>
        <v/>
      </c>
      <c r="C694">
        <f>IFERROR(_xlfn.IFNA(INDEX(Sensors_MANU!$F$2:$F$4692,MATCH($D694,Sensors_MANU!$B$2:$B$4692,0)),INDEX(Sensors_MANU!$F$2:$F$4692,MATCH($P694,Sensors_MANU!$A$2:$A$4692,0))),"")</f>
        <v/>
      </c>
      <c r="D694" s="25" t="inlineStr">
        <is>
          <t>D092891AC02D</t>
        </is>
      </c>
      <c r="E694" s="24">
        <f>LEFT(D694,2)&amp;":"&amp;MID(D694,3,2)&amp;":"&amp;MID(D694,5,2)&amp;":"&amp;MID(D694,7,2)&amp;":"&amp;MID(D694,9,2)&amp;":"&amp;RIGHT(D694,2)</f>
        <v/>
      </c>
      <c r="F694" s="29" t="n">
        <v>44754</v>
      </c>
      <c r="G694" s="29" t="inlineStr">
        <is>
          <t>Viezo</t>
        </is>
      </c>
      <c r="H694" t="inlineStr">
        <is>
          <t>7E41C3B298C36EC0</t>
        </is>
      </c>
      <c r="I694">
        <f>IFERROR(_xlfn.IFNA(INDEX(Sensors_MANU!$C$2:$C$4692,MATCH($D694,Sensors_MANU!$B$2:$B$4692,0)),INDEX(Sensors_MANU!$C$2:$C$4692,MATCH($P694,Sensors_MANU!$A$2:$A$4692,0))),"")</f>
        <v/>
      </c>
      <c r="J694">
        <f>IFERROR(_xlfn.IFNA(INDEX(Sensors_MANU!$D$2:$D$4692,MATCH($D694,Sensors_MANU!$B$2:$B$4692,0)),INDEX(Sensors_MANU!$D$2:$D$4692,MATCH($P694,Sensors_MANU!$A$2:$A$4692,0))),"")</f>
        <v/>
      </c>
      <c r="K694" s="27" t="inlineStr">
        <is>
          <t>31834557682-7</t>
        </is>
      </c>
      <c r="L694" s="27" t="inlineStr">
        <is>
          <t>1R</t>
        </is>
      </c>
      <c r="O694" s="6" t="inlineStr">
        <is>
          <t>V23</t>
        </is>
      </c>
    </row>
    <row r="695">
      <c r="A695" s="32">
        <f>IFERROR(_xlfn.IFNA(INDEX(Sensors_MANU!$E$2:$E$4692,MATCH($D695,Sensors_MANU!$B$2:$B$4692,0)),INDEX(Sensors_MANU!$E$2:$E$4692,MATCH($P695,Sensors_MANU!$A$2:$A$4692,0))),"")</f>
        <v/>
      </c>
      <c r="B695" s="24">
        <f>IFERROR(INDEX(Companies!$A$3:$A$101,MATCH(A695,Companies!$B$3:$B$101,0)),"")</f>
        <v/>
      </c>
      <c r="C695">
        <f>IFERROR(_xlfn.IFNA(INDEX(Sensors_MANU!$F$2:$F$4692,MATCH($D695,Sensors_MANU!$B$2:$B$4692,0)),INDEX(Sensors_MANU!$F$2:$F$4692,MATCH($P695,Sensors_MANU!$A$2:$A$4692,0))),"")</f>
        <v/>
      </c>
      <c r="D695" t="inlineStr">
        <is>
          <t>FB3A7595763B</t>
        </is>
      </c>
      <c r="E695">
        <f>LEFT(D695,2)&amp;":"&amp;MID(D695,3,2)&amp;":"&amp;MID(D695,5,2)&amp;":"&amp;MID(D695,7,2)&amp;":"&amp;MID(D695,9,2)&amp;":"&amp;RIGHT(D695,2)</f>
        <v/>
      </c>
      <c r="F695" s="29" t="n">
        <v>44880</v>
      </c>
      <c r="G695" s="29" t="inlineStr">
        <is>
          <t>Viezo</t>
        </is>
      </c>
      <c r="H695" t="inlineStr">
        <is>
          <t>CA0B6FD235546C7D</t>
        </is>
      </c>
      <c r="I695">
        <f>IFERROR(_xlfn.IFNA(INDEX(Sensors_MANU!$C$2:$C$4692,MATCH($D695,Sensors_MANU!$B$2:$B$4692,0)),INDEX(Sensors_MANU!$C$2:$C$4692,MATCH($P695,Sensors_MANU!$A$2:$A$4692,0))),"")</f>
        <v/>
      </c>
      <c r="J695">
        <f>IFERROR(_xlfn.IFNA(INDEX(Sensors_MANU!$D$2:$D$4692,MATCH($D695,Sensors_MANU!$B$2:$B$4692,0)),INDEX(Sensors_MANU!$D$2:$D$4692,MATCH($P695,Sensors_MANU!$A$2:$A$4692,0))),"")</f>
        <v/>
      </c>
      <c r="K695" s="27" t="inlineStr">
        <is>
          <t>83546985015-9</t>
        </is>
      </c>
      <c r="L695" s="27" t="inlineStr">
        <is>
          <t>4L</t>
        </is>
      </c>
      <c r="M695" s="27" t="n"/>
      <c r="N695" s="99">
        <f>IFERROR(INDEX(Sensors_MANU!$G$2:$G$4692,MATCH($P695,Sensors_MANU!$A$2:$A$4692,0)),)</f>
        <v/>
      </c>
      <c r="O695" s="6" t="inlineStr">
        <is>
          <t>v16</t>
        </is>
      </c>
      <c r="P695" t="n">
        <v>4978522</v>
      </c>
    </row>
    <row r="696">
      <c r="A696" s="32">
        <f>IFERROR(_xlfn.IFNA(INDEX(Sensors_MANU!$E$2:$E$4692,MATCH($D696,Sensors_MANU!$B$2:$B$4692,0)),INDEX(Sensors_MANU!$E$2:$E$4692,MATCH($P696,Sensors_MANU!$A$2:$A$4692,0))),"")</f>
        <v/>
      </c>
      <c r="B696" s="24">
        <f>IFERROR(INDEX(Companies!$A$3:$A$101,MATCH(A696,Companies!$B$3:$B$101,0)),"")</f>
        <v/>
      </c>
      <c r="C696">
        <f>IFERROR(_xlfn.IFNA(INDEX(Sensors_MANU!$F$2:$F$4692,MATCH($D696,Sensors_MANU!$B$2:$B$4692,0)),INDEX(Sensors_MANU!$F$2:$F$4692,MATCH($P696,Sensors_MANU!$A$2:$A$4692,0))),"")</f>
        <v/>
      </c>
      <c r="D696" s="25" t="inlineStr">
        <is>
          <t>E42E5E0CCC7A</t>
        </is>
      </c>
      <c r="E696" s="24">
        <f>LEFT(D696,2)&amp;":"&amp;MID(D696,3,2)&amp;":"&amp;MID(D696,5,2)&amp;":"&amp;MID(D696,7,2)&amp;":"&amp;MID(D696,9,2)&amp;":"&amp;RIGHT(D696,2)</f>
        <v/>
      </c>
      <c r="F696" s="29" t="n">
        <v>44754</v>
      </c>
      <c r="G696" s="29" t="inlineStr">
        <is>
          <t>Viezo</t>
        </is>
      </c>
      <c r="H696" t="inlineStr">
        <is>
          <t>944FB46B205C4B33</t>
        </is>
      </c>
      <c r="I696">
        <f>IFERROR(_xlfn.IFNA(INDEX(Sensors_MANU!$C$2:$C$4692,MATCH($D696,Sensors_MANU!$B$2:$B$4692,0)),INDEX(Sensors_MANU!$C$2:$C$4692,MATCH($P696,Sensors_MANU!$A$2:$A$4692,0))),"")</f>
        <v/>
      </c>
      <c r="J696">
        <f>IFERROR(_xlfn.IFNA(INDEX(Sensors_MANU!$D$2:$D$4692,MATCH($D696,Sensors_MANU!$B$2:$B$4692,0)),INDEX(Sensors_MANU!$D$2:$D$4692,MATCH($P696,Sensors_MANU!$A$2:$A$4692,0))),"")</f>
        <v/>
      </c>
      <c r="K696" s="27" t="inlineStr">
        <is>
          <t>31834789278-4</t>
        </is>
      </c>
      <c r="L696" s="27" t="inlineStr">
        <is>
          <t>4R</t>
        </is>
      </c>
      <c r="O696" s="6" t="inlineStr">
        <is>
          <t>V23</t>
        </is>
      </c>
    </row>
    <row r="697">
      <c r="A697" s="32">
        <f>IFERROR(_xlfn.IFNA(INDEX(Sensors_MANU!$E$2:$E$4692,MATCH($D697,Sensors_MANU!$B$2:$B$4692,0)),INDEX(Sensors_MANU!$E$2:$E$4692,MATCH($P697,Sensors_MANU!$A$2:$A$4692,0))),"")</f>
        <v/>
      </c>
      <c r="B697" s="24">
        <f>IFERROR(INDEX(Companies!$A$3:$A$101,MATCH(A697,Companies!$B$3:$B$101,0)),"")</f>
        <v/>
      </c>
      <c r="C697">
        <f>IFERROR(_xlfn.IFNA(INDEX(Sensors_MANU!$F$2:$F$4692,MATCH($D697,Sensors_MANU!$B$2:$B$4692,0)),INDEX(Sensors_MANU!$F$2:$F$4692,MATCH($P697,Sensors_MANU!$A$2:$A$4692,0))),"")</f>
        <v/>
      </c>
      <c r="D697" s="25" t="inlineStr">
        <is>
          <t>CDF6F89EF6AC</t>
        </is>
      </c>
      <c r="E697" s="24">
        <f>LEFT(D697,2)&amp;":"&amp;MID(D697,3,2)&amp;":"&amp;MID(D697,5,2)&amp;":"&amp;MID(D697,7,2)&amp;":"&amp;MID(D697,9,2)&amp;":"&amp;RIGHT(D697,2)</f>
        <v/>
      </c>
      <c r="F697" s="29" t="n">
        <v>44880</v>
      </c>
      <c r="G697" s="29" t="inlineStr">
        <is>
          <t>Viezo</t>
        </is>
      </c>
      <c r="H697" t="inlineStr">
        <is>
          <t>C1933E326072D48D</t>
        </is>
      </c>
      <c r="I697">
        <f>IFERROR(_xlfn.IFNA(INDEX(Sensors_MANU!$C$2:$C$4692,MATCH($D697,Sensors_MANU!$B$2:$B$4692,0)),INDEX(Sensors_MANU!$C$2:$C$4692,MATCH($P697,Sensors_MANU!$A$2:$A$4692,0))),"")</f>
        <v/>
      </c>
      <c r="J697">
        <f>IFERROR(_xlfn.IFNA(INDEX(Sensors_MANU!$D$2:$D$4692,MATCH($D697,Sensors_MANU!$B$2:$B$4692,0)),INDEX(Sensors_MANU!$D$2:$D$4692,MATCH($P697,Sensors_MANU!$A$2:$A$4692,0))),"")</f>
        <v/>
      </c>
      <c r="K697" s="27" t="inlineStr">
        <is>
          <t>83546985079-5</t>
        </is>
      </c>
      <c r="L697" s="27" t="inlineStr">
        <is>
          <t>3R</t>
        </is>
      </c>
      <c r="O697" s="6" t="inlineStr">
        <is>
          <t>V23</t>
        </is>
      </c>
    </row>
    <row r="698">
      <c r="A698" s="32">
        <f>IFERROR(_xlfn.IFNA(INDEX(Sensors_MANU!$E$2:$E$4692,MATCH($D698,Sensors_MANU!$B$2:$B$4692,0)),INDEX(Sensors_MANU!$E$2:$E$4692,MATCH($P698,Sensors_MANU!$A$2:$A$4692,0))),"")</f>
        <v/>
      </c>
      <c r="B698" s="24">
        <f>IFERROR(INDEX(Companies!$A$3:$A$101,MATCH(A698,Companies!$B$3:$B$101,0)),"")</f>
        <v/>
      </c>
      <c r="C698">
        <f>IFERROR(_xlfn.IFNA(INDEX(Sensors_MANU!$F$2:$F$4692,MATCH($D698,Sensors_MANU!$B$2:$B$4692,0)),INDEX(Sensors_MANU!$F$2:$F$4692,MATCH($P698,Sensors_MANU!$A$2:$A$4692,0))),"")</f>
        <v/>
      </c>
      <c r="D698" s="50" t="inlineStr">
        <is>
          <t>DDBB7DB64C29</t>
        </is>
      </c>
      <c r="E698" s="24">
        <f>LEFT(D698,2)&amp;":"&amp;MID(D698,3,2)&amp;":"&amp;MID(D698,5,2)&amp;":"&amp;MID(D698,7,2)&amp;":"&amp;MID(D698,9,2)&amp;":"&amp;RIGHT(D698,2)</f>
        <v/>
      </c>
      <c r="F698" s="29" t="n">
        <v>44754</v>
      </c>
      <c r="G698" s="29" t="inlineStr">
        <is>
          <t>Viezo</t>
        </is>
      </c>
      <c r="H698" s="26" t="inlineStr">
        <is>
          <t>AB3E972D3267A0EE</t>
        </is>
      </c>
      <c r="I698">
        <f>IFERROR(_xlfn.IFNA(INDEX(Sensors_MANU!$C$2:$C$4692,MATCH($D698,Sensors_MANU!$B$2:$B$4692,0)),INDEX(Sensors_MANU!$C$2:$C$4692,MATCH($P698,Sensors_MANU!$A$2:$A$4692,0))),"")</f>
        <v/>
      </c>
      <c r="J698">
        <f>IFERROR(_xlfn.IFNA(INDEX(Sensors_MANU!$D$2:$D$4692,MATCH($D698,Sensors_MANU!$B$2:$B$4692,0)),INDEX(Sensors_MANU!$D$2:$D$4692,MATCH($P698,Sensors_MANU!$A$2:$A$4692,0))),"")</f>
        <v/>
      </c>
      <c r="K698" s="27" t="inlineStr">
        <is>
          <t>31834557682-7</t>
        </is>
      </c>
      <c r="L698" s="27" t="inlineStr">
        <is>
          <t>4L</t>
        </is>
      </c>
      <c r="O698" s="6" t="inlineStr">
        <is>
          <t>V23</t>
        </is>
      </c>
    </row>
    <row r="699">
      <c r="A699" s="32">
        <f>IFERROR(_xlfn.IFNA(INDEX(Sensors_MANU!$E$2:$E$4692,MATCH($D699,Sensors_MANU!$B$2:$B$4692,0)),INDEX(Sensors_MANU!$E$2:$E$4692,MATCH($P699,Sensors_MANU!$A$2:$A$4692,0))),"")</f>
        <v/>
      </c>
      <c r="B699" s="24">
        <f>IFERROR(INDEX(Companies!$A$3:$A$101,MATCH(A699,Companies!$B$3:$B$101,0)),"")</f>
        <v/>
      </c>
      <c r="C699">
        <f>IFERROR(_xlfn.IFNA(INDEX(Sensors_MANU!$F$2:$F$4692,MATCH($D699,Sensors_MANU!$B$2:$B$4692,0)),INDEX(Sensors_MANU!$F$2:$F$4692,MATCH($P699,Sensors_MANU!$A$2:$A$4692,0))),"")</f>
        <v/>
      </c>
      <c r="D699" s="25" t="inlineStr">
        <is>
          <t>D10F90EFB978</t>
        </is>
      </c>
      <c r="E699" s="24">
        <f>LEFT(D699,2)&amp;":"&amp;MID(D699,3,2)&amp;":"&amp;MID(D699,5,2)&amp;":"&amp;MID(D699,7,2)&amp;":"&amp;MID(D699,9,2)&amp;":"&amp;RIGHT(D699,2)</f>
        <v/>
      </c>
      <c r="F699" s="29" t="n">
        <v>44754</v>
      </c>
      <c r="G699" s="29" t="inlineStr">
        <is>
          <t>Viezo</t>
        </is>
      </c>
      <c r="H699" t="inlineStr">
        <is>
          <t>6FEF097F88F2814B</t>
        </is>
      </c>
      <c r="I699">
        <f>IFERROR(_xlfn.IFNA(INDEX(Sensors_MANU!$C$2:$C$4692,MATCH($D699,Sensors_MANU!$B$2:$B$4692,0)),INDEX(Sensors_MANU!$C$2:$C$4692,MATCH($P699,Sensors_MANU!$A$2:$A$4692,0))),"")</f>
        <v/>
      </c>
      <c r="J699">
        <f>IFERROR(_xlfn.IFNA(INDEX(Sensors_MANU!$D$2:$D$4692,MATCH($D699,Sensors_MANU!$B$2:$B$4692,0)),INDEX(Sensors_MANU!$D$2:$D$4692,MATCH($P699,Sensors_MANU!$A$2:$A$4692,0))),"")</f>
        <v/>
      </c>
      <c r="K699" s="27" t="inlineStr">
        <is>
          <t>31834668448-9</t>
        </is>
      </c>
      <c r="L699" s="27" t="inlineStr">
        <is>
          <t>4L</t>
        </is>
      </c>
      <c r="O699" s="6" t="inlineStr">
        <is>
          <t>V23</t>
        </is>
      </c>
    </row>
    <row r="700">
      <c r="A700" s="32">
        <f>IFERROR(_xlfn.IFNA(INDEX(Sensors_MANU!$E$2:$E$4692,MATCH($D700,Sensors_MANU!$B$2:$B$4692,0)),INDEX(Sensors_MANU!$E$2:$E$4692,MATCH($P700,Sensors_MANU!$A$2:$A$4692,0))),"")</f>
        <v/>
      </c>
      <c r="B700" s="24">
        <f>IFERROR(INDEX(Companies!$A$3:$A$101,MATCH(A700,Companies!$B$3:$B$101,0)),"")</f>
        <v/>
      </c>
      <c r="C700">
        <f>IFERROR(_xlfn.IFNA(INDEX(Sensors_MANU!$F$2:$F$4692,MATCH($D700,Sensors_MANU!$B$2:$B$4692,0)),INDEX(Sensors_MANU!$F$2:$F$4692,MATCH($P700,Sensors_MANU!$A$2:$A$4692,0))),"")</f>
        <v/>
      </c>
      <c r="D700" t="inlineStr">
        <is>
          <t>CFA7A99CB7D3</t>
        </is>
      </c>
      <c r="E700" s="24">
        <f>LEFT(D700,2)&amp;":"&amp;MID(D700,3,2)&amp;":"&amp;MID(D700,5,2)&amp;":"&amp;MID(D700,7,2)&amp;":"&amp;MID(D700,9,2)&amp;":"&amp;RIGHT(D700,2)</f>
        <v/>
      </c>
      <c r="F700" s="29" t="n">
        <v>44880</v>
      </c>
      <c r="G700" s="29" t="inlineStr">
        <is>
          <t>Viezo</t>
        </is>
      </c>
      <c r="H700" t="inlineStr">
        <is>
          <t>6E6CAC64020B7F6A</t>
        </is>
      </c>
      <c r="I700">
        <f>IFERROR(_xlfn.IFNA(INDEX(Sensors_MANU!$C$2:$C$4692,MATCH($D700,Sensors_MANU!$B$2:$B$4692,0)),INDEX(Sensors_MANU!$C$2:$C$4692,MATCH($P700,Sensors_MANU!$A$2:$A$4692,0))),"")</f>
        <v/>
      </c>
      <c r="J700">
        <f>IFERROR(_xlfn.IFNA(INDEX(Sensors_MANU!$D$2:$D$4692,MATCH($D700,Sensors_MANU!$B$2:$B$4692,0)),INDEX(Sensors_MANU!$D$2:$D$4692,MATCH($P700,Sensors_MANU!$A$2:$A$4692,0))),"")</f>
        <v/>
      </c>
      <c r="K700" s="27" t="inlineStr">
        <is>
          <t>83546985079-5</t>
        </is>
      </c>
      <c r="L700" s="27" t="inlineStr">
        <is>
          <t>3L</t>
        </is>
      </c>
      <c r="O700" s="6" t="inlineStr">
        <is>
          <t>V25</t>
        </is>
      </c>
    </row>
    <row r="701">
      <c r="A701" s="32">
        <f>IFERROR(_xlfn.IFNA(INDEX(Sensors_MANU!$E$2:$E$4692,MATCH($D701,Sensors_MANU!$B$2:$B$4692,0)),INDEX(Sensors_MANU!$E$2:$E$4692,MATCH($P701,Sensors_MANU!$A$2:$A$4692,0))),"")</f>
        <v/>
      </c>
      <c r="B701" s="24">
        <f>IFERROR(INDEX(Companies!$A$3:$A$101,MATCH(A701,Companies!$B$3:$B$101,0)),"")</f>
        <v/>
      </c>
      <c r="C701">
        <f>IFERROR(_xlfn.IFNA(INDEX(Sensors_MANU!$F$2:$F$4692,MATCH($D701,Sensors_MANU!$B$2:$B$4692,0)),INDEX(Sensors_MANU!$F$2:$F$4692,MATCH($P701,Sensors_MANU!$A$2:$A$4692,0))),"")</f>
        <v/>
      </c>
      <c r="D701" s="50" t="inlineStr">
        <is>
          <t>E194A006FC24</t>
        </is>
      </c>
      <c r="E701" s="24">
        <f>LEFT(D701,2)&amp;":"&amp;MID(D701,3,2)&amp;":"&amp;MID(D701,5,2)&amp;":"&amp;MID(D701,7,2)&amp;":"&amp;MID(D701,9,2)&amp;":"&amp;RIGHT(D701,2)</f>
        <v/>
      </c>
      <c r="F701" s="29" t="n">
        <v>44754</v>
      </c>
      <c r="G701" s="29" t="inlineStr">
        <is>
          <t>Viezo</t>
        </is>
      </c>
      <c r="H701" s="26" t="inlineStr">
        <is>
          <t>3FE1A4A21DA2522C</t>
        </is>
      </c>
      <c r="I701">
        <f>IFERROR(_xlfn.IFNA(INDEX(Sensors_MANU!$C$2:$C$4692,MATCH($D701,Sensors_MANU!$B$2:$B$4692,0)),INDEX(Sensors_MANU!$C$2:$C$4692,MATCH($P701,Sensors_MANU!$A$2:$A$4692,0))),"")</f>
        <v/>
      </c>
      <c r="J701">
        <f>IFERROR(_xlfn.IFNA(INDEX(Sensors_MANU!$D$2:$D$4692,MATCH($D701,Sensors_MANU!$B$2:$B$4692,0)),INDEX(Sensors_MANU!$D$2:$D$4692,MATCH($P701,Sensors_MANU!$A$2:$A$4692,0))),"")</f>
        <v/>
      </c>
      <c r="K701" s="27" t="inlineStr">
        <is>
          <t>31834785082-4</t>
        </is>
      </c>
      <c r="L701" s="27" t="inlineStr">
        <is>
          <t>1L</t>
        </is>
      </c>
      <c r="O701" s="6" t="inlineStr">
        <is>
          <t>V23</t>
        </is>
      </c>
    </row>
    <row r="702">
      <c r="A702" s="32" t="inlineStr">
        <is>
          <t>TRANSWAGGON</t>
        </is>
      </c>
      <c r="B702" s="24">
        <f>IFERROR(INDEX(Companies!$A$3:$A$101,MATCH(A702,Companies!$B$3:$B$101,0)),"")</f>
        <v/>
      </c>
      <c r="C702" t="inlineStr">
        <is>
          <t>cargo</t>
        </is>
      </c>
      <c r="D702" t="inlineStr">
        <is>
          <t>E97A46EF9C99</t>
        </is>
      </c>
      <c r="E702">
        <f>LEFT(D702,2)&amp;":"&amp;MID(D702,3,2)&amp;":"&amp;MID(D702,5,2)&amp;":"&amp;MID(D702,7,2)&amp;":"&amp;MID(D702,9,2)&amp;":"&amp;RIGHT(D702,2)</f>
        <v/>
      </c>
      <c r="F702" s="29" t="n">
        <v>45097</v>
      </c>
      <c r="G702" s="29" t="inlineStr">
        <is>
          <t>TRANSWAGG</t>
        </is>
      </c>
      <c r="H702" t="inlineStr">
        <is>
          <t>FAA02DBAC43E8CC7</t>
        </is>
      </c>
      <c r="I702" s="63">
        <f>IFERROR(_xlfn.IFNA(INDEX(Sensors_MANU!$C$2:$C$4692,MATCH($D702,Sensors_MANU!$B$2:$B$4692,0)),INDEX(Sensors_MANU!$C$2:$C$4692,MATCH($P702,Sensors_MANU!$A$2:$A$4692,0))),"")</f>
        <v/>
      </c>
      <c r="J702">
        <f>IFERROR(_xlfn.IFNA(INDEX(Sensors_MANU!$D$2:$D$4692,MATCH($D702,Sensors_MANU!$B$2:$B$4692,0)),INDEX(Sensors_MANU!$D$2:$D$4692,MATCH($P702,Sensors_MANU!$A$2:$A$4692,0))),"")</f>
        <v/>
      </c>
      <c r="K702" s="27" t="inlineStr">
        <is>
          <t>33802742527-5</t>
        </is>
      </c>
      <c r="L702" s="27" t="inlineStr">
        <is>
          <t>3L</t>
        </is>
      </c>
      <c r="M702" s="35" t="n"/>
      <c r="N702" s="99">
        <f>IFERROR(INDEX(Sensors_MANU!$G$2:$G$4692,MATCH($P702,Sensors_MANU!$A$2:$A$4692,0)),)</f>
        <v/>
      </c>
      <c r="O702" s="6" t="inlineStr">
        <is>
          <t>v15</t>
        </is>
      </c>
      <c r="P702" t="n">
        <v>4978516</v>
      </c>
    </row>
    <row r="703">
      <c r="B703" s="24">
        <f>IFERROR(INDEX(Companies!$A$3:$A$101,MATCH(A703,Companies!$B$3:$B$101,0)),"")</f>
        <v/>
      </c>
      <c r="C703">
        <f>IFERROR(_xlfn.IFNA(INDEX(Sensors_MANU!$F$2:$F$4692,MATCH($D703,Sensors_MANU!$B$2:$B$4692,0)),INDEX(Sensors_MANU!$F$2:$F$4692,MATCH($P703,Sensors_MANU!$A$2:$A$4692,0))),"")</f>
        <v/>
      </c>
      <c r="D703" s="26" t="inlineStr">
        <is>
          <t>F186F403EA99</t>
        </is>
      </c>
      <c r="E703" s="24">
        <f>LEFT(D703,2)&amp;":"&amp;MID(D703,3,2)&amp;":"&amp;MID(D703,5,2)&amp;":"&amp;MID(D703,7,2)&amp;":"&amp;MID(D703,9,2)&amp;":"&amp;RIGHT(D703,2)</f>
        <v/>
      </c>
      <c r="I703">
        <f>IFERROR(_xlfn.IFNA(INDEX(Sensors_MANU!$C$2:$C$4692,MATCH($D703,Sensors_MANU!$B$2:$B$4692,0)),INDEX(Sensors_MANU!$C$2:$C$4692,MATCH($P703,Sensors_MANU!$A$2:$A$4692,0))),"")</f>
        <v/>
      </c>
      <c r="J703">
        <f>IFERROR(_xlfn.IFNA(INDEX(Sensors_MANU!$D$2:$D$4692,MATCH($D703,Sensors_MANU!$B$2:$B$4692,0)),INDEX(Sensors_MANU!$D$2:$D$4692,MATCH($P703,Sensors_MANU!$A$2:$A$4692,0))),"")</f>
        <v/>
      </c>
      <c r="O703" s="6" t="n"/>
    </row>
    <row r="704">
      <c r="A704" s="32">
        <f>IFERROR(_xlfn.IFNA(INDEX(Sensors_MANU!$E$2:$E$4692,MATCH($D704,Sensors_MANU!$B$2:$B$4692,0)),INDEX(Sensors_MANU!$E$2:$E$4692,MATCH($P704,Sensors_MANU!$A$2:$A$4692,0))),"")</f>
        <v/>
      </c>
      <c r="B704" s="24">
        <f>IFERROR(INDEX(Companies!$A$3:$A$101,MATCH(A704,Companies!$B$3:$B$101,0)),"")</f>
        <v/>
      </c>
      <c r="C704">
        <f>IFERROR(_xlfn.IFNA(INDEX(Sensors_MANU!$F$2:$F$4692,MATCH($D704,Sensors_MANU!$B$2:$B$4692,0)),INDEX(Sensors_MANU!$F$2:$F$4692,MATCH($P704,Sensors_MANU!$A$2:$A$4692,0))),"")</f>
        <v/>
      </c>
      <c r="D704" t="inlineStr">
        <is>
          <t>EDDF9414DAED</t>
        </is>
      </c>
      <c r="E704" s="24">
        <f>LEFT(D704,2)&amp;":"&amp;MID(D704,3,2)&amp;":"&amp;MID(D704,5,2)&amp;":"&amp;MID(D704,7,2)&amp;":"&amp;MID(D704,9,2)&amp;":"&amp;RIGHT(D704,2)</f>
        <v/>
      </c>
      <c r="F704" s="29" t="n">
        <v>44880</v>
      </c>
      <c r="G704" s="29" t="inlineStr">
        <is>
          <t>Viezo</t>
        </is>
      </c>
      <c r="H704" t="inlineStr">
        <is>
          <t>F19E46E1461C978F</t>
        </is>
      </c>
      <c r="I704">
        <f>IFERROR(_xlfn.IFNA(INDEX(Sensors_MANU!$C$2:$C$4692,MATCH($D704,Sensors_MANU!$B$2:$B$4692,0)),INDEX(Sensors_MANU!$C$2:$C$4692,MATCH($P704,Sensors_MANU!$A$2:$A$4692,0))),"")</f>
        <v/>
      </c>
      <c r="J704">
        <f>IFERROR(_xlfn.IFNA(INDEX(Sensors_MANU!$D$2:$D$4692,MATCH($D704,Sensors_MANU!$B$2:$B$4692,0)),INDEX(Sensors_MANU!$D$2:$D$4692,MATCH($P704,Sensors_MANU!$A$2:$A$4692,0))),"")</f>
        <v/>
      </c>
      <c r="K704" s="27" t="inlineStr">
        <is>
          <t>83546985072-0</t>
        </is>
      </c>
      <c r="L704" s="27" t="inlineStr">
        <is>
          <t>1L</t>
        </is>
      </c>
      <c r="O704" s="6" t="inlineStr">
        <is>
          <t>V25</t>
        </is>
      </c>
    </row>
    <row r="705">
      <c r="B705" s="24">
        <f>IFERROR(INDEX(Companies!$A$3:$A$101,MATCH(A705,Companies!$B$3:$B$101,0)),"")</f>
        <v/>
      </c>
      <c r="C705">
        <f>IFERROR(_xlfn.IFNA(INDEX(Sensors_MANU!$F$2:$F$4692,MATCH($D705,Sensors_MANU!$B$2:$B$4692,0)),INDEX(Sensors_MANU!$F$2:$F$4692,MATCH($P705,Sensors_MANU!$A$2:$A$4692,0))),"")</f>
        <v/>
      </c>
      <c r="D705" s="25" t="inlineStr">
        <is>
          <t>C6D9514EA269</t>
        </is>
      </c>
      <c r="E705" s="24">
        <f>LEFT(D705,2)&amp;":"&amp;MID(D705,3,2)&amp;":"&amp;MID(D705,5,2)&amp;":"&amp;MID(D705,7,2)&amp;":"&amp;MID(D705,9,2)&amp;":"&amp;RIGHT(D705,2)</f>
        <v/>
      </c>
      <c r="H705" s="18" t="inlineStr">
        <is>
          <t>5E3282BAAB8BF0D8</t>
        </is>
      </c>
      <c r="I705">
        <f>IFERROR(_xlfn.IFNA(INDEX(Sensors_MANU!$C$2:$C$4692,MATCH($D705,Sensors_MANU!$B$2:$B$4692,0)),INDEX(Sensors_MANU!$C$2:$C$4692,MATCH($P705,Sensors_MANU!$A$2:$A$4692,0))),"")</f>
        <v/>
      </c>
      <c r="J705">
        <f>IFERROR(_xlfn.IFNA(INDEX(Sensors_MANU!$D$2:$D$4692,MATCH($D705,Sensors_MANU!$B$2:$B$4692,0)),INDEX(Sensors_MANU!$D$2:$D$4692,MATCH($P705,Sensors_MANU!$A$2:$A$4692,0))),"")</f>
        <v/>
      </c>
      <c r="N705" s="99" t="inlineStr">
        <is>
          <t>Replacement</t>
        </is>
      </c>
      <c r="O705" s="6" t="inlineStr">
        <is>
          <t>V23</t>
        </is>
      </c>
    </row>
    <row r="706">
      <c r="A706" s="32">
        <f>IFERROR(_xlfn.IFNA(INDEX(Sensors_MANU!$E$2:$E$4692,MATCH($D706,Sensors_MANU!$B$2:$B$4692,0)),INDEX(Sensors_MANU!$E$2:$E$4692,MATCH($P706,Sensors_MANU!$A$2:$A$4692,0))),"")</f>
        <v/>
      </c>
      <c r="B706" s="24">
        <f>IFERROR(INDEX(Companies!$A$3:$A$101,MATCH(A706,Companies!$B$3:$B$101,0)),"")</f>
        <v/>
      </c>
      <c r="C706">
        <f>IFERROR(_xlfn.IFNA(INDEX(Sensors_MANU!$F$2:$F$4692,MATCH($D706,Sensors_MANU!$B$2:$B$4692,0)),INDEX(Sensors_MANU!$F$2:$F$4692,MATCH($P706,Sensors_MANU!$A$2:$A$4692,0))),"")</f>
        <v/>
      </c>
      <c r="D706" s="25" t="inlineStr">
        <is>
          <t>D47A7E7DC0A2</t>
        </is>
      </c>
      <c r="E706" s="24">
        <f>LEFT(D706,2)&amp;":"&amp;MID(D706,3,2)&amp;":"&amp;MID(D706,5,2)&amp;":"&amp;MID(D706,7,2)&amp;":"&amp;MID(D706,9,2)&amp;":"&amp;RIGHT(D706,2)</f>
        <v/>
      </c>
      <c r="F706" s="29" t="n">
        <v>44754</v>
      </c>
      <c r="G706" s="29" t="inlineStr">
        <is>
          <t>Viezo</t>
        </is>
      </c>
      <c r="H706" t="inlineStr">
        <is>
          <t>21849CA8B551ABEC</t>
        </is>
      </c>
      <c r="I706">
        <f>IFERROR(_xlfn.IFNA(INDEX(Sensors_MANU!$C$2:$C$4692,MATCH($D706,Sensors_MANU!$B$2:$B$4692,0)),INDEX(Sensors_MANU!$C$2:$C$4692,MATCH($P706,Sensors_MANU!$A$2:$A$4692,0))),"")</f>
        <v/>
      </c>
      <c r="J706">
        <f>IFERROR(_xlfn.IFNA(INDEX(Sensors_MANU!$D$2:$D$4692,MATCH($D706,Sensors_MANU!$B$2:$B$4692,0)),INDEX(Sensors_MANU!$D$2:$D$4692,MATCH($P706,Sensors_MANU!$A$2:$A$4692,0))),"")</f>
        <v/>
      </c>
      <c r="K706" s="27" t="inlineStr">
        <is>
          <t>31833919467-8</t>
        </is>
      </c>
      <c r="L706" s="27" t="inlineStr">
        <is>
          <t>2L</t>
        </is>
      </c>
      <c r="O706" s="6" t="inlineStr">
        <is>
          <t>V23</t>
        </is>
      </c>
    </row>
    <row r="707">
      <c r="A707" s="32">
        <f>IFERROR(_xlfn.IFNA(INDEX(Sensors_MANU!$E$2:$E$4692,MATCH($D707,Sensors_MANU!$B$2:$B$4692,0)),INDEX(Sensors_MANU!$E$2:$E$4692,MATCH($P707,Sensors_MANU!$A$2:$A$4692,0))),"")</f>
        <v/>
      </c>
      <c r="B707" s="24">
        <f>IFERROR(INDEX(Companies!$A$3:$A$101,MATCH(A707,Companies!$B$3:$B$101,0)),"")</f>
        <v/>
      </c>
      <c r="C707">
        <f>IFERROR(_xlfn.IFNA(INDEX(Sensors_MANU!$F$2:$F$4692,MATCH($D707,Sensors_MANU!$B$2:$B$4692,0)),INDEX(Sensors_MANU!$F$2:$F$4692,MATCH($P707,Sensors_MANU!$A$2:$A$4692,0))),"")</f>
        <v/>
      </c>
      <c r="D707" s="25" t="inlineStr">
        <is>
          <t>F3F78C484F68</t>
        </is>
      </c>
      <c r="E707" s="24">
        <f>LEFT(D707,2)&amp;":"&amp;MID(D707,3,2)&amp;":"&amp;MID(D707,5,2)&amp;":"&amp;MID(D707,7,2)&amp;":"&amp;MID(D707,9,2)&amp;":"&amp;RIGHT(D707,2)</f>
        <v/>
      </c>
      <c r="F707" s="29" t="n">
        <v>44872</v>
      </c>
      <c r="G707" s="29" t="inlineStr">
        <is>
          <t>Viezo</t>
        </is>
      </c>
      <c r="H707" t="inlineStr">
        <is>
          <t>54F7F2F746FB831E</t>
        </is>
      </c>
      <c r="I707">
        <f>IFERROR(_xlfn.IFNA(INDEX(Sensors_MANU!$C$2:$C$4692,MATCH($D707,Sensors_MANU!$B$2:$B$4692,0)),INDEX(Sensors_MANU!$C$2:$C$4692,MATCH($P707,Sensors_MANU!$A$2:$A$4692,0))),"")</f>
        <v/>
      </c>
      <c r="J707">
        <f>IFERROR(_xlfn.IFNA(INDEX(Sensors_MANU!$D$2:$D$4692,MATCH($D707,Sensors_MANU!$B$2:$B$4692,0)),INDEX(Sensors_MANU!$D$2:$D$4692,MATCH($P707,Sensors_MANU!$A$2:$A$4692,0))),"")</f>
        <v/>
      </c>
      <c r="K707" s="27" t="inlineStr">
        <is>
          <t>84515332773-7</t>
        </is>
      </c>
      <c r="L707" s="27" t="inlineStr">
        <is>
          <t>4L</t>
        </is>
      </c>
      <c r="N707" s="99" t="inlineStr">
        <is>
          <t>The operator has the device or its lost (they got it for free), but we dont monitor it on Ubidots anymore.</t>
        </is>
      </c>
      <c r="O707" s="6" t="inlineStr">
        <is>
          <t>V23</t>
        </is>
      </c>
    </row>
    <row r="708">
      <c r="A708" s="32">
        <f>IFERROR(_xlfn.IFNA(INDEX(Sensors_MANU!$E$2:$E$4692,MATCH($D708,Sensors_MANU!$B$2:$B$4692,0)),INDEX(Sensors_MANU!$E$2:$E$4692,MATCH($P708,Sensors_MANU!$A$2:$A$4692,0))),"")</f>
        <v/>
      </c>
      <c r="B708" s="24">
        <f>IFERROR(INDEX(Companies!$A$3:$A$101,MATCH(A708,Companies!$B$3:$B$101,0)),"")</f>
        <v/>
      </c>
      <c r="C708">
        <f>IFERROR(_xlfn.IFNA(INDEX(Sensors_MANU!$F$2:$F$4692,MATCH($D708,Sensors_MANU!$B$2:$B$4692,0)),INDEX(Sensors_MANU!$F$2:$F$4692,MATCH($P708,Sensors_MANU!$A$2:$A$4692,0))),"")</f>
        <v/>
      </c>
      <c r="D708" s="25" t="inlineStr">
        <is>
          <t>D321FD91A79A</t>
        </is>
      </c>
      <c r="E708" s="24">
        <f>LEFT(D708,2)&amp;":"&amp;MID(D708,3,2)&amp;":"&amp;MID(D708,5,2)&amp;":"&amp;MID(D708,7,2)&amp;":"&amp;MID(D708,9,2)&amp;":"&amp;RIGHT(D708,2)</f>
        <v/>
      </c>
      <c r="F708" s="29" t="n">
        <v>44754</v>
      </c>
      <c r="G708" s="29" t="inlineStr">
        <is>
          <t>Viezo</t>
        </is>
      </c>
      <c r="H708" t="inlineStr">
        <is>
          <t>03F38D514364A951</t>
        </is>
      </c>
      <c r="I708">
        <f>IFERROR(_xlfn.IFNA(INDEX(Sensors_MANU!$C$2:$C$4692,MATCH($D708,Sensors_MANU!$B$2:$B$4692,0)),INDEX(Sensors_MANU!$C$2:$C$4692,MATCH($P708,Sensors_MANU!$A$2:$A$4692,0))),"")</f>
        <v/>
      </c>
      <c r="J708">
        <f>IFERROR(_xlfn.IFNA(INDEX(Sensors_MANU!$D$2:$D$4692,MATCH($D708,Sensors_MANU!$B$2:$B$4692,0)),INDEX(Sensors_MANU!$D$2:$D$4692,MATCH($P708,Sensors_MANU!$A$2:$A$4692,0))),"")</f>
        <v/>
      </c>
      <c r="K708" s="27" t="inlineStr">
        <is>
          <t>31833919095-7</t>
        </is>
      </c>
      <c r="L708" s="27" t="inlineStr">
        <is>
          <t>4R</t>
        </is>
      </c>
      <c r="O708" s="6" t="inlineStr">
        <is>
          <t>V23</t>
        </is>
      </c>
    </row>
    <row r="709">
      <c r="A709" s="32">
        <f>IFERROR(_xlfn.IFNA(INDEX(Sensors_MANU!$E$2:$E$4692,MATCH($D709,Sensors_MANU!$B$2:$B$4692,0)),INDEX(Sensors_MANU!$E$2:$E$4692,MATCH($P709,Sensors_MANU!$A$2:$A$4692,0))),"")</f>
        <v/>
      </c>
      <c r="B709" s="24">
        <f>IFERROR(INDEX(Companies!$A$3:$A$101,MATCH(A709,Companies!$B$3:$B$101,0)),"")</f>
        <v/>
      </c>
      <c r="C709">
        <f>IFERROR(_xlfn.IFNA(INDEX(Sensors_MANU!$F$2:$F$4692,MATCH($D709,Sensors_MANU!$B$2:$B$4692,0)),INDEX(Sensors_MANU!$F$2:$F$4692,MATCH($P709,Sensors_MANU!$A$2:$A$4692,0))),"")</f>
        <v/>
      </c>
      <c r="D709" t="inlineStr">
        <is>
          <t>D17760A8CC6B</t>
        </is>
      </c>
      <c r="E709" s="24">
        <f>LEFT(D709,2)&amp;":"&amp;MID(D709,3,2)&amp;":"&amp;MID(D709,5,2)&amp;":"&amp;MID(D709,7,2)&amp;":"&amp;MID(D709,9,2)&amp;":"&amp;RIGHT(D709,2)</f>
        <v/>
      </c>
      <c r="F709" s="29" t="n">
        <v>44880</v>
      </c>
      <c r="G709" s="29" t="inlineStr">
        <is>
          <t>Viezo</t>
        </is>
      </c>
      <c r="H709" t="inlineStr">
        <is>
          <t>50423EE3AFF5B5AB</t>
        </is>
      </c>
      <c r="I709">
        <f>IFERROR(_xlfn.IFNA(INDEX(Sensors_MANU!$C$2:$C$4692,MATCH($D709,Sensors_MANU!$B$2:$B$4692,0)),INDEX(Sensors_MANU!$C$2:$C$4692,MATCH($P709,Sensors_MANU!$A$2:$A$4692,0))),"")</f>
        <v/>
      </c>
      <c r="J709">
        <f>IFERROR(_xlfn.IFNA(INDEX(Sensors_MANU!$D$2:$D$4692,MATCH($D709,Sensors_MANU!$B$2:$B$4692,0)),INDEX(Sensors_MANU!$D$2:$D$4692,MATCH($P709,Sensors_MANU!$A$2:$A$4692,0))),"")</f>
        <v/>
      </c>
      <c r="K709" s="27" t="inlineStr">
        <is>
          <t>83546985095-1</t>
        </is>
      </c>
      <c r="L709" s="27" t="inlineStr">
        <is>
          <t>4R</t>
        </is>
      </c>
      <c r="O709" s="6" t="inlineStr">
        <is>
          <t>V25</t>
        </is>
      </c>
    </row>
    <row r="710">
      <c r="B710" s="24">
        <f>IFERROR(INDEX(Companies!$A$3:$A$101,MATCH(A710,Companies!$B$3:$B$101,0)),"")</f>
        <v/>
      </c>
      <c r="C710">
        <f>IFERROR(_xlfn.IFNA(INDEX(Sensors_MANU!$F$2:$F$4692,MATCH($D710,Sensors_MANU!$B$2:$B$4692,0)),INDEX(Sensors_MANU!$F$2:$F$4692,MATCH($P710,Sensors_MANU!$A$2:$A$4692,0))),"")</f>
        <v/>
      </c>
      <c r="D710" t="inlineStr">
        <is>
          <t>D2E6A441120A</t>
        </is>
      </c>
      <c r="E710">
        <f>LEFT(D710,2)&amp;":"&amp;MID(D710,3,2)&amp;":"&amp;MID(D710,5,2)&amp;":"&amp;MID(D710,7,2)&amp;":"&amp;MID(D710,9,2)&amp;":"&amp;RIGHT(D710,2)</f>
        <v/>
      </c>
      <c r="H710" t="inlineStr">
        <is>
          <t>4492961E2E183195</t>
        </is>
      </c>
      <c r="J710" s="65" t="inlineStr">
        <is>
          <t>PR2206-071</t>
        </is>
      </c>
      <c r="M710" s="27" t="n"/>
      <c r="N710" s="99">
        <f>IFERROR(INDEX(Sensors_MANU!$G$2:$G$4692,MATCH($P710,Sensors_MANU!$A$2:$A$4692,0)),)</f>
        <v/>
      </c>
      <c r="O710" s="6" t="inlineStr">
        <is>
          <t>v16</t>
        </is>
      </c>
      <c r="P710" t="n">
        <v>4978785</v>
      </c>
    </row>
    <row r="711">
      <c r="A711" s="32">
        <f>IFERROR(_xlfn.IFNA(INDEX(Sensors_MANU!$E$2:$E$4692,MATCH($D711,Sensors_MANU!$B$2:$B$4692,0)),INDEX(Sensors_MANU!$E$2:$E$4692,MATCH($P711,Sensors_MANU!$A$2:$A$4692,0))),"")</f>
        <v/>
      </c>
      <c r="B711" s="24">
        <f>IFERROR(INDEX(Companies!$A$3:$A$101,MATCH(A711,Companies!$B$3:$B$101,0)),"")</f>
        <v/>
      </c>
      <c r="C711">
        <f>IFERROR(_xlfn.IFNA(INDEX(Sensors_MANU!$F$2:$F$4692,MATCH($D711,Sensors_MANU!$B$2:$B$4692,0)),INDEX(Sensors_MANU!$F$2:$F$4692,MATCH($P711,Sensors_MANU!$A$2:$A$4692,0))),"")</f>
        <v/>
      </c>
      <c r="D711" t="inlineStr">
        <is>
          <t>C493A674A6B7</t>
        </is>
      </c>
      <c r="E711">
        <f>LEFT(D711,2)&amp;":"&amp;MID(D711,3,2)&amp;":"&amp;MID(D711,5,2)&amp;":"&amp;MID(D711,7,2)&amp;":"&amp;MID(D711,9,2)&amp;":"&amp;RIGHT(D711,2)</f>
        <v/>
      </c>
      <c r="F711" s="29" t="n">
        <v>44872</v>
      </c>
      <c r="G711" s="29" t="inlineStr">
        <is>
          <t>Viezo</t>
        </is>
      </c>
      <c r="H711" t="inlineStr">
        <is>
          <t>5D6013289CC8A48D</t>
        </is>
      </c>
      <c r="I711" s="6">
        <f>IFERROR(_xlfn.IFNA(INDEX(Sensors_MANU!$C$2:$C$4692,MATCH($D711,Sensors_MANU!$B$2:$B$4692,0)),INDEX(Sensors_MANU!$C$2:$C$4692,MATCH($P711,Sensors_MANU!$A$2:$A$4692,0))),"")</f>
        <v/>
      </c>
      <c r="J711">
        <f>IFERROR(_xlfn.IFNA(INDEX(Sensors_MANU!$D$2:$D$4692,MATCH($D711,Sensors_MANU!$B$2:$B$4692,0)),INDEX(Sensors_MANU!$D$2:$D$4692,MATCH($P711,Sensors_MANU!$A$2:$A$4692,0))),"")</f>
        <v/>
      </c>
      <c r="K711" s="27" t="inlineStr">
        <is>
          <t>84515332773-7</t>
        </is>
      </c>
      <c r="L711" s="27" t="inlineStr">
        <is>
          <t>3L</t>
        </is>
      </c>
      <c r="M711" s="35" t="n"/>
      <c r="N711" s="99" t="inlineStr">
        <is>
          <t>The operator has the device or its lost (they got it for free), but we dont monitor it on Ubidots anymore.</t>
        </is>
      </c>
      <c r="O711" s="6" t="inlineStr">
        <is>
          <t>v15</t>
        </is>
      </c>
      <c r="P711" t="n">
        <v>4978515</v>
      </c>
    </row>
    <row r="712">
      <c r="A712" s="32" t="inlineStr">
        <is>
          <t>TRANSWAGGON</t>
        </is>
      </c>
      <c r="B712" s="24">
        <f>IFERROR(INDEX(Companies!$A$3:$A$101,MATCH(A712,Companies!$B$3:$B$101,0)),"")</f>
        <v/>
      </c>
      <c r="C712">
        <f>IFERROR(_xlfn.IFNA(INDEX(Sensors_MANU!$F$2:$F$4692,MATCH($D712,Sensors_MANU!$B$2:$B$4692,0)),INDEX(Sensors_MANU!$F$2:$F$4692,MATCH($P712,Sensors_MANU!$A$2:$A$4692,0))),"")</f>
        <v/>
      </c>
      <c r="D712" t="inlineStr">
        <is>
          <t>CAC5CD50F698</t>
        </is>
      </c>
      <c r="E712">
        <f>LEFT(D712,2)&amp;":"&amp;MID(D712,3,2)&amp;":"&amp;MID(D712,5,2)&amp;":"&amp;MID(D712,7,2)&amp;":"&amp;MID(D712,9,2)&amp;":"&amp;RIGHT(D712,2)</f>
        <v/>
      </c>
      <c r="F712" s="29" t="n">
        <v>45097</v>
      </c>
      <c r="G712" s="29" t="inlineStr">
        <is>
          <t>TRANSWAGG</t>
        </is>
      </c>
      <c r="H712" t="inlineStr">
        <is>
          <t>5C85DB4309D5265E</t>
        </is>
      </c>
      <c r="I712">
        <f>IFERROR(_xlfn.IFNA(INDEX(Sensors_MANU!$C$2:$C$4692,MATCH($D712,Sensors_MANU!$B$2:$B$4692,0)),INDEX(Sensors_MANU!$C$2:$C$4692,MATCH($P712,Sensors_MANU!$A$2:$A$4692,0))),"")</f>
        <v/>
      </c>
      <c r="J712">
        <f>IFERROR(_xlfn.IFNA(INDEX(Sensors_MANU!$D$2:$D$4692,MATCH($D712,Sensors_MANU!$B$2:$B$4692,0)),INDEX(Sensors_MANU!$D$2:$D$4692,MATCH($P712,Sensors_MANU!$A$2:$A$4692,0))),"")</f>
        <v/>
      </c>
      <c r="K712" s="32" t="inlineStr">
        <is>
          <t>33802742527-5</t>
        </is>
      </c>
      <c r="L712" s="32" t="inlineStr">
        <is>
          <t>2R</t>
        </is>
      </c>
      <c r="M712" s="32" t="n"/>
      <c r="N712" s="99">
        <f>IFERROR(INDEX(Sensors_MANU!$G$2:$G$4692,MATCH($P712,Sensors_MANU!$A$2:$A$4692,0)),)</f>
        <v/>
      </c>
      <c r="O712" s="6" t="inlineStr">
        <is>
          <t>v15</t>
        </is>
      </c>
      <c r="P712" t="n">
        <v>4978684</v>
      </c>
    </row>
    <row r="713">
      <c r="A713" s="32">
        <f>IFERROR(_xlfn.IFNA(INDEX(Sensors_MANU!$E$2:$E$4692,MATCH($D713,Sensors_MANU!$B$2:$B$4692,0)),INDEX(Sensors_MANU!$E$2:$E$4692,MATCH($P713,Sensors_MANU!$A$2:$A$4692,0))),"")</f>
        <v/>
      </c>
      <c r="B713" s="24">
        <f>IFERROR(INDEX(Companies!$A$3:$A$101,MATCH(A713,Companies!$B$3:$B$101,0)),"")</f>
        <v/>
      </c>
      <c r="C713">
        <f>IFERROR(_xlfn.IFNA(INDEX(Sensors_MANU!$F$2:$F$4692,MATCH($D713,Sensors_MANU!$B$2:$B$4692,0)),INDEX(Sensors_MANU!$F$2:$F$4692,MATCH($P713,Sensors_MANU!$A$2:$A$4692,0))),"")</f>
        <v/>
      </c>
      <c r="D713" s="25" t="inlineStr">
        <is>
          <t>CB408D13862F</t>
        </is>
      </c>
      <c r="E713" s="24">
        <f>LEFT(D713,2)&amp;":"&amp;MID(D713,3,2)&amp;":"&amp;MID(D713,5,2)&amp;":"&amp;MID(D713,7,2)&amp;":"&amp;MID(D713,9,2)&amp;":"&amp;RIGHT(D713,2)</f>
        <v/>
      </c>
      <c r="F713" s="29" t="n">
        <v>44832</v>
      </c>
      <c r="G713" s="29" t="inlineStr">
        <is>
          <t>Hupac</t>
        </is>
      </c>
      <c r="H713" t="inlineStr">
        <is>
          <t>08FC454621CD07B4</t>
        </is>
      </c>
      <c r="I713">
        <f>IFERROR(_xlfn.IFNA(INDEX(Sensors_MANU!$C$2:$C$4692,MATCH($D713,Sensors_MANU!$B$2:$B$4692,0)),INDEX(Sensors_MANU!$C$2:$C$4692,MATCH($P713,Sensors_MANU!$A$2:$A$4692,0))),"")</f>
        <v/>
      </c>
      <c r="J713">
        <f>IFERROR(_xlfn.IFNA(INDEX(Sensors_MANU!$D$2:$D$4692,MATCH($D713,Sensors_MANU!$B$2:$B$4692,0)),INDEX(Sensors_MANU!$D$2:$D$4692,MATCH($P713,Sensors_MANU!$A$2:$A$4692,0))),"")</f>
        <v/>
      </c>
      <c r="K713" s="27" t="inlineStr">
        <is>
          <t>33-85-4506-155-2</t>
        </is>
      </c>
      <c r="L713" s="27" t="inlineStr">
        <is>
          <t>2b</t>
        </is>
      </c>
      <c r="M713" s="61" t="inlineStr">
        <is>
          <t>980835</t>
        </is>
      </c>
      <c r="O713" s="6" t="inlineStr">
        <is>
          <t>V23</t>
        </is>
      </c>
    </row>
    <row r="714">
      <c r="A714" s="32">
        <f>IFERROR(_xlfn.IFNA(INDEX(Sensors_MANU!$E$2:$E$4692,MATCH($D714,Sensors_MANU!$B$2:$B$4692,0)),INDEX(Sensors_MANU!$E$2:$E$4692,MATCH($P714,Sensors_MANU!$A$2:$A$4692,0))),"")</f>
        <v/>
      </c>
      <c r="B714" s="24" t="inlineStr">
        <is>
          <t>64818ba10166b80f8d06f5fa</t>
        </is>
      </c>
      <c r="C714">
        <f>IFERROR(_xlfn.IFNA(INDEX(Sensors_MANU!$F$2:$F$4692,MATCH($D714,Sensors_MANU!$B$2:$B$4692,0)),INDEX(Sensors_MANU!$F$2:$F$4692,MATCH($P714,Sensors_MANU!$A$2:$A$4692,0))),"")</f>
        <v/>
      </c>
      <c r="D714" t="inlineStr">
        <is>
          <t>F6CF4EE0B874</t>
        </is>
      </c>
      <c r="E714" s="24">
        <f>LEFT(D714,2)&amp;":"&amp;MID(D714,3,2)&amp;":"&amp;MID(D714,5,2)&amp;":"&amp;MID(D714,7,2)&amp;":"&amp;MID(D714,9,2)&amp;":"&amp;RIGHT(D714,2)</f>
        <v/>
      </c>
      <c r="F714" s="29" t="n">
        <v>45097</v>
      </c>
      <c r="G714" s="29" t="inlineStr">
        <is>
          <t>TRANSWAGG</t>
        </is>
      </c>
      <c r="H714" t="inlineStr">
        <is>
          <t>AC9EBA303D2AE017</t>
        </is>
      </c>
      <c r="I714">
        <f>IFERROR(_xlfn.IFNA(INDEX(Sensors_MANU!$C$2:$C$4692,MATCH($D714,Sensors_MANU!$B$2:$B$4692,0)),INDEX(Sensors_MANU!$C$2:$C$4692,MATCH($P714,Sensors_MANU!$A$2:$A$4692,0))),"")</f>
        <v/>
      </c>
      <c r="J714">
        <f>IFERROR(_xlfn.IFNA(INDEX(Sensors_MANU!$D$2:$D$4692,MATCH($D714,Sensors_MANU!$B$2:$B$4692,0)),INDEX(Sensors_MANU!$D$2:$D$4692,MATCH($P714,Sensors_MANU!$A$2:$A$4692,0))),"")</f>
        <v/>
      </c>
      <c r="K714" s="27" t="inlineStr">
        <is>
          <t>33802742527-5</t>
        </is>
      </c>
      <c r="L714" s="27" t="inlineStr">
        <is>
          <t>4R</t>
        </is>
      </c>
      <c r="O714" s="6" t="inlineStr">
        <is>
          <t>V25</t>
        </is>
      </c>
    </row>
    <row r="715">
      <c r="A715" s="32">
        <f>IFERROR(_xlfn.IFNA(INDEX(Sensors_MANU!$E$2:$E$4692,MATCH($D715,Sensors_MANU!$B$2:$B$4692,0)),INDEX(Sensors_MANU!$E$2:$E$4692,MATCH($P715,Sensors_MANU!$A$2:$A$4692,0))),"")</f>
        <v/>
      </c>
      <c r="B715" s="24">
        <f>IFERROR(INDEX(Companies!$A$3:$A$101,MATCH(A715,Companies!$B$3:$B$101,0)),"")</f>
        <v/>
      </c>
      <c r="C715">
        <f>IFERROR(_xlfn.IFNA(INDEX(Sensors_MANU!$F$2:$F$4692,MATCH($D715,Sensors_MANU!$B$2:$B$4692,0)),INDEX(Sensors_MANU!$F$2:$F$4692,MATCH($P715,Sensors_MANU!$A$2:$A$4692,0))),"")</f>
        <v/>
      </c>
      <c r="D715" s="25" t="inlineStr">
        <is>
          <t>FB46408303A8</t>
        </is>
      </c>
      <c r="E715" s="24">
        <f>LEFT(D715,2)&amp;":"&amp;MID(D715,3,2)&amp;":"&amp;MID(D715,5,2)&amp;":"&amp;MID(D715,7,2)&amp;":"&amp;MID(D715,9,2)&amp;":"&amp;RIGHT(D715,2)</f>
        <v/>
      </c>
      <c r="F715" s="29" t="n">
        <v>44754</v>
      </c>
      <c r="G715" s="29" t="inlineStr">
        <is>
          <t>Viezo</t>
        </is>
      </c>
      <c r="H715" s="18" t="inlineStr">
        <is>
          <t>31594E319FBED7E0</t>
        </is>
      </c>
      <c r="I715">
        <f>IFERROR(_xlfn.IFNA(INDEX(Sensors_MANU!$C$2:$C$4692,MATCH($D715,Sensors_MANU!$B$2:$B$4692,0)),INDEX(Sensors_MANU!$C$2:$C$4692,MATCH($P715,Sensors_MANU!$A$2:$A$4692,0))),"")</f>
        <v/>
      </c>
      <c r="J715">
        <f>IFERROR(_xlfn.IFNA(INDEX(Sensors_MANU!$D$2:$D$4692,MATCH($D715,Sensors_MANU!$B$2:$B$4692,0)),INDEX(Sensors_MANU!$D$2:$D$4692,MATCH($P715,Sensors_MANU!$A$2:$A$4692,0))),"")</f>
        <v/>
      </c>
      <c r="K715" s="27" t="inlineStr">
        <is>
          <t>31832852846-4</t>
        </is>
      </c>
      <c r="L715" s="27" t="inlineStr">
        <is>
          <t>4R</t>
        </is>
      </c>
      <c r="O715" s="6" t="inlineStr">
        <is>
          <t>V23</t>
        </is>
      </c>
    </row>
    <row r="716">
      <c r="A716" s="32">
        <f>IFERROR(_xlfn.IFNA(INDEX(Sensors_MANU!$E$2:$E$4692,MATCH($D716,Sensors_MANU!$B$2:$B$4692,0)),INDEX(Sensors_MANU!$E$2:$E$4692,MATCH($P716,Sensors_MANU!$A$2:$A$4692,0))),"")</f>
        <v/>
      </c>
      <c r="B716" s="24">
        <f>IFERROR(INDEX(Companies!$A$3:$A$101,MATCH(A716,Companies!$B$3:$B$101,0)),"")</f>
        <v/>
      </c>
      <c r="C716">
        <f>IFERROR(_xlfn.IFNA(INDEX(Sensors_MANU!$F$2:$F$4692,MATCH($D716,Sensors_MANU!$B$2:$B$4692,0)),INDEX(Sensors_MANU!$F$2:$F$4692,MATCH($P716,Sensors_MANU!$A$2:$A$4692,0))),"")</f>
        <v/>
      </c>
      <c r="D716" t="inlineStr">
        <is>
          <t>E278A9A43B32</t>
        </is>
      </c>
      <c r="E716">
        <f>LEFT(D716,2)&amp;":"&amp;MID(D716,3,2)&amp;":"&amp;MID(D716,5,2)&amp;":"&amp;MID(D716,7,2)&amp;":"&amp;MID(D716,9,2)&amp;":"&amp;RIGHT(D716,2)</f>
        <v/>
      </c>
      <c r="F716" s="29" t="n">
        <v>44872</v>
      </c>
      <c r="G716" s="29" t="inlineStr">
        <is>
          <t>Viezo</t>
        </is>
      </c>
      <c r="H716" t="inlineStr">
        <is>
          <t>276F21171A61335E</t>
        </is>
      </c>
      <c r="I716">
        <f>IFERROR(_xlfn.IFNA(INDEX(Sensors_MANU!$C$2:$C$4692,MATCH($D716,Sensors_MANU!$B$2:$B$4692,0)),INDEX(Sensors_MANU!$C$2:$C$4692,MATCH($P716,Sensors_MANU!$A$2:$A$4692,0))),"")</f>
        <v/>
      </c>
      <c r="J716">
        <f>IFERROR(_xlfn.IFNA(INDEX(Sensors_MANU!$D$2:$D$4692,MATCH($D716,Sensors_MANU!$B$2:$B$4692,0)),INDEX(Sensors_MANU!$D$2:$D$4692,MATCH($P716,Sensors_MANU!$A$2:$A$4692,0))),"")</f>
        <v/>
      </c>
      <c r="K716" s="27" t="inlineStr">
        <is>
          <t>84515332773-7</t>
        </is>
      </c>
      <c r="L716" s="27" t="inlineStr">
        <is>
          <t>2L</t>
        </is>
      </c>
      <c r="M716" s="27" t="n"/>
      <c r="N716" s="99" t="inlineStr">
        <is>
          <t>The operator has the device or its lost (they got it for free), but we dont monitor it on Ubidots anymore.</t>
        </is>
      </c>
      <c r="O716" s="6" t="inlineStr">
        <is>
          <t>v16</t>
        </is>
      </c>
      <c r="P716" t="n">
        <v>4978856</v>
      </c>
    </row>
    <row r="717">
      <c r="A717" s="32" t="inlineStr">
        <is>
          <t>RSA</t>
        </is>
      </c>
      <c r="B717" s="24">
        <f>IFERROR(INDEX(Companies!$A$3:$A$101,MATCH(A717,Companies!$B$3:$B$101,0)),"")</f>
        <v/>
      </c>
      <c r="C717">
        <f>IFERROR(_xlfn.IFNA(INDEX(Sensors_MANU!$F$2:$F$4692,MATCH($D717,Sensors_MANU!$B$2:$B$4692,0)),INDEX(Sensors_MANU!$F$2:$F$4692,MATCH($P717,Sensors_MANU!$A$2:$A$4692,0))),"")</f>
        <v/>
      </c>
      <c r="D717" t="inlineStr">
        <is>
          <t>ECABAB8EDDDA</t>
        </is>
      </c>
      <c r="E717" s="24">
        <f>LEFT(D717,2)&amp;":"&amp;MID(D717,3,2)&amp;":"&amp;MID(D717,5,2)&amp;":"&amp;MID(D717,7,2)&amp;":"&amp;MID(D717,9,2)&amp;":"&amp;RIGHT(D717,2)</f>
        <v/>
      </c>
      <c r="H717" t="inlineStr">
        <is>
          <t>1B3801C729DFDDCA</t>
        </is>
      </c>
      <c r="I717">
        <f>IFERROR(_xlfn.IFNA(INDEX(Sensors_MANU!$C$2:$C$4692,MATCH($D717,Sensors_MANU!$B$2:$B$4692,0)),INDEX(Sensors_MANU!$C$2:$C$4692,MATCH($P717,Sensors_MANU!$A$2:$A$4692,0))),"")</f>
        <v/>
      </c>
      <c r="J717" s="65" t="inlineStr">
        <is>
          <t>PR2206-084</t>
        </is>
      </c>
      <c r="O717" s="6" t="inlineStr">
        <is>
          <t>V24</t>
        </is>
      </c>
    </row>
    <row r="718">
      <c r="A718" s="32">
        <f>IFERROR(_xlfn.IFNA(INDEX(Sensors_MANU!$E$2:$E$4692,MATCH($D718,Sensors_MANU!$B$2:$B$4692,0)),INDEX(Sensors_MANU!$E$2:$E$4692,MATCH($P718,Sensors_MANU!$A$2:$A$4692,0))),"")</f>
        <v/>
      </c>
      <c r="B718" s="24">
        <f>IFERROR(INDEX(Companies!$A$3:$A$101,MATCH(A718,Companies!$B$3:$B$101,0)),"")</f>
        <v/>
      </c>
      <c r="C718" t="inlineStr">
        <is>
          <t>cargo</t>
        </is>
      </c>
      <c r="D718" t="inlineStr">
        <is>
          <t>EB1E9B26CFED</t>
        </is>
      </c>
      <c r="E718">
        <f>LEFT(D718,2)&amp;":"&amp;MID(D718,3,2)&amp;":"&amp;MID(D718,5,2)&amp;":"&amp;MID(D718,7,2)&amp;":"&amp;MID(D718,9,2)&amp;":"&amp;RIGHT(D718,2)</f>
        <v/>
      </c>
      <c r="F718" s="29" t="n">
        <v>44872</v>
      </c>
      <c r="G718" s="29" t="inlineStr">
        <is>
          <t>Viezo</t>
        </is>
      </c>
      <c r="H718" t="inlineStr">
        <is>
          <t>F97DF437D7A119B6</t>
        </is>
      </c>
      <c r="I718">
        <f>IFERROR(_xlfn.IFNA(INDEX(Sensors_MANU!$C$2:$C$4692,MATCH($D718,Sensors_MANU!$B$2:$B$4692,0)),INDEX(Sensors_MANU!$C$2:$C$4692,MATCH($P718,Sensors_MANU!$A$2:$A$4692,0))),"")</f>
        <v/>
      </c>
      <c r="J718">
        <f>IFERROR(_xlfn.IFNA(INDEX(Sensors_MANU!$D$2:$D$4692,MATCH($D718,Sensors_MANU!$B$2:$B$4692,0)),INDEX(Sensors_MANU!$D$2:$D$4692,MATCH($P718,Sensors_MANU!$A$2:$A$4692,0))),"")</f>
        <v/>
      </c>
      <c r="K718" s="27" t="inlineStr">
        <is>
          <t>84515332773-7</t>
        </is>
      </c>
      <c r="L718" s="27" t="inlineStr">
        <is>
          <t>1L</t>
        </is>
      </c>
      <c r="M718" s="27" t="n"/>
      <c r="N718" s="99" t="inlineStr">
        <is>
          <t>The operator has the device or its lost (they got it for free), but we dont monitor it on Ubidots anymore.</t>
        </is>
      </c>
      <c r="O718" s="6" t="inlineStr">
        <is>
          <t>v15</t>
        </is>
      </c>
      <c r="P718" t="n">
        <v>4978528</v>
      </c>
    </row>
    <row r="719">
      <c r="B719" s="24">
        <f>IFERROR(INDEX(Companies!$A$3:$A$101,MATCH(A719,Companies!$B$3:$B$101,0)),"")</f>
        <v/>
      </c>
      <c r="C719">
        <f>IFERROR(_xlfn.IFNA(INDEX(Sensors_MANU!$F$2:$F$4692,MATCH($D719,Sensors_MANU!$B$2:$B$4692,0)),INDEX(Sensors_MANU!$F$2:$F$4692,MATCH($P719,Sensors_MANU!$A$2:$A$4692,0))),"")</f>
        <v/>
      </c>
      <c r="D719" s="25" t="inlineStr">
        <is>
          <t>EBA5C7C489C9</t>
        </is>
      </c>
      <c r="E719" s="24">
        <f>LEFT(D719,2)&amp;":"&amp;MID(D719,3,2)&amp;":"&amp;MID(D719,5,2)&amp;":"&amp;MID(D719,7,2)&amp;":"&amp;MID(D719,9,2)&amp;":"&amp;RIGHT(D719,2)</f>
        <v/>
      </c>
      <c r="H719" t="inlineStr">
        <is>
          <t>992C44A9122F0739</t>
        </is>
      </c>
      <c r="I719">
        <f>IFERROR(_xlfn.IFNA(INDEX(Sensors_MANU!$C$2:$C$4692,MATCH($D719,Sensors_MANU!$B$2:$B$4692,0)),INDEX(Sensors_MANU!$C$2:$C$4692,MATCH($P719,Sensors_MANU!$A$2:$A$4692,0))),"")</f>
        <v/>
      </c>
      <c r="J719">
        <f>IFERROR(_xlfn.IFNA(INDEX(Sensors_MANU!$D$2:$D$4692,MATCH($D719,Sensors_MANU!$B$2:$B$4692,0)),INDEX(Sensors_MANU!$D$2:$D$4692,MATCH($P719,Sensors_MANU!$A$2:$A$4692,0))),"")</f>
        <v/>
      </c>
      <c r="O719" s="6" t="inlineStr">
        <is>
          <t>V23</t>
        </is>
      </c>
    </row>
    <row r="720">
      <c r="B720" s="24">
        <f>IFERROR(INDEX(Companies!$A$3:$A$101,MATCH(A720,Companies!$B$3:$B$101,0)),"")</f>
        <v/>
      </c>
      <c r="C720">
        <f>IFERROR(_xlfn.IFNA(INDEX(Sensors_MANU!$F$2:$F$4692,MATCH($D720,Sensors_MANU!$B$2:$B$4692,0)),INDEX(Sensors_MANU!$F$2:$F$4692,MATCH($P720,Sensors_MANU!$A$2:$A$4692,0))),"")</f>
        <v/>
      </c>
      <c r="D720" s="50" t="inlineStr">
        <is>
          <t>CAED283A89FB</t>
        </is>
      </c>
      <c r="E720" s="24">
        <f>LEFT(D720,2)&amp;":"&amp;MID(D720,3,2)&amp;":"&amp;MID(D720,5,2)&amp;":"&amp;MID(D720,7,2)&amp;":"&amp;MID(D720,9,2)&amp;":"&amp;RIGHT(D720,2)</f>
        <v/>
      </c>
      <c r="H720" s="26" t="inlineStr">
        <is>
          <t>82CA953E3BA08095</t>
        </is>
      </c>
      <c r="I720">
        <f>IFERROR(_xlfn.IFNA(INDEX(Sensors_MANU!$C$2:$C$4692,MATCH($D720,Sensors_MANU!$B$2:$B$4692,0)),INDEX(Sensors_MANU!$C$2:$C$4692,MATCH($P720,Sensors_MANU!$A$2:$A$4692,0))),"")</f>
        <v/>
      </c>
      <c r="J720">
        <f>IFERROR(_xlfn.IFNA(INDEX(Sensors_MANU!$D$2:$D$4692,MATCH($D720,Sensors_MANU!$B$2:$B$4692,0)),INDEX(Sensors_MANU!$D$2:$D$4692,MATCH($P720,Sensors_MANU!$A$2:$A$4692,0))),"")</f>
        <v/>
      </c>
      <c r="O720" s="6" t="inlineStr">
        <is>
          <t>V23</t>
        </is>
      </c>
    </row>
    <row r="721">
      <c r="A721" s="32">
        <f>IFERROR(_xlfn.IFNA(INDEX(Sensors_MANU!$E$2:$E$4692,MATCH($D721,Sensors_MANU!$B$2:$B$4692,0)),INDEX(Sensors_MANU!$E$2:$E$4692,MATCH($P721,Sensors_MANU!$A$2:$A$4692,0))),"")</f>
        <v/>
      </c>
      <c r="B721" s="24">
        <f>IFERROR(INDEX(Companies!$A$3:$A$101,MATCH(A721,Companies!$B$3:$B$101,0)),"")</f>
        <v/>
      </c>
      <c r="C721">
        <f>IFERROR(_xlfn.IFNA(INDEX(Sensors_MANU!$F$2:$F$4692,MATCH($D721,Sensors_MANU!$B$2:$B$4692,0)),INDEX(Sensors_MANU!$F$2:$F$4692,MATCH($P721,Sensors_MANU!$A$2:$A$4692,0))),"")</f>
        <v/>
      </c>
      <c r="D721" s="25" t="inlineStr">
        <is>
          <t>CE6BCD4C02E8</t>
        </is>
      </c>
      <c r="E721" s="24">
        <f>LEFT(D721,2)&amp;":"&amp;MID(D721,3,2)&amp;":"&amp;MID(D721,5,2)&amp;":"&amp;MID(D721,7,2)&amp;":"&amp;MID(D721,9,2)&amp;":"&amp;RIGHT(D721,2)</f>
        <v/>
      </c>
      <c r="F721" s="29" t="n">
        <v>44754</v>
      </c>
      <c r="G721" s="29" t="inlineStr">
        <is>
          <t>Viezo</t>
        </is>
      </c>
      <c r="H721" t="inlineStr">
        <is>
          <t>E7F53DE9F89BD5EF</t>
        </is>
      </c>
      <c r="I721">
        <f>IFERROR(_xlfn.IFNA(INDEX(Sensors_MANU!$C$2:$C$4692,MATCH($D721,Sensors_MANU!$B$2:$B$4692,0)),INDEX(Sensors_MANU!$C$2:$C$4692,MATCH($P721,Sensors_MANU!$A$2:$A$4692,0))),"")</f>
        <v/>
      </c>
      <c r="J721">
        <f>IFERROR(_xlfn.IFNA(INDEX(Sensors_MANU!$D$2:$D$4692,MATCH($D721,Sensors_MANU!$B$2:$B$4692,0)),INDEX(Sensors_MANU!$D$2:$D$4692,MATCH($P721,Sensors_MANU!$A$2:$A$4692,0))),"")</f>
        <v/>
      </c>
      <c r="K721" s="27" t="inlineStr">
        <is>
          <t>31834668448-9</t>
        </is>
      </c>
      <c r="L721" s="27" t="inlineStr">
        <is>
          <t>2L</t>
        </is>
      </c>
      <c r="O721" s="6" t="inlineStr">
        <is>
          <t>V23</t>
        </is>
      </c>
    </row>
    <row r="722">
      <c r="A722" s="32">
        <f>IFERROR(_xlfn.IFNA(INDEX(Sensors_MANU!$E$2:$E$4692,MATCH($D722,Sensors_MANU!$B$2:$B$4692,0)),INDEX(Sensors_MANU!$E$2:$E$4692,MATCH($P722,Sensors_MANU!$A$2:$A$4692,0))),"")</f>
        <v/>
      </c>
      <c r="B722" s="24">
        <f>IFERROR(INDEX(Companies!$A$3:$A$101,MATCH(A722,Companies!$B$3:$B$101,0)),"")</f>
        <v/>
      </c>
      <c r="C722">
        <f>IFERROR(_xlfn.IFNA(INDEX(Sensors_MANU!$F$2:$F$4692,MATCH($D722,Sensors_MANU!$B$2:$B$4692,0)),INDEX(Sensors_MANU!$F$2:$F$4692,MATCH($P722,Sensors_MANU!$A$2:$A$4692,0))),"")</f>
        <v/>
      </c>
      <c r="D722" t="inlineStr">
        <is>
          <t>EA425D27F242</t>
        </is>
      </c>
      <c r="E722">
        <f>LEFT(D722,2)&amp;":"&amp;MID(D722,3,2)&amp;":"&amp;MID(D722,5,2)&amp;":"&amp;MID(D722,7,2)&amp;":"&amp;MID(D722,9,2)&amp;":"&amp;RIGHT(D722,2)</f>
        <v/>
      </c>
      <c r="F722" s="29" t="n">
        <v>44880</v>
      </c>
      <c r="G722" s="29" t="inlineStr">
        <is>
          <t>Viezo</t>
        </is>
      </c>
      <c r="H722" t="inlineStr">
        <is>
          <t>2F21DB49153E3DD3</t>
        </is>
      </c>
      <c r="I722">
        <f>IFERROR(_xlfn.IFNA(INDEX(Sensors_MANU!$C$2:$C$4692,MATCH($D722,Sensors_MANU!$B$2:$B$4692,0)),INDEX(Sensors_MANU!$C$2:$C$4692,MATCH($P722,Sensors_MANU!$A$2:$A$4692,0))),"")</f>
        <v/>
      </c>
      <c r="J722">
        <f>IFERROR(_xlfn.IFNA(INDEX(Sensors_MANU!$D$2:$D$4692,MATCH($D722,Sensors_MANU!$B$2:$B$4692,0)),INDEX(Sensors_MANU!$D$2:$D$4692,MATCH($P722,Sensors_MANU!$A$2:$A$4692,0))),"")</f>
        <v/>
      </c>
      <c r="K722" s="27" t="inlineStr">
        <is>
          <t>83546985030-8</t>
        </is>
      </c>
      <c r="L722" s="27" t="inlineStr">
        <is>
          <t>3R</t>
        </is>
      </c>
      <c r="M722" s="27" t="n"/>
      <c r="N722" s="99">
        <f>IFERROR(INDEX(Sensors_MANU!$G$2:$G$4692,MATCH($P722,Sensors_MANU!$A$2:$A$4692,0)),)</f>
        <v/>
      </c>
      <c r="O722" s="6" t="inlineStr">
        <is>
          <t>v16</t>
        </is>
      </c>
      <c r="P722" t="n">
        <v>4978725</v>
      </c>
    </row>
    <row r="723">
      <c r="B723" s="24">
        <f>IFERROR(INDEX(Companies!$A$3:$A$101,MATCH(A723,Companies!$B$3:$B$101,0)),"")</f>
        <v/>
      </c>
      <c r="C723">
        <f>IFERROR(_xlfn.IFNA(INDEX(Sensors_MANU!$F$2:$F$4692,MATCH($D723,Sensors_MANU!$B$2:$B$4692,0)),INDEX(Sensors_MANU!$F$2:$F$4692,MATCH($P723,Sensors_MANU!$A$2:$A$4692,0))),"")</f>
        <v/>
      </c>
      <c r="D723" t="inlineStr">
        <is>
          <t>E7FBDA5033BA</t>
        </is>
      </c>
      <c r="E723" s="24">
        <f>LEFT(D723,2)&amp;":"&amp;MID(D723,3,2)&amp;":"&amp;MID(D723,5,2)&amp;":"&amp;MID(D723,7,2)&amp;":"&amp;MID(D723,9,2)&amp;":"&amp;RIGHT(D723,2)</f>
        <v/>
      </c>
      <c r="H723" t="inlineStr">
        <is>
          <t>AB57CE754819DE60</t>
        </is>
      </c>
      <c r="I723">
        <f>IFERROR(_xlfn.IFNA(INDEX(Sensors_MANU!$C$2:$C$4692,MATCH($D723,Sensors_MANU!$B$2:$B$4692,0)),INDEX(Sensors_MANU!$C$2:$C$4692,MATCH($P723,Sensors_MANU!$A$2:$A$4692,0))),"")</f>
        <v/>
      </c>
      <c r="J723">
        <f>IFERROR(_xlfn.IFNA(INDEX(Sensors_MANU!$D$2:$D$4692,MATCH($D723,Sensors_MANU!$B$2:$B$4692,0)),INDEX(Sensors_MANU!$D$2:$D$4692,MATCH($P723,Sensors_MANU!$A$2:$A$4692,0))),"")</f>
        <v/>
      </c>
      <c r="O723" s="6" t="inlineStr">
        <is>
          <t>V24</t>
        </is>
      </c>
    </row>
    <row r="724">
      <c r="A724" s="32">
        <f>IFERROR(_xlfn.IFNA(INDEX(Sensors_MANU!$E$2:$E$4692,MATCH($D724,Sensors_MANU!$B$2:$B$4692,0)),INDEX(Sensors_MANU!$E$2:$E$4692,MATCH($P724,Sensors_MANU!$A$2:$A$4692,0))),"")</f>
        <v/>
      </c>
      <c r="B724" s="24">
        <f>IFERROR(INDEX(Companies!$A$3:$A$101,MATCH(A724,Companies!$B$3:$B$101,0)),"")</f>
        <v/>
      </c>
      <c r="C724">
        <f>IFERROR(_xlfn.IFNA(INDEX(Sensors_MANU!$F$2:$F$4692,MATCH($D724,Sensors_MANU!$B$2:$B$4692,0)),INDEX(Sensors_MANU!$F$2:$F$4692,MATCH($P724,Sensors_MANU!$A$2:$A$4692,0))),"")</f>
        <v/>
      </c>
      <c r="D724" s="50" t="inlineStr">
        <is>
          <t>D1355546ECB9</t>
        </is>
      </c>
      <c r="E724" s="24">
        <f>LEFT(D724,2)&amp;":"&amp;MID(D724,3,2)&amp;":"&amp;MID(D724,5,2)&amp;":"&amp;MID(D724,7,2)&amp;":"&amp;MID(D724,9,2)&amp;":"&amp;RIGHT(D724,2)</f>
        <v/>
      </c>
      <c r="F724" s="29" t="n">
        <v>44754</v>
      </c>
      <c r="G724" s="29" t="inlineStr">
        <is>
          <t>Viezo</t>
        </is>
      </c>
      <c r="H724" s="26" t="inlineStr">
        <is>
          <t>6E3D1BE69956AF18</t>
        </is>
      </c>
      <c r="I724">
        <f>IFERROR(_xlfn.IFNA(INDEX(Sensors_MANU!$C$2:$C$4692,MATCH($D724,Sensors_MANU!$B$2:$B$4692,0)),INDEX(Sensors_MANU!$C$2:$C$4692,MATCH($P724,Sensors_MANU!$A$2:$A$4692,0))),"")</f>
        <v/>
      </c>
      <c r="J724">
        <f>IFERROR(_xlfn.IFNA(INDEX(Sensors_MANU!$D$2:$D$4692,MATCH($D724,Sensors_MANU!$B$2:$B$4692,0)),INDEX(Sensors_MANU!$D$2:$D$4692,MATCH($P724,Sensors_MANU!$A$2:$A$4692,0))),"")</f>
        <v/>
      </c>
      <c r="K724" s="27" t="inlineStr">
        <is>
          <t>31834557682-7</t>
        </is>
      </c>
      <c r="L724" s="27" t="inlineStr">
        <is>
          <t>4R</t>
        </is>
      </c>
      <c r="O724" s="6" t="inlineStr">
        <is>
          <t>V23</t>
        </is>
      </c>
    </row>
    <row r="725">
      <c r="A725" s="32">
        <f>IFERROR(_xlfn.IFNA(INDEX(Sensors_MANU!$E$2:$E$4692,MATCH($D725,Sensors_MANU!$B$2:$B$4692,0)),INDEX(Sensors_MANU!$E$2:$E$4692,MATCH($P725,Sensors_MANU!$A$2:$A$4692,0))),"")</f>
        <v/>
      </c>
      <c r="B725" s="24">
        <f>IFERROR(INDEX(Companies!$A$3:$A$101,MATCH(A725,Companies!$B$3:$B$101,0)),"")</f>
        <v/>
      </c>
      <c r="C725">
        <f>IFERROR(_xlfn.IFNA(INDEX(Sensors_MANU!$F$2:$F$4692,MATCH($D725,Sensors_MANU!$B$2:$B$4692,0)),INDEX(Sensors_MANU!$F$2:$F$4692,MATCH($P725,Sensors_MANU!$A$2:$A$4692,0))),"")</f>
        <v/>
      </c>
      <c r="D725" s="25" t="inlineStr">
        <is>
          <t>E471CF9E542F</t>
        </is>
      </c>
      <c r="E725" s="24">
        <f>LEFT(D725,2)&amp;":"&amp;MID(D725,3,2)&amp;":"&amp;MID(D725,5,2)&amp;":"&amp;MID(D725,7,2)&amp;":"&amp;MID(D725,9,2)&amp;":"&amp;RIGHT(D725,2)</f>
        <v/>
      </c>
      <c r="F725" s="29" t="n">
        <v>44754</v>
      </c>
      <c r="G725" s="29" t="inlineStr">
        <is>
          <t>Viezo</t>
        </is>
      </c>
      <c r="H725" t="inlineStr">
        <is>
          <t>593AFA55DDA09ADF</t>
        </is>
      </c>
      <c r="I725">
        <f>IFERROR(_xlfn.IFNA(INDEX(Sensors_MANU!$C$2:$C$4692,MATCH($D725,Sensors_MANU!$B$2:$B$4692,0)),INDEX(Sensors_MANU!$C$2:$C$4692,MATCH($P725,Sensors_MANU!$A$2:$A$4692,0))),"")</f>
        <v/>
      </c>
      <c r="J725">
        <f>IFERROR(_xlfn.IFNA(INDEX(Sensors_MANU!$D$2:$D$4692,MATCH($D725,Sensors_MANU!$B$2:$B$4692,0)),INDEX(Sensors_MANU!$D$2:$D$4692,MATCH($P725,Sensors_MANU!$A$2:$A$4692,0))),"")</f>
        <v/>
      </c>
      <c r="K725" s="27" t="inlineStr">
        <is>
          <t>31833919467-8</t>
        </is>
      </c>
      <c r="L725" s="27" t="inlineStr">
        <is>
          <t>3L</t>
        </is>
      </c>
      <c r="O725" s="6" t="inlineStr">
        <is>
          <t>V23</t>
        </is>
      </c>
    </row>
    <row r="726">
      <c r="A726" s="32">
        <f>IFERROR(_xlfn.IFNA(INDEX(Sensors_MANU!$E$2:$E$4692,MATCH($D726,Sensors_MANU!$B$2:$B$4692,0)),INDEX(Sensors_MANU!$E$2:$E$4692,MATCH($P726,Sensors_MANU!$A$2:$A$4692,0))),"")</f>
        <v/>
      </c>
      <c r="B726" s="24">
        <f>IFERROR(INDEX(Companies!$A$3:$A$101,MATCH(A726,Companies!$B$3:$B$101,0)),"")</f>
        <v/>
      </c>
      <c r="C726">
        <f>IFERROR(_xlfn.IFNA(INDEX(Sensors_MANU!$F$2:$F$4692,MATCH($D726,Sensors_MANU!$B$2:$B$4692,0)),INDEX(Sensors_MANU!$F$2:$F$4692,MATCH($P726,Sensors_MANU!$A$2:$A$4692,0))),"")</f>
        <v/>
      </c>
      <c r="D726" s="25" t="inlineStr">
        <is>
          <t>CB25A7D2B398</t>
        </is>
      </c>
      <c r="E726" s="24">
        <f>LEFT(D726,2)&amp;":"&amp;MID(D726,3,2)&amp;":"&amp;MID(D726,5,2)&amp;":"&amp;MID(D726,7,2)&amp;":"&amp;MID(D726,9,2)&amp;":"&amp;RIGHT(D726,2)</f>
        <v/>
      </c>
      <c r="F726" s="29" t="n">
        <v>44754</v>
      </c>
      <c r="G726" s="29" t="inlineStr">
        <is>
          <t>Viezo</t>
        </is>
      </c>
      <c r="H726" t="inlineStr">
        <is>
          <t>674BD0FDD493BC88</t>
        </is>
      </c>
      <c r="I726">
        <f>IFERROR(_xlfn.IFNA(INDEX(Sensors_MANU!$C$2:$C$4692,MATCH($D726,Sensors_MANU!$B$2:$B$4692,0)),INDEX(Sensors_MANU!$C$2:$C$4692,MATCH($P726,Sensors_MANU!$A$2:$A$4692,0))),"")</f>
        <v/>
      </c>
      <c r="J726">
        <f>IFERROR(_xlfn.IFNA(INDEX(Sensors_MANU!$D$2:$D$4692,MATCH($D726,Sensors_MANU!$B$2:$B$4692,0)),INDEX(Sensors_MANU!$D$2:$D$4692,MATCH($P726,Sensors_MANU!$A$2:$A$4692,0))),"")</f>
        <v/>
      </c>
      <c r="K726" s="27" t="inlineStr">
        <is>
          <t>31832852846-4</t>
        </is>
      </c>
      <c r="L726" s="27" t="inlineStr">
        <is>
          <t>3L</t>
        </is>
      </c>
      <c r="O726" s="6" t="inlineStr">
        <is>
          <t>V23</t>
        </is>
      </c>
    </row>
    <row r="727">
      <c r="A727" s="32">
        <f>IFERROR(_xlfn.IFNA(INDEX(Sensors_MANU!$E$2:$E$4692,MATCH($D727,Sensors_MANU!$B$2:$B$4692,0)),INDEX(Sensors_MANU!$E$2:$E$4692,MATCH($P727,Sensors_MANU!$A$2:$A$4692,0))),"")</f>
        <v/>
      </c>
      <c r="B727" s="24">
        <f>IFERROR(INDEX(Companies!$A$3:$A$101,MATCH(A727,Companies!$B$3:$B$101,0)),"")</f>
        <v/>
      </c>
      <c r="C727">
        <f>IFERROR(_xlfn.IFNA(INDEX(Sensors_MANU!$F$2:$F$4692,MATCH($D727,Sensors_MANU!$B$2:$B$4692,0)),INDEX(Sensors_MANU!$F$2:$F$4692,MATCH($P727,Sensors_MANU!$A$2:$A$4692,0))),"")</f>
        <v/>
      </c>
      <c r="D727" s="25" t="inlineStr">
        <is>
          <t>F962E99ACA69</t>
        </is>
      </c>
      <c r="E727" s="24">
        <f>LEFT(D727,2)&amp;":"&amp;MID(D727,3,2)&amp;":"&amp;MID(D727,5,2)&amp;":"&amp;MID(D727,7,2)&amp;":"&amp;MID(D727,9,2)&amp;":"&amp;RIGHT(D727,2)</f>
        <v/>
      </c>
      <c r="F727" s="29" t="n">
        <v>44754</v>
      </c>
      <c r="G727" s="29" t="inlineStr">
        <is>
          <t>Viezo</t>
        </is>
      </c>
      <c r="H727" t="inlineStr">
        <is>
          <t>3E8CFC9B52F6D35C</t>
        </is>
      </c>
      <c r="I727">
        <f>IFERROR(_xlfn.IFNA(INDEX(Sensors_MANU!$C$2:$C$4692,MATCH($D727,Sensors_MANU!$B$2:$B$4692,0)),INDEX(Sensors_MANU!$C$2:$C$4692,MATCH($P727,Sensors_MANU!$A$2:$A$4692,0))),"")</f>
        <v/>
      </c>
      <c r="J727">
        <f>IFERROR(_xlfn.IFNA(INDEX(Sensors_MANU!$D$2:$D$4692,MATCH($D727,Sensors_MANU!$B$2:$B$4692,0)),INDEX(Sensors_MANU!$D$2:$D$4692,MATCH($P727,Sensors_MANU!$A$2:$A$4692,0))),"")</f>
        <v/>
      </c>
      <c r="K727" s="27" t="inlineStr">
        <is>
          <t>31834785082-4</t>
        </is>
      </c>
      <c r="L727" s="27" t="inlineStr">
        <is>
          <t>1R</t>
        </is>
      </c>
      <c r="O727" s="6" t="inlineStr">
        <is>
          <t>V23</t>
        </is>
      </c>
    </row>
    <row r="728">
      <c r="A728" s="32">
        <f>IFERROR(_xlfn.IFNA(INDEX(Sensors_MANU!$E$2:$E$4692,MATCH($D728,Sensors_MANU!$B$2:$B$4692,0)),INDEX(Sensors_MANU!$E$2:$E$4692,MATCH($P728,Sensors_MANU!$A$2:$A$4692,0))),"")</f>
        <v/>
      </c>
      <c r="B728" s="24">
        <f>IFERROR(INDEX(Companies!$A$3:$A$101,MATCH(A728,Companies!$B$3:$B$101,0)),"")</f>
        <v/>
      </c>
      <c r="C728">
        <f>IFERROR(_xlfn.IFNA(INDEX(Sensors_MANU!$F$2:$F$4692,MATCH($D728,Sensors_MANU!$B$2:$B$4692,0)),INDEX(Sensors_MANU!$F$2:$F$4692,MATCH($P728,Sensors_MANU!$A$2:$A$4692,0))),"")</f>
        <v/>
      </c>
      <c r="D728" s="25" t="inlineStr">
        <is>
          <t>D994E3963C14</t>
        </is>
      </c>
      <c r="E728" s="24">
        <f>LEFT(D728,2)&amp;":"&amp;MID(D728,3,2)&amp;":"&amp;MID(D728,5,2)&amp;":"&amp;MID(D728,7,2)&amp;":"&amp;MID(D728,9,2)&amp;":"&amp;RIGHT(D728,2)</f>
        <v/>
      </c>
      <c r="F728" s="29" t="n">
        <v>44754</v>
      </c>
      <c r="G728" s="29" t="inlineStr">
        <is>
          <t>Viezo</t>
        </is>
      </c>
      <c r="H728" t="inlineStr">
        <is>
          <t>0460344ECA62AC97</t>
        </is>
      </c>
      <c r="I728">
        <f>IFERROR(_xlfn.IFNA(INDEX(Sensors_MANU!$C$2:$C$4692,MATCH($D728,Sensors_MANU!$B$2:$B$4692,0)),INDEX(Sensors_MANU!$C$2:$C$4692,MATCH($P728,Sensors_MANU!$A$2:$A$4692,0))),"")</f>
        <v/>
      </c>
      <c r="J728">
        <f>IFERROR(_xlfn.IFNA(INDEX(Sensors_MANU!$D$2:$D$4692,MATCH($D728,Sensors_MANU!$B$2:$B$4692,0)),INDEX(Sensors_MANU!$D$2:$D$4692,MATCH($P728,Sensors_MANU!$A$2:$A$4692,0))),"")</f>
        <v/>
      </c>
      <c r="K728" s="27" t="inlineStr">
        <is>
          <t>31834789193-5</t>
        </is>
      </c>
      <c r="L728" s="27" t="inlineStr">
        <is>
          <t>1L</t>
        </is>
      </c>
      <c r="O728" s="6" t="inlineStr">
        <is>
          <t>V23</t>
        </is>
      </c>
    </row>
    <row r="729">
      <c r="A729" s="32">
        <f>IFERROR(_xlfn.IFNA(INDEX(Sensors_MANU!$E$2:$E$4692,MATCH($D729,Sensors_MANU!$B$2:$B$4692,0)),INDEX(Sensors_MANU!$E$2:$E$4692,MATCH($P729,Sensors_MANU!$A$2:$A$4692,0))),"")</f>
        <v/>
      </c>
      <c r="B729" s="24">
        <f>IFERROR(INDEX(Companies!$A$3:$A$101,MATCH(A729,Companies!$B$3:$B$101,0)),"")</f>
        <v/>
      </c>
      <c r="C729">
        <f>IFERROR(_xlfn.IFNA(INDEX(Sensors_MANU!$F$2:$F$4692,MATCH($D729,Sensors_MANU!$B$2:$B$4692,0)),INDEX(Sensors_MANU!$F$2:$F$4692,MATCH($P729,Sensors_MANU!$A$2:$A$4692,0))),"")</f>
        <v/>
      </c>
      <c r="D729" s="25" t="inlineStr">
        <is>
          <t>E235F90C3CD4</t>
        </is>
      </c>
      <c r="E729" s="24">
        <f>LEFT(D729,2)&amp;":"&amp;MID(D729,3,2)&amp;":"&amp;MID(D729,5,2)&amp;":"&amp;MID(D729,7,2)&amp;":"&amp;MID(D729,9,2)&amp;":"&amp;RIGHT(D729,2)</f>
        <v/>
      </c>
      <c r="F729" s="29" t="n">
        <v>44754</v>
      </c>
      <c r="G729" s="29" t="inlineStr">
        <is>
          <t>Viezo</t>
        </is>
      </c>
      <c r="H729" t="inlineStr">
        <is>
          <t>7B05D4D1D2A0E34E</t>
        </is>
      </c>
      <c r="I729">
        <f>IFERROR(_xlfn.IFNA(INDEX(Sensors_MANU!$C$2:$C$4692,MATCH($D729,Sensors_MANU!$B$2:$B$4692,0)),INDEX(Sensors_MANU!$C$2:$C$4692,MATCH($P729,Sensors_MANU!$A$2:$A$4692,0))),"")</f>
        <v/>
      </c>
      <c r="J729">
        <f>IFERROR(_xlfn.IFNA(INDEX(Sensors_MANU!$D$2:$D$4692,MATCH($D729,Sensors_MANU!$B$2:$B$4692,0)),INDEX(Sensors_MANU!$D$2:$D$4692,MATCH($P729,Sensors_MANU!$A$2:$A$4692,0))),"")</f>
        <v/>
      </c>
      <c r="K729" s="27" t="inlineStr">
        <is>
          <t>31832852846-4</t>
        </is>
      </c>
      <c r="L729" s="27" t="inlineStr">
        <is>
          <t>3R</t>
        </is>
      </c>
      <c r="O729" s="6" t="inlineStr">
        <is>
          <t>V23</t>
        </is>
      </c>
    </row>
    <row r="730">
      <c r="A730" s="32">
        <f>IFERROR(_xlfn.IFNA(INDEX(Sensors_MANU!$E$2:$E$4692,MATCH($D730,Sensors_MANU!$B$2:$B$4692,0)),INDEX(Sensors_MANU!$E$2:$E$4692,MATCH($P730,Sensors_MANU!$A$2:$A$4692,0))),"")</f>
        <v/>
      </c>
      <c r="B730" s="24">
        <f>IFERROR(INDEX(Companies!$A$3:$A$101,MATCH(A730,Companies!$B$3:$B$101,0)),"")</f>
        <v/>
      </c>
      <c r="C730">
        <f>IFERROR(_xlfn.IFNA(INDEX(Sensors_MANU!$F$2:$F$4692,MATCH($D730,Sensors_MANU!$B$2:$B$4692,0)),INDEX(Sensors_MANU!$F$2:$F$4692,MATCH($P730,Sensors_MANU!$A$2:$A$4692,0))),"")</f>
        <v/>
      </c>
      <c r="D730" t="inlineStr">
        <is>
          <t>C7A7C5AF5EED</t>
        </is>
      </c>
      <c r="E730" s="24">
        <f>LEFT(D730,2)&amp;":"&amp;MID(D730,3,2)&amp;":"&amp;MID(D730,5,2)&amp;":"&amp;MID(D730,7,2)&amp;":"&amp;MID(D730,9,2)&amp;":"&amp;RIGHT(D730,2)</f>
        <v/>
      </c>
      <c r="F730" s="29" t="n">
        <v>44880</v>
      </c>
      <c r="G730" s="29" t="inlineStr">
        <is>
          <t>Viezo</t>
        </is>
      </c>
      <c r="H730" t="inlineStr">
        <is>
          <t>67649F3A47D3093F</t>
        </is>
      </c>
      <c r="I730">
        <f>IFERROR(_xlfn.IFNA(INDEX(Sensors_MANU!$C$2:$C$4692,MATCH($D730,Sensors_MANU!$B$2:$B$4692,0)),INDEX(Sensors_MANU!$C$2:$C$4692,MATCH($P730,Sensors_MANU!$A$2:$A$4692,0))),"")</f>
        <v/>
      </c>
      <c r="J730">
        <f>IFERROR(_xlfn.IFNA(INDEX(Sensors_MANU!$D$2:$D$4692,MATCH($D730,Sensors_MANU!$B$2:$B$4692,0)),INDEX(Sensors_MANU!$D$2:$D$4692,MATCH($P730,Sensors_MANU!$A$2:$A$4692,0))),"")</f>
        <v/>
      </c>
      <c r="K730" s="27" t="inlineStr">
        <is>
          <t>83546985065-4</t>
        </is>
      </c>
      <c r="L730" s="27" t="inlineStr">
        <is>
          <t>2R</t>
        </is>
      </c>
      <c r="O730" s="6" t="inlineStr">
        <is>
          <t>V25</t>
        </is>
      </c>
    </row>
    <row r="731">
      <c r="B731" s="24">
        <f>IFERROR(INDEX(Companies!$A$3:$A$101,MATCH(A731,Companies!$B$3:$B$101,0)),"")</f>
        <v/>
      </c>
      <c r="C731">
        <f>IFERROR(_xlfn.IFNA(INDEX(Sensors_MANU!$F$2:$F$4692,MATCH($D731,Sensors_MANU!$B$2:$B$4692,0)),INDEX(Sensors_MANU!$F$2:$F$4692,MATCH($P731,Sensors_MANU!$A$2:$A$4692,0))),"")</f>
        <v/>
      </c>
      <c r="D731" s="25" t="inlineStr">
        <is>
          <t>D19992897541</t>
        </is>
      </c>
      <c r="E731" s="24">
        <f>LEFT(D731,2)&amp;":"&amp;MID(D731,3,2)&amp;":"&amp;MID(D731,5,2)&amp;":"&amp;MID(D731,7,2)&amp;":"&amp;MID(D731,9,2)&amp;":"&amp;RIGHT(D731,2)</f>
        <v/>
      </c>
      <c r="H731" t="inlineStr">
        <is>
          <t>4239A035F9ADD243</t>
        </is>
      </c>
      <c r="I731">
        <f>IFERROR(_xlfn.IFNA(INDEX(Sensors_MANU!$C$2:$C$4692,MATCH($D731,Sensors_MANU!$B$2:$B$4692,0)),INDEX(Sensors_MANU!$C$2:$C$4692,MATCH($P731,Sensors_MANU!$A$2:$A$4692,0))),"")</f>
        <v/>
      </c>
      <c r="J731">
        <f>IFERROR(_xlfn.IFNA(INDEX(Sensors_MANU!$D$2:$D$4692,MATCH($D731,Sensors_MANU!$B$2:$B$4692,0)),INDEX(Sensors_MANU!$D$2:$D$4692,MATCH($P731,Sensors_MANU!$A$2:$A$4692,0))),"")</f>
        <v/>
      </c>
      <c r="O731" s="6" t="inlineStr">
        <is>
          <t>V23</t>
        </is>
      </c>
    </row>
    <row r="732">
      <c r="A732" s="32">
        <f>IFERROR(_xlfn.IFNA(INDEX(Sensors_MANU!$E$2:$E$4692,MATCH($D732,Sensors_MANU!$B$2:$B$4692,0)),INDEX(Sensors_MANU!$E$2:$E$4692,MATCH($P732,Sensors_MANU!$A$2:$A$4692,0))),"")</f>
        <v/>
      </c>
      <c r="B732" s="24">
        <f>IFERROR(INDEX(Companies!$A$3:$A$101,MATCH(A732,Companies!$B$3:$B$101,0)),"")</f>
        <v/>
      </c>
      <c r="C732">
        <f>IFERROR(_xlfn.IFNA(INDEX(Sensors_MANU!$F$2:$F$4692,MATCH($D732,Sensors_MANU!$B$2:$B$4692,0)),INDEX(Sensors_MANU!$F$2:$F$4692,MATCH($P732,Sensors_MANU!$A$2:$A$4692,0))),"")</f>
        <v/>
      </c>
      <c r="D732" t="inlineStr">
        <is>
          <t>E05A955FD526</t>
        </is>
      </c>
      <c r="E732" s="24">
        <f>LEFT(D732,2)&amp;":"&amp;MID(D732,3,2)&amp;":"&amp;MID(D732,5,2)&amp;":"&amp;MID(D732,7,2)&amp;":"&amp;MID(D732,9,2)&amp;":"&amp;RIGHT(D732,2)</f>
        <v/>
      </c>
      <c r="F732" s="29" t="n">
        <v>44832</v>
      </c>
      <c r="G732" s="29" t="inlineStr">
        <is>
          <t>Hupac</t>
        </is>
      </c>
      <c r="H732" t="inlineStr">
        <is>
          <t>FCED4DAF8A765950</t>
        </is>
      </c>
      <c r="I732">
        <f>IFERROR(_xlfn.IFNA(INDEX(Sensors_MANU!$C$2:$C$4692,MATCH($D732,Sensors_MANU!$B$2:$B$4692,0)),INDEX(Sensors_MANU!$C$2:$C$4692,MATCH($P732,Sensors_MANU!$A$2:$A$4692,0))),"")</f>
        <v/>
      </c>
      <c r="J732">
        <f>IFERROR(_xlfn.IFNA(INDEX(Sensors_MANU!$D$2:$D$4692,MATCH($D732,Sensors_MANU!$B$2:$B$4692,0)),INDEX(Sensors_MANU!$D$2:$D$4692,MATCH($P732,Sensors_MANU!$A$2:$A$4692,0))),"")</f>
        <v/>
      </c>
      <c r="K732" s="27" t="inlineStr">
        <is>
          <t>33-85-4511-082-1</t>
        </is>
      </c>
      <c r="L732" s="27" t="inlineStr">
        <is>
          <t>1a</t>
        </is>
      </c>
      <c r="M732" s="61" t="inlineStr">
        <is>
          <t>20042080</t>
        </is>
      </c>
      <c r="O732" s="6" t="inlineStr">
        <is>
          <t>V24</t>
        </is>
      </c>
    </row>
    <row r="733">
      <c r="A733" s="32" t="inlineStr">
        <is>
          <t>RSA</t>
        </is>
      </c>
      <c r="B733" s="24">
        <f>IFERROR(INDEX(Companies!$A$3:$A$101,MATCH(A733,Companies!$B$3:$B$101,0)),"")</f>
        <v/>
      </c>
      <c r="C733">
        <f>IFERROR(_xlfn.IFNA(INDEX(Sensors_MANU!$F$2:$F$4692,MATCH($D733,Sensors_MANU!$B$2:$B$4692,0)),INDEX(Sensors_MANU!$F$2:$F$4692,MATCH($P733,Sensors_MANU!$A$2:$A$4692,0))),"")</f>
        <v/>
      </c>
      <c r="D733" t="inlineStr">
        <is>
          <t>E8BA71CF2E20</t>
        </is>
      </c>
      <c r="E733">
        <f>LEFT(D733,2)&amp;":"&amp;MID(D733,3,2)&amp;":"&amp;MID(D733,5,2)&amp;":"&amp;MID(D733,7,2)&amp;":"&amp;MID(D733,9,2)&amp;":"&amp;RIGHT(D733,2)</f>
        <v/>
      </c>
      <c r="H733" t="inlineStr">
        <is>
          <t>848B7A332FCC4E88</t>
        </is>
      </c>
      <c r="I733">
        <f>IFERROR(_xlfn.IFNA(INDEX(Sensors_MANU!$C$2:$C$4692,MATCH($D733,Sensors_MANU!$B$2:$B$4692,0)),INDEX(Sensors_MANU!$C$2:$C$4692,MATCH($P733,Sensors_MANU!$A$2:$A$4692,0))),"")</f>
        <v/>
      </c>
      <c r="J733" s="65" t="inlineStr">
        <is>
          <t>PR2206-110</t>
        </is>
      </c>
      <c r="M733" s="27" t="n"/>
      <c r="N733" s="99">
        <f>IFERROR(INDEX(Sensors_MANU!$G$2:$G$4692,MATCH($P733,Sensors_MANU!$A$2:$A$4692,0)),)</f>
        <v/>
      </c>
      <c r="O733" s="6" t="inlineStr">
        <is>
          <t>v16</t>
        </is>
      </c>
      <c r="P733" t="n">
        <v>4978439</v>
      </c>
    </row>
    <row r="734">
      <c r="B734" s="24">
        <f>IFERROR(INDEX(Companies!$A$3:$A$101,MATCH(A734,Companies!$B$3:$B$101,0)),"")</f>
        <v/>
      </c>
      <c r="D734" t="inlineStr">
        <is>
          <t>C3FD18B61654</t>
        </is>
      </c>
      <c r="E734" s="24">
        <f>LEFT(D734,2)&amp;":"&amp;MID(D734,3,2)&amp;":"&amp;MID(D734,5,2)&amp;":"&amp;MID(D734,7,2)&amp;":"&amp;MID(D734,9,2)&amp;":"&amp;RIGHT(D734,2)</f>
        <v/>
      </c>
      <c r="H734" t="inlineStr">
        <is>
          <t>CA60DD6F0379F06D</t>
        </is>
      </c>
      <c r="I734">
        <f>IFERROR(_xlfn.IFNA(INDEX(Sensors_MANU!$C$2:$C$4692,MATCH($D734,Sensors_MANU!$B$2:$B$4692,0)),INDEX(Sensors_MANU!$C$2:$C$4692,MATCH($P734,Sensors_MANU!$A$2:$A$4692,0))),"")</f>
        <v/>
      </c>
      <c r="J734">
        <f>IFERROR(_xlfn.IFNA(INDEX(Sensors_MANU!$D$2:$D$4692,MATCH($D734,Sensors_MANU!$B$2:$B$4692,0)),INDEX(Sensors_MANU!$D$2:$D$4692,MATCH($P734,Sensors_MANU!$A$2:$A$4692,0))),"")</f>
        <v/>
      </c>
      <c r="O734" s="6" t="inlineStr">
        <is>
          <t>V24</t>
        </is>
      </c>
    </row>
    <row r="735">
      <c r="A735" s="32">
        <f>IFERROR(_xlfn.IFNA(INDEX(Sensors_MANU!$E$2:$E$4692,MATCH($D735,Sensors_MANU!$B$2:$B$4692,0)),INDEX(Sensors_MANU!$E$2:$E$4692,MATCH($P735,Sensors_MANU!$A$2:$A$4692,0))),"")</f>
        <v/>
      </c>
      <c r="B735" s="24">
        <f>IFERROR(INDEX(Companies!$A$3:$A$101,MATCH(A735,Companies!$B$3:$B$101,0)),"")</f>
        <v/>
      </c>
      <c r="C735">
        <f>IFERROR(_xlfn.IFNA(INDEX(Sensors_MANU!$F$2:$F$4692,MATCH($D735,Sensors_MANU!$B$2:$B$4692,0)),INDEX(Sensors_MANU!$F$2:$F$4692,MATCH($P735,Sensors_MANU!$A$2:$A$4692,0))),"")</f>
        <v/>
      </c>
      <c r="D735" t="inlineStr">
        <is>
          <t>CFF659E57780</t>
        </is>
      </c>
      <c r="E735" s="24">
        <f>LEFT(D735,2)&amp;":"&amp;MID(D735,3,2)&amp;":"&amp;MID(D735,5,2)&amp;":"&amp;MID(D735,7,2)&amp;":"&amp;MID(D735,9,2)&amp;":"&amp;RIGHT(D735,2)</f>
        <v/>
      </c>
      <c r="F735" s="29" t="n">
        <v>44832</v>
      </c>
      <c r="G735" s="29" t="inlineStr">
        <is>
          <t>Hupac</t>
        </is>
      </c>
      <c r="H735" t="inlineStr">
        <is>
          <t>57C6BB407F78AD62</t>
        </is>
      </c>
      <c r="I735">
        <f>IFERROR(_xlfn.IFNA(INDEX(Sensors_MANU!$C$2:$C$4692,MATCH($D735,Sensors_MANU!$B$2:$B$4692,0)),INDEX(Sensors_MANU!$C$2:$C$4692,MATCH($P735,Sensors_MANU!$A$2:$A$4692,0))),"")</f>
        <v/>
      </c>
      <c r="J735">
        <f>IFERROR(_xlfn.IFNA(INDEX(Sensors_MANU!$D$2:$D$4692,MATCH($D735,Sensors_MANU!$B$2:$B$4692,0)),INDEX(Sensors_MANU!$D$2:$D$4692,MATCH($P735,Sensors_MANU!$A$2:$A$4692,0))),"")</f>
        <v/>
      </c>
      <c r="K735" s="27" t="inlineStr">
        <is>
          <t>33-85-4506-155-2</t>
        </is>
      </c>
      <c r="L735" s="27" t="inlineStr">
        <is>
          <t>5a</t>
        </is>
      </c>
      <c r="M735" s="61" t="inlineStr">
        <is>
          <t>071321</t>
        </is>
      </c>
      <c r="O735" s="6" t="inlineStr">
        <is>
          <t>V24</t>
        </is>
      </c>
    </row>
    <row r="736">
      <c r="A736" s="32">
        <f>IFERROR(_xlfn.IFNA(INDEX(Sensors_MANU!$E$2:$E$4692,MATCH($D736,Sensors_MANU!$B$2:$B$4692,0)),INDEX(Sensors_MANU!$E$2:$E$4692,MATCH($P736,Sensors_MANU!$A$2:$A$4692,0))),"")</f>
        <v/>
      </c>
      <c r="B736" s="24">
        <f>IFERROR(INDEX(Companies!$A$3:$A$101,MATCH(A736,Companies!$B$3:$B$101,0)),"")</f>
        <v/>
      </c>
      <c r="C736">
        <f>IFERROR(_xlfn.IFNA(INDEX(Sensors_MANU!$F$2:$F$4692,MATCH($D736,Sensors_MANU!$B$2:$B$4692,0)),INDEX(Sensors_MANU!$F$2:$F$4692,MATCH($P736,Sensors_MANU!$A$2:$A$4692,0))),"")</f>
        <v/>
      </c>
      <c r="D736" t="inlineStr">
        <is>
          <t>D39658056B81</t>
        </is>
      </c>
      <c r="E736" s="24">
        <f>LEFT(D736,2)&amp;":"&amp;MID(D736,3,2)&amp;":"&amp;MID(D736,5,2)&amp;":"&amp;MID(D736,7,2)&amp;":"&amp;MID(D736,9,2)&amp;":"&amp;RIGHT(D736,2)</f>
        <v/>
      </c>
      <c r="F736" s="29" t="n">
        <v>44832</v>
      </c>
      <c r="G736" s="29" t="inlineStr">
        <is>
          <t>Viezo</t>
        </is>
      </c>
      <c r="H736" t="inlineStr">
        <is>
          <t>31B02036EB40B4DF</t>
        </is>
      </c>
      <c r="I736">
        <f>IFERROR(_xlfn.IFNA(INDEX(Sensors_MANU!$C$2:$C$4692,MATCH($D736,Sensors_MANU!$B$2:$B$4692,0)),INDEX(Sensors_MANU!$C$2:$C$4692,MATCH($P736,Sensors_MANU!$A$2:$A$4692,0))),"")</f>
        <v/>
      </c>
      <c r="J736">
        <f>IFERROR(_xlfn.IFNA(INDEX(Sensors_MANU!$D$2:$D$4692,MATCH($D736,Sensors_MANU!$B$2:$B$4692,0)),INDEX(Sensors_MANU!$D$2:$D$4692,MATCH($P736,Sensors_MANU!$A$2:$A$4692,0))),"")</f>
        <v/>
      </c>
      <c r="K736" s="27" t="inlineStr">
        <is>
          <t>33 83 495 4 940-6</t>
        </is>
      </c>
      <c r="L736" s="27" t="n">
        <v>8</v>
      </c>
      <c r="O736" s="6" t="inlineStr">
        <is>
          <t>V24</t>
        </is>
      </c>
    </row>
    <row r="737">
      <c r="A737" s="32" t="inlineStr">
        <is>
          <t>RSA</t>
        </is>
      </c>
      <c r="B737" s="24">
        <f>IFERROR(INDEX(Companies!$A$3:$A$101,MATCH(A737,Companies!$B$3:$B$101,0)),"")</f>
        <v/>
      </c>
      <c r="C737">
        <f>IFERROR(_xlfn.IFNA(INDEX(Sensors_MANU!$F$2:$F$4692,MATCH($D737,Sensors_MANU!$B$2:$B$4692,0)),INDEX(Sensors_MANU!$F$2:$F$4692,MATCH($P737,Sensors_MANU!$A$2:$A$4692,0))),"")</f>
        <v/>
      </c>
      <c r="D737" t="inlineStr">
        <is>
          <t>F511668B1A9F</t>
        </is>
      </c>
      <c r="E737">
        <f>LEFT(D737,2)&amp;":"&amp;MID(D737,3,2)&amp;":"&amp;MID(D737,5,2)&amp;":"&amp;MID(D737,7,2)&amp;":"&amp;MID(D737,9,2)&amp;":"&amp;RIGHT(D737,2)</f>
        <v/>
      </c>
      <c r="H737" t="inlineStr">
        <is>
          <t>0B37790502DC852D</t>
        </is>
      </c>
      <c r="J737" s="65" t="inlineStr">
        <is>
          <t>PR2206-115</t>
        </is>
      </c>
      <c r="M737" s="27" t="n"/>
      <c r="O737" s="6" t="inlineStr">
        <is>
          <t>v16</t>
        </is>
      </c>
      <c r="P737" t="n">
        <v>4978844</v>
      </c>
    </row>
    <row r="738">
      <c r="A738" s="32" t="inlineStr">
        <is>
          <t>RSA</t>
        </is>
      </c>
      <c r="B738" s="24">
        <f>IFERROR(INDEX(Companies!$A$3:$A$101,MATCH(A738,Companies!$B$3:$B$101,0)),"")</f>
        <v/>
      </c>
      <c r="C738">
        <f>IFERROR(_xlfn.IFNA(INDEX(Sensors_MANU!$F$2:$F$4692,MATCH($D738,Sensors_MANU!$B$2:$B$4692,0)),INDEX(Sensors_MANU!$F$2:$F$4692,MATCH($P738,Sensors_MANU!$A$2:$A$4692,0))),"")</f>
        <v/>
      </c>
      <c r="D738" t="inlineStr">
        <is>
          <t>E992581F9A4F</t>
        </is>
      </c>
      <c r="E738">
        <f>LEFT(D738,2)&amp;":"&amp;MID(D738,3,2)&amp;":"&amp;MID(D738,5,2)&amp;":"&amp;MID(D738,7,2)&amp;":"&amp;MID(D738,9,2)&amp;":"&amp;RIGHT(D738,2)</f>
        <v/>
      </c>
      <c r="H738" t="inlineStr">
        <is>
          <t>E956D46D9A1F6464</t>
        </is>
      </c>
      <c r="J738" s="65" t="inlineStr">
        <is>
          <t>PR2206-116</t>
        </is>
      </c>
      <c r="M738" s="27" t="n"/>
      <c r="N738" s="99" t="inlineStr">
        <is>
          <t>duplicate pcb_sn</t>
        </is>
      </c>
      <c r="O738" s="6" t="inlineStr">
        <is>
          <t>v16</t>
        </is>
      </c>
      <c r="P738" t="n">
        <v>4978846</v>
      </c>
    </row>
    <row r="739">
      <c r="B739" s="24">
        <f>IFERROR(INDEX(Companies!$A$3:$A$101,MATCH(A739,Companies!$B$3:$B$101,0)),"")</f>
        <v/>
      </c>
      <c r="C739">
        <f>IFERROR(_xlfn.IFNA(INDEX(Sensors_MANU!$F$2:$F$4692,MATCH($D739,Sensors_MANU!$B$2:$B$4692,0)),INDEX(Sensors_MANU!$F$2:$F$4692,MATCH($P739,Sensors_MANU!$A$2:$A$4692,0))),"")</f>
        <v/>
      </c>
      <c r="D739" t="inlineStr">
        <is>
          <t>F5640953B6A1</t>
        </is>
      </c>
      <c r="E739" s="24">
        <f>LEFT(D739,2)&amp;":"&amp;MID(D739,3,2)&amp;":"&amp;MID(D739,5,2)&amp;":"&amp;MID(D739,7,2)&amp;":"&amp;MID(D739,9,2)&amp;":"&amp;RIGHT(D739,2)</f>
        <v/>
      </c>
      <c r="H739" t="inlineStr">
        <is>
          <t>B330B68F39320A46</t>
        </is>
      </c>
      <c r="I739">
        <f>IFERROR(_xlfn.IFNA(INDEX(Sensors_MANU!$C$2:$C$4692,MATCH($D739,Sensors_MANU!$B$2:$B$4692,0)),INDEX(Sensors_MANU!$C$2:$C$4692,MATCH($P739,Sensors_MANU!$A$2:$A$4692,0))),"")</f>
        <v/>
      </c>
      <c r="J739" s="65" t="inlineStr">
        <is>
          <t>PR2206-117</t>
        </is>
      </c>
      <c r="O739" s="6" t="inlineStr">
        <is>
          <t>V24</t>
        </is>
      </c>
    </row>
    <row r="740">
      <c r="A740" s="32">
        <f>IFERROR(_xlfn.IFNA(INDEX(Sensors_MANU!$E$2:$E$4692,MATCH($D740,Sensors_MANU!$B$2:$B$4692,0)),INDEX(Sensors_MANU!$E$2:$E$4692,MATCH($P740,Sensors_MANU!$A$2:$A$4692,0))),"")</f>
        <v/>
      </c>
      <c r="B740" s="24">
        <f>IFERROR(INDEX(Companies!$A$3:$A$101,MATCH(A740,Companies!$B$3:$B$101,0)),"")</f>
        <v/>
      </c>
      <c r="C740">
        <f>IFERROR(_xlfn.IFNA(INDEX(Sensors_MANU!$F$2:$F$4692,MATCH($D740,Sensors_MANU!$B$2:$B$4692,0)),INDEX(Sensors_MANU!$F$2:$F$4692,MATCH($P740,Sensors_MANU!$A$2:$A$4692,0))),"")</f>
        <v/>
      </c>
      <c r="D740" t="inlineStr">
        <is>
          <t>C803A8A92DB4</t>
        </is>
      </c>
      <c r="E740" s="24">
        <f>LEFT(D740,2)&amp;":"&amp;MID(D740,3,2)&amp;":"&amp;MID(D740,5,2)&amp;":"&amp;MID(D740,7,2)&amp;":"&amp;MID(D740,9,2)&amp;":"&amp;RIGHT(D740,2)</f>
        <v/>
      </c>
      <c r="F740" s="29" t="n">
        <v>44832</v>
      </c>
      <c r="G740" s="29" t="inlineStr">
        <is>
          <t>Viezo</t>
        </is>
      </c>
      <c r="H740" t="inlineStr">
        <is>
          <t>E2242F40DAEEAA46</t>
        </is>
      </c>
      <c r="I740">
        <f>IFERROR(_xlfn.IFNA(INDEX(Sensors_MANU!$C$2:$C$4692,MATCH($D740,Sensors_MANU!$B$2:$B$4692,0)),INDEX(Sensors_MANU!$C$2:$C$4692,MATCH($P740,Sensors_MANU!$A$2:$A$4692,0))),"")</f>
        <v/>
      </c>
      <c r="J740">
        <f>IFERROR(_xlfn.IFNA(INDEX(Sensors_MANU!$D$2:$D$4692,MATCH($D740,Sensors_MANU!$B$2:$B$4692,0)),INDEX(Sensors_MANU!$D$2:$D$4692,MATCH($P740,Sensors_MANU!$A$2:$A$4692,0))),"")</f>
        <v/>
      </c>
      <c r="K740" s="27" t="inlineStr">
        <is>
          <t>33 83 495 4 940-6</t>
        </is>
      </c>
      <c r="L740" s="27" t="n">
        <v>5</v>
      </c>
      <c r="O740" s="6" t="inlineStr">
        <is>
          <t>V24</t>
        </is>
      </c>
    </row>
    <row r="741">
      <c r="A741" s="32">
        <f>IFERROR(_xlfn.IFNA(INDEX(Sensors_MANU!$E$2:$E$4692,MATCH($D741,Sensors_MANU!$B$2:$B$4692,0)),INDEX(Sensors_MANU!$E$2:$E$4692,MATCH($P741,Sensors_MANU!$A$2:$A$4692,0))),"")</f>
        <v/>
      </c>
      <c r="B741" s="24">
        <f>IFERROR(INDEX(Companies!$A$3:$A$101,MATCH(A741,Companies!$B$3:$B$101,0)),"")</f>
        <v/>
      </c>
      <c r="C741">
        <f>IFERROR(_xlfn.IFNA(INDEX(Sensors_MANU!$F$2:$F$4692,MATCH($D741,Sensors_MANU!$B$2:$B$4692,0)),INDEX(Sensors_MANU!$F$2:$F$4692,MATCH($P741,Sensors_MANU!$A$2:$A$4692,0))),"")</f>
        <v/>
      </c>
      <c r="D741" t="inlineStr">
        <is>
          <t>C3BF99D08EA9</t>
        </is>
      </c>
      <c r="E741">
        <f>LEFT(D741,2)&amp;":"&amp;MID(D741,3,2)&amp;":"&amp;MID(D741,5,2)&amp;":"&amp;MID(D741,7,2)&amp;":"&amp;MID(D741,9,2)&amp;":"&amp;RIGHT(D741,2)</f>
        <v/>
      </c>
      <c r="F741" s="29" t="n">
        <v>44880</v>
      </c>
      <c r="G741" s="29" t="inlineStr">
        <is>
          <t>Viezo</t>
        </is>
      </c>
      <c r="H741" t="inlineStr">
        <is>
          <t>A620A09B5872F5B3</t>
        </is>
      </c>
      <c r="I741">
        <f>IFERROR(_xlfn.IFNA(INDEX(Sensors_MANU!$C$2:$C$4692,MATCH($D741,Sensors_MANU!$B$2:$B$4692,0)),INDEX(Sensors_MANU!$C$2:$C$4692,MATCH($P741,Sensors_MANU!$A$2:$A$4692,0))),"")</f>
        <v/>
      </c>
      <c r="J741">
        <f>IFERROR(_xlfn.IFNA(INDEX(Sensors_MANU!$D$2:$D$4692,MATCH($D741,Sensors_MANU!$B$2:$B$4692,0)),INDEX(Sensors_MANU!$D$2:$D$4692,MATCH($P741,Sensors_MANU!$A$2:$A$4692,0))),"")</f>
        <v/>
      </c>
      <c r="K741" s="27" t="inlineStr">
        <is>
          <t>83546985084-5</t>
        </is>
      </c>
      <c r="L741" s="27" t="inlineStr">
        <is>
          <t>3L</t>
        </is>
      </c>
      <c r="M741" s="27" t="n"/>
      <c r="N741" s="99">
        <f>IFERROR(INDEX(Sensors_MANU!$G$2:$G$4692,MATCH($P741,Sensors_MANU!$A$2:$A$4692,0)),)</f>
        <v/>
      </c>
      <c r="O741" s="6" t="inlineStr">
        <is>
          <t>v16</t>
        </is>
      </c>
      <c r="P741" t="n">
        <v>4978802</v>
      </c>
    </row>
    <row r="742">
      <c r="A742" s="32">
        <f>IFERROR(_xlfn.IFNA(INDEX(Sensors_MANU!$E$2:$E$4692,MATCH($D742,Sensors_MANU!$B$2:$B$4692,0)),INDEX(Sensors_MANU!$E$2:$E$4692,MATCH($P742,Sensors_MANU!$A$2:$A$4692,0))),"")</f>
        <v/>
      </c>
      <c r="B742" s="24">
        <f>IFERROR(INDEX(Companies!$A$3:$A$101,MATCH(A742,Companies!$B$3:$B$101,0)),"")</f>
        <v/>
      </c>
      <c r="C742">
        <f>IFERROR(_xlfn.IFNA(INDEX(Sensors_MANU!$F$2:$F$4692,MATCH($D742,Sensors_MANU!$B$2:$B$4692,0)),INDEX(Sensors_MANU!$F$2:$F$4692,MATCH($P742,Sensors_MANU!$A$2:$A$4692,0))),"")</f>
        <v/>
      </c>
      <c r="D742" t="inlineStr">
        <is>
          <t>EF43B9AFD417</t>
        </is>
      </c>
      <c r="E742" s="24">
        <f>LEFT(D742,2)&amp;":"&amp;MID(D742,3,2)&amp;":"&amp;MID(D742,5,2)&amp;":"&amp;MID(D742,7,2)&amp;":"&amp;MID(D742,9,2)&amp;":"&amp;RIGHT(D742,2)</f>
        <v/>
      </c>
      <c r="F742" s="29" t="n">
        <v>44832</v>
      </c>
      <c r="G742" s="29" t="inlineStr">
        <is>
          <t>Hupac</t>
        </is>
      </c>
      <c r="H742" t="inlineStr">
        <is>
          <t>7214014F12D6671C</t>
        </is>
      </c>
      <c r="I742">
        <f>IFERROR(_xlfn.IFNA(INDEX(Sensors_MANU!$C$2:$C$4692,MATCH($D742,Sensors_MANU!$B$2:$B$4692,0)),INDEX(Sensors_MANU!$C$2:$C$4692,MATCH($P742,Sensors_MANU!$A$2:$A$4692,0))),"")</f>
        <v/>
      </c>
      <c r="J742">
        <f>IFERROR(_xlfn.IFNA(INDEX(Sensors_MANU!$D$2:$D$4692,MATCH($D742,Sensors_MANU!$B$2:$B$4692,0)),INDEX(Sensors_MANU!$D$2:$D$4692,MATCH($P742,Sensors_MANU!$A$2:$A$4692,0))),"")</f>
        <v/>
      </c>
      <c r="K742" s="27" t="inlineStr">
        <is>
          <t>33-85-4506-155-2</t>
        </is>
      </c>
      <c r="L742" s="27" t="inlineStr">
        <is>
          <t>6b</t>
        </is>
      </c>
      <c r="M742" s="61" t="inlineStr">
        <is>
          <t>071321</t>
        </is>
      </c>
      <c r="O742" s="6" t="inlineStr">
        <is>
          <t>V24</t>
        </is>
      </c>
    </row>
    <row r="743">
      <c r="B743" s="24">
        <f>IFERROR(INDEX(Companies!$A$3:$A$101,MATCH(A743,Companies!$B$3:$B$101,0)),"")</f>
        <v/>
      </c>
      <c r="C743">
        <f>IFERROR(_xlfn.IFNA(INDEX(Sensors_MANU!$F$2:$F$4692,MATCH($D743,Sensors_MANU!$B$2:$B$4692,0)),INDEX(Sensors_MANU!$F$2:$F$4692,MATCH($P743,Sensors_MANU!$A$2:$A$4692,0))),"")</f>
        <v/>
      </c>
      <c r="D743" t="inlineStr">
        <is>
          <t>E77DE1D29053</t>
        </is>
      </c>
      <c r="E743">
        <f>LEFT(D743,2)&amp;":"&amp;MID(D743,3,2)&amp;":"&amp;MID(D743,5,2)&amp;":"&amp;MID(D743,7,2)&amp;":"&amp;MID(D743,9,2)&amp;":"&amp;RIGHT(D743,2)</f>
        <v/>
      </c>
      <c r="H743" t="inlineStr">
        <is>
          <t>ABBFCC254940F3C4</t>
        </is>
      </c>
      <c r="J743" s="65" t="inlineStr">
        <is>
          <t>PR2206-124</t>
        </is>
      </c>
      <c r="M743" s="27" t="n"/>
      <c r="N743" s="99">
        <f>IFERROR(INDEX(Sensors_MANU!$G$2:$G$4692,MATCH($P743,Sensors_MANU!$A$2:$A$4692,0)),)</f>
        <v/>
      </c>
      <c r="O743" s="6" t="inlineStr">
        <is>
          <t>v16</t>
        </is>
      </c>
      <c r="P743" t="n">
        <v>4978742</v>
      </c>
    </row>
    <row r="744">
      <c r="B744" s="24">
        <f>IFERROR(INDEX(Companies!$A$3:$A$101,MATCH(A744,Companies!$B$3:$B$101,0)),"")</f>
        <v/>
      </c>
      <c r="C744">
        <f>IFERROR(_xlfn.IFNA(INDEX(Sensors_MANU!$F$2:$F$4692,MATCH($D744,Sensors_MANU!$B$2:$B$4692,0)),INDEX(Sensors_MANU!$F$2:$F$4692,MATCH($P744,Sensors_MANU!$A$2:$A$4692,0))),"")</f>
        <v/>
      </c>
      <c r="D744" t="inlineStr">
        <is>
          <t>C7651F32A8AE</t>
        </is>
      </c>
      <c r="E744" s="24">
        <f>LEFT(D744,2)&amp;":"&amp;MID(D744,3,2)&amp;":"&amp;MID(D744,5,2)&amp;":"&amp;MID(D744,7,2)&amp;":"&amp;MID(D744,9,2)&amp;":"&amp;RIGHT(D744,2)</f>
        <v/>
      </c>
      <c r="H744" t="inlineStr">
        <is>
          <t>B87DC0E6B369A852</t>
        </is>
      </c>
      <c r="I744">
        <f>IFERROR(_xlfn.IFNA(INDEX(Sensors_MANU!$C$2:$C$4692,MATCH($D744,Sensors_MANU!$B$2:$B$4692,0)),INDEX(Sensors_MANU!$C$2:$C$4692,MATCH($P744,Sensors_MANU!$A$2:$A$4692,0))),"")</f>
        <v/>
      </c>
      <c r="J744">
        <f>IFERROR(_xlfn.IFNA(INDEX(Sensors_MANU!$D$2:$D$4692,MATCH($D744,Sensors_MANU!$B$2:$B$4692,0)),INDEX(Sensors_MANU!$D$2:$D$4692,MATCH($P744,Sensors_MANU!$A$2:$A$4692,0))),"")</f>
        <v/>
      </c>
      <c r="O744" s="6" t="inlineStr">
        <is>
          <t>V23</t>
        </is>
      </c>
    </row>
    <row r="745">
      <c r="B745" s="24">
        <f>IFERROR(INDEX(Companies!$A$3:$A$101,MATCH(A745,Companies!$B$3:$B$101,0)),"")</f>
        <v/>
      </c>
      <c r="C745">
        <f>IFERROR(_xlfn.IFNA(INDEX(Sensors_MANU!$F$2:$F$4692,MATCH($D745,Sensors_MANU!$B$2:$B$4692,0)),INDEX(Sensors_MANU!$F$2:$F$4692,MATCH($P745,Sensors_MANU!$A$2:$A$4692,0))),"")</f>
        <v/>
      </c>
      <c r="D745" t="inlineStr">
        <is>
          <t>E1A2F2136A40</t>
        </is>
      </c>
      <c r="E745" s="24">
        <f>LEFT(D745,2)&amp;":"&amp;MID(D745,3,2)&amp;":"&amp;MID(D745,5,2)&amp;":"&amp;MID(D745,7,2)&amp;":"&amp;MID(D745,9,2)&amp;":"&amp;RIGHT(D745,2)</f>
        <v/>
      </c>
      <c r="H745" t="inlineStr">
        <is>
          <t>3254C187A5D52FA1</t>
        </is>
      </c>
      <c r="I745">
        <f>IFERROR(_xlfn.IFNA(INDEX(Sensors_MANU!$C$2:$C$4692,MATCH($D745,Sensors_MANU!$B$2:$B$4692,0)),INDEX(Sensors_MANU!$C$2:$C$4692,MATCH($P745,Sensors_MANU!$A$2:$A$4692,0))),"")</f>
        <v/>
      </c>
      <c r="J745">
        <f>IFERROR(_xlfn.IFNA(INDEX(Sensors_MANU!$D$2:$D$4692,MATCH($D745,Sensors_MANU!$B$2:$B$4692,0)),INDEX(Sensors_MANU!$D$2:$D$4692,MATCH($P745,Sensors_MANU!$A$2:$A$4692,0))),"")</f>
        <v/>
      </c>
      <c r="O745" s="6" t="inlineStr">
        <is>
          <t>V24</t>
        </is>
      </c>
    </row>
    <row r="746">
      <c r="B746" s="24">
        <f>IFERROR(INDEX(Companies!$A$3:$A$101,MATCH(A746,Companies!$B$3:$B$101,0)),"")</f>
        <v/>
      </c>
      <c r="C746">
        <f>IFERROR(_xlfn.IFNA(INDEX(Sensors_MANU!$F$2:$F$4692,MATCH($D746,Sensors_MANU!$B$2:$B$4692,0)),INDEX(Sensors_MANU!$F$2:$F$4692,MATCH($P746,Sensors_MANU!$A$2:$A$4692,0))),"")</f>
        <v/>
      </c>
      <c r="D746" t="inlineStr">
        <is>
          <t>F5E7FD52B4E7</t>
        </is>
      </c>
      <c r="E746" s="24">
        <f>LEFT(D746,2)&amp;":"&amp;MID(D746,3,2)&amp;":"&amp;MID(D746,5,2)&amp;":"&amp;MID(D746,7,2)&amp;":"&amp;MID(D746,9,2)&amp;":"&amp;RIGHT(D746,2)</f>
        <v/>
      </c>
      <c r="H746" t="inlineStr">
        <is>
          <t>D0E96F06F6D4B881</t>
        </is>
      </c>
      <c r="I746">
        <f>IFERROR(_xlfn.IFNA(INDEX(Sensors_MANU!$C$2:$C$4692,MATCH($D746,Sensors_MANU!$B$2:$B$4692,0)),INDEX(Sensors_MANU!$C$2:$C$4692,MATCH($P746,Sensors_MANU!$A$2:$A$4692,0))),"")</f>
        <v/>
      </c>
      <c r="J746">
        <f>IFERROR(_xlfn.IFNA(INDEX(Sensors_MANU!$D$2:$D$4692,MATCH($D746,Sensors_MANU!$B$2:$B$4692,0)),INDEX(Sensors_MANU!$D$2:$D$4692,MATCH($P746,Sensors_MANU!$A$2:$A$4692,0))),"")</f>
        <v/>
      </c>
      <c r="O746" s="6" t="inlineStr">
        <is>
          <t>V24</t>
        </is>
      </c>
    </row>
    <row r="747">
      <c r="B747" s="24">
        <f>IFERROR(INDEX(Companies!$A$3:$A$101,MATCH(A747,Companies!$B$3:$B$101,0)),"")</f>
        <v/>
      </c>
      <c r="C747">
        <f>IFERROR(_xlfn.IFNA(INDEX(Sensors_MANU!$F$2:$F$4692,MATCH($D747,Sensors_MANU!$B$2:$B$4692,0)),INDEX(Sensors_MANU!$F$2:$F$4692,MATCH($P747,Sensors_MANU!$A$2:$A$4692,0))),"")</f>
        <v/>
      </c>
      <c r="D747" t="inlineStr">
        <is>
          <t>FBCD6A8D73A5</t>
        </is>
      </c>
      <c r="E747" s="24">
        <f>LEFT(D747,2)&amp;":"&amp;MID(D747,3,2)&amp;":"&amp;MID(D747,5,2)&amp;":"&amp;MID(D747,7,2)&amp;":"&amp;MID(D747,9,2)&amp;":"&amp;RIGHT(D747,2)</f>
        <v/>
      </c>
      <c r="H747" t="inlineStr">
        <is>
          <t>64318AAB2E667A74</t>
        </is>
      </c>
      <c r="I747">
        <f>IFERROR(_xlfn.IFNA(INDEX(Sensors_MANU!$C$2:$C$4692,MATCH($D747,Sensors_MANU!$B$2:$B$4692,0)),INDEX(Sensors_MANU!$C$2:$C$4692,MATCH($P747,Sensors_MANU!$A$2:$A$4692,0))),"")</f>
        <v/>
      </c>
      <c r="J747">
        <f>IFERROR(_xlfn.IFNA(INDEX(Sensors_MANU!$D$2:$D$4692,MATCH($D747,Sensors_MANU!$B$2:$B$4692,0)),INDEX(Sensors_MANU!$D$2:$D$4692,MATCH($P747,Sensors_MANU!$A$2:$A$4692,0))),"")</f>
        <v/>
      </c>
      <c r="O747" s="6" t="inlineStr">
        <is>
          <t>V24</t>
        </is>
      </c>
    </row>
    <row r="748">
      <c r="A748" s="32">
        <f>IFERROR(_xlfn.IFNA(INDEX(Sensors_MANU!$E$2:$E$4692,MATCH($D748,Sensors_MANU!$B$2:$B$4692,0)),INDEX(Sensors_MANU!$E$2:$E$4692,MATCH($P748,Sensors_MANU!$A$2:$A$4692,0))),"")</f>
        <v/>
      </c>
      <c r="B748" s="24">
        <f>IFERROR(INDEX(Companies!$A$3:$A$101,MATCH(A748,Companies!$B$3:$B$101,0)),"")</f>
        <v/>
      </c>
      <c r="C748">
        <f>IFERROR(_xlfn.IFNA(INDEX(Sensors_MANU!$F$2:$F$4692,MATCH($D748,Sensors_MANU!$B$2:$B$4692,0)),INDEX(Sensors_MANU!$F$2:$F$4692,MATCH($P748,Sensors_MANU!$A$2:$A$4692,0))),"")</f>
        <v/>
      </c>
      <c r="D748" t="inlineStr">
        <is>
          <t>F3FD68E6CD43</t>
        </is>
      </c>
      <c r="E748" s="24">
        <f>LEFT(D748,2)&amp;":"&amp;MID(D748,3,2)&amp;":"&amp;MID(D748,5,2)&amp;":"&amp;MID(D748,7,2)&amp;":"&amp;MID(D748,9,2)&amp;":"&amp;RIGHT(D748,2)</f>
        <v/>
      </c>
      <c r="F748" s="29" t="n">
        <v>44832</v>
      </c>
      <c r="G748" s="29" t="inlineStr">
        <is>
          <t>Hupac</t>
        </is>
      </c>
      <c r="H748" t="inlineStr">
        <is>
          <t>2C2D4767669EFBBF</t>
        </is>
      </c>
      <c r="I748">
        <f>IFERROR(_xlfn.IFNA(INDEX(Sensors_MANU!$C$2:$C$4692,MATCH($D748,Sensors_MANU!$B$2:$B$4692,0)),INDEX(Sensors_MANU!$C$2:$C$4692,MATCH($P748,Sensors_MANU!$A$2:$A$4692,0))),"")</f>
        <v/>
      </c>
      <c r="J748">
        <f>IFERROR(_xlfn.IFNA(INDEX(Sensors_MANU!$D$2:$D$4692,MATCH($D748,Sensors_MANU!$B$2:$B$4692,0)),INDEX(Sensors_MANU!$D$2:$D$4692,MATCH($P748,Sensors_MANU!$A$2:$A$4692,0))),"")</f>
        <v/>
      </c>
      <c r="K748" s="27" t="inlineStr">
        <is>
          <t>33-85-4506-155-2</t>
        </is>
      </c>
      <c r="L748" s="27" t="inlineStr">
        <is>
          <t>8b</t>
        </is>
      </c>
      <c r="M748" s="61" t="inlineStr">
        <is>
          <t>20042045</t>
        </is>
      </c>
      <c r="O748" s="6" t="inlineStr">
        <is>
          <t>V24</t>
        </is>
      </c>
    </row>
    <row r="749">
      <c r="B749" s="24">
        <f>IFERROR(INDEX(Companies!$A$3:$A$101,MATCH(A749,Companies!$B$3:$B$101,0)),"")</f>
        <v/>
      </c>
      <c r="C749">
        <f>IFERROR(_xlfn.IFNA(INDEX(Sensors_MANU!$F$2:$F$4692,MATCH($D749,Sensors_MANU!$B$2:$B$4692,0)),INDEX(Sensors_MANU!$F$2:$F$4692,MATCH($P749,Sensors_MANU!$A$2:$A$4692,0))),"")</f>
        <v/>
      </c>
      <c r="D749" t="inlineStr">
        <is>
          <t>DDB95B771C72</t>
        </is>
      </c>
      <c r="E749" s="24">
        <f>LEFT(D749,2)&amp;":"&amp;MID(D749,3,2)&amp;":"&amp;MID(D749,5,2)&amp;":"&amp;MID(D749,7,2)&amp;":"&amp;MID(D749,9,2)&amp;":"&amp;RIGHT(D749,2)</f>
        <v/>
      </c>
      <c r="H749" t="inlineStr">
        <is>
          <t>E5394920432DBEBE</t>
        </is>
      </c>
      <c r="I749">
        <f>IFERROR(_xlfn.IFNA(INDEX(Sensors_MANU!$C$2:$C$4692,MATCH($D749,Sensors_MANU!$B$2:$B$4692,0)),INDEX(Sensors_MANU!$C$2:$C$4692,MATCH($P749,Sensors_MANU!$A$2:$A$4692,0))),"")</f>
        <v/>
      </c>
      <c r="J749">
        <f>IFERROR(_xlfn.IFNA(INDEX(Sensors_MANU!$D$2:$D$4692,MATCH($D749,Sensors_MANU!$B$2:$B$4692,0)),INDEX(Sensors_MANU!$D$2:$D$4692,MATCH($P749,Sensors_MANU!$A$2:$A$4692,0))),"")</f>
        <v/>
      </c>
      <c r="O749" s="6" t="inlineStr">
        <is>
          <t>V25</t>
        </is>
      </c>
    </row>
    <row r="750">
      <c r="A750" s="32">
        <f>IFERROR(_xlfn.IFNA(INDEX(Sensors_MANU!$E$2:$E$4692,MATCH($D750,Sensors_MANU!$B$2:$B$4692,0)),INDEX(Sensors_MANU!$E$2:$E$4692,MATCH($P750,Sensors_MANU!$A$2:$A$4692,0))),"")</f>
        <v/>
      </c>
      <c r="B750" s="24">
        <f>IFERROR(INDEX(Companies!$A$3:$A$101,MATCH(A750,Companies!$B$3:$B$101,0)),"")</f>
        <v/>
      </c>
      <c r="C750">
        <f>IFERROR(_xlfn.IFNA(INDEX(Sensors_MANU!$F$2:$F$4692,MATCH($D750,Sensors_MANU!$B$2:$B$4692,0)),INDEX(Sensors_MANU!$F$2:$F$4692,MATCH($P750,Sensors_MANU!$A$2:$A$4692,0))),"")</f>
        <v/>
      </c>
      <c r="D750" t="inlineStr">
        <is>
          <t>C62DED3F80A0</t>
        </is>
      </c>
      <c r="E750">
        <f>LEFT(D750,2)&amp;":"&amp;MID(D750,3,2)&amp;":"&amp;MID(D750,5,2)&amp;":"&amp;MID(D750,7,2)&amp;":"&amp;MID(D750,9,2)&amp;":"&amp;RIGHT(D750,2)</f>
        <v/>
      </c>
      <c r="H750" t="inlineStr">
        <is>
          <t>B5D9977926030210</t>
        </is>
      </c>
      <c r="I750">
        <f>IFERROR(_xlfn.IFNA(INDEX(Sensors_MANU!$C$2:$C$4692,MATCH($D750,Sensors_MANU!$B$2:$B$4692,0)),INDEX(Sensors_MANU!$C$2:$C$4692,MATCH($P750,Sensors_MANU!$A$2:$A$4692,0))),"")</f>
        <v/>
      </c>
      <c r="J750">
        <f>IFERROR(_xlfn.IFNA(INDEX(Sensors_MANU!$D$2:$D$4692,MATCH($D750,Sensors_MANU!$B$2:$B$4692,0)),INDEX(Sensors_MANU!$D$2:$D$4692,MATCH($P750,Sensors_MANU!$A$2:$A$4692,0))),"")</f>
        <v/>
      </c>
      <c r="K750" s="27" t="inlineStr">
        <is>
          <t>31-56-5941001-5</t>
        </is>
      </c>
      <c r="L750" s="27" t="inlineStr">
        <is>
          <t>1R</t>
        </is>
      </c>
      <c r="M750" s="27" t="n"/>
      <c r="N750" s="99">
        <f>IFERROR(INDEX(Sensors_MANU!$G$2:$G$4692,MATCH($P750,Sensors_MANU!$A$2:$A$4692,0)),)</f>
        <v/>
      </c>
      <c r="O750" s="6" t="inlineStr">
        <is>
          <t>v16</t>
        </is>
      </c>
      <c r="P750" t="n">
        <v>4978535</v>
      </c>
    </row>
    <row r="751">
      <c r="A751" s="32">
        <f>IFERROR(_xlfn.IFNA(INDEX(Sensors_MANU!$E$2:$E$4692,MATCH($D751,Sensors_MANU!$B$2:$B$4692,0)),INDEX(Sensors_MANU!$E$2:$E$4692,MATCH($P751,Sensors_MANU!$A$2:$A$4692,0))),"")</f>
        <v/>
      </c>
      <c r="B751" s="24">
        <f>IFERROR(INDEX(Companies!$A$3:$A$101,MATCH(A751,Companies!$B$3:$B$101,0)),"")</f>
        <v/>
      </c>
      <c r="C751">
        <f>IFERROR(_xlfn.IFNA(INDEX(Sensors_MANU!$F$2:$F$4692,MATCH($D751,Sensors_MANU!$B$2:$B$4692,0)),INDEX(Sensors_MANU!$F$2:$F$4692,MATCH($P751,Sensors_MANU!$A$2:$A$4692,0))),"")</f>
        <v/>
      </c>
      <c r="D751" t="inlineStr">
        <is>
          <t>D7637E095C42</t>
        </is>
      </c>
      <c r="E751" s="24">
        <f>LEFT(D751,2)&amp;":"&amp;MID(D751,3,2)&amp;":"&amp;MID(D751,5,2)&amp;":"&amp;MID(D751,7,2)&amp;":"&amp;MID(D751,9,2)&amp;":"&amp;RIGHT(D751,2)</f>
        <v/>
      </c>
      <c r="F751" s="29" t="n">
        <v>44832</v>
      </c>
      <c r="G751" s="29" t="inlineStr">
        <is>
          <t>Hupac</t>
        </is>
      </c>
      <c r="H751" t="inlineStr">
        <is>
          <t>FA27B62737DDDB61</t>
        </is>
      </c>
      <c r="I751">
        <f>IFERROR(_xlfn.IFNA(INDEX(Sensors_MANU!$C$2:$C$4692,MATCH($D751,Sensors_MANU!$B$2:$B$4692,0)),INDEX(Sensors_MANU!$C$2:$C$4692,MATCH($P751,Sensors_MANU!$A$2:$A$4692,0))),"")</f>
        <v/>
      </c>
      <c r="J751">
        <f>IFERROR(_xlfn.IFNA(INDEX(Sensors_MANU!$D$2:$D$4692,MATCH($D751,Sensors_MANU!$B$2:$B$4692,0)),INDEX(Sensors_MANU!$D$2:$D$4692,MATCH($P751,Sensors_MANU!$A$2:$A$4692,0))),"")</f>
        <v/>
      </c>
      <c r="K751" s="27" t="inlineStr">
        <is>
          <t>33-85-4511-082-1</t>
        </is>
      </c>
      <c r="L751" s="27" t="inlineStr">
        <is>
          <t>8b</t>
        </is>
      </c>
      <c r="M751" s="61" t="inlineStr">
        <is>
          <t>973352</t>
        </is>
      </c>
      <c r="O751" s="6" t="inlineStr">
        <is>
          <t>V24</t>
        </is>
      </c>
    </row>
    <row r="752">
      <c r="B752" s="24">
        <f>IFERROR(INDEX(Companies!$A$3:$A$101,MATCH(A752,Companies!$B$3:$B$101,0)),"")</f>
        <v/>
      </c>
      <c r="C752">
        <f>IFERROR(_xlfn.IFNA(INDEX(Sensors_MANU!$F$2:$F$4692,MATCH($D752,Sensors_MANU!$B$2:$B$4692,0)),INDEX(Sensors_MANU!$F$2:$F$4692,MATCH($P752,Sensors_MANU!$A$2:$A$4692,0))),"")</f>
        <v/>
      </c>
      <c r="D752" t="inlineStr">
        <is>
          <t>FA87048D14EA</t>
        </is>
      </c>
      <c r="E752" s="24">
        <f>LEFT(D752,2)&amp;":"&amp;MID(D752,3,2)&amp;":"&amp;MID(D752,5,2)&amp;":"&amp;MID(D752,7,2)&amp;":"&amp;MID(D752,9,2)&amp;":"&amp;RIGHT(D752,2)</f>
        <v/>
      </c>
      <c r="H752" t="inlineStr">
        <is>
          <t>1B79A4D6B0CA8987</t>
        </is>
      </c>
      <c r="I752">
        <f>IFERROR(_xlfn.IFNA(INDEX(Sensors_MANU!$C$2:$C$4692,MATCH($D752,Sensors_MANU!$B$2:$B$4692,0)),INDEX(Sensors_MANU!$C$2:$C$4692,MATCH($P752,Sensors_MANU!$A$2:$A$4692,0))),"")</f>
        <v/>
      </c>
      <c r="J752">
        <f>IFERROR(_xlfn.IFNA(INDEX(Sensors_MANU!$D$2:$D$4692,MATCH($D752,Sensors_MANU!$B$2:$B$4692,0)),INDEX(Sensors_MANU!$D$2:$D$4692,MATCH($P752,Sensors_MANU!$A$2:$A$4692,0))),"")</f>
        <v/>
      </c>
      <c r="O752" s="6" t="inlineStr">
        <is>
          <t>V24</t>
        </is>
      </c>
    </row>
    <row r="753">
      <c r="B753" s="24">
        <f>IFERROR(INDEX(Companies!$A$3:$A$101,MATCH(A753,Companies!$B$3:$B$101,0)),"")</f>
        <v/>
      </c>
      <c r="C753">
        <f>IFERROR(_xlfn.IFNA(INDEX(Sensors_MANU!$F$2:$F$4692,MATCH($D753,Sensors_MANU!$B$2:$B$4692,0)),INDEX(Sensors_MANU!$F$2:$F$4692,MATCH($P753,Sensors_MANU!$A$2:$A$4692,0))),"")</f>
        <v/>
      </c>
      <c r="D753" t="inlineStr">
        <is>
          <t>C5EB7E6011CE</t>
        </is>
      </c>
      <c r="E753" s="24">
        <f>LEFT(D753,2)&amp;":"&amp;MID(D753,3,2)&amp;":"&amp;MID(D753,5,2)&amp;":"&amp;MID(D753,7,2)&amp;":"&amp;MID(D753,9,2)&amp;":"&amp;RIGHT(D753,2)</f>
        <v/>
      </c>
      <c r="H753" t="inlineStr">
        <is>
          <t>041C547A0AF72E80</t>
        </is>
      </c>
      <c r="J753" s="65" t="inlineStr">
        <is>
          <t>PR2206-136</t>
        </is>
      </c>
      <c r="O753" s="6" t="inlineStr">
        <is>
          <t>V24</t>
        </is>
      </c>
    </row>
    <row r="754">
      <c r="A754" s="32">
        <f>IFERROR(_xlfn.IFNA(INDEX(Sensors_MANU!$E$2:$E$4692,MATCH($D754,Sensors_MANU!$B$2:$B$4692,0)),INDEX(Sensors_MANU!$E$2:$E$4692,MATCH($P754,Sensors_MANU!$A$2:$A$4692,0))),"")</f>
        <v/>
      </c>
      <c r="B754" s="24">
        <f>IFERROR(INDEX(Companies!$A$3:$A$101,MATCH(A754,Companies!$B$3:$B$101,0)),"")</f>
        <v/>
      </c>
      <c r="C754">
        <f>IFERROR(_xlfn.IFNA(INDEX(Sensors_MANU!$F$2:$F$4692,MATCH($D754,Sensors_MANU!$B$2:$B$4692,0)),INDEX(Sensors_MANU!$F$2:$F$4692,MATCH($P754,Sensors_MANU!$A$2:$A$4692,0))),"")</f>
        <v/>
      </c>
      <c r="D754" t="inlineStr">
        <is>
          <t>F4D61C5850B7</t>
        </is>
      </c>
      <c r="E754">
        <f>LEFT(D754,2)&amp;":"&amp;MID(D754,3,2)&amp;":"&amp;MID(D754,5,2)&amp;":"&amp;MID(D754,7,2)&amp;":"&amp;MID(D754,9,2)&amp;":"&amp;RIGHT(D754,2)</f>
        <v/>
      </c>
      <c r="H754" t="inlineStr">
        <is>
          <t>CFE45A94199FDCD5</t>
        </is>
      </c>
      <c r="I754">
        <f>IFERROR(_xlfn.IFNA(INDEX(Sensors_MANU!$C$2:$C$4692,MATCH($D754,Sensors_MANU!$B$2:$B$4692,0)),INDEX(Sensors_MANU!$C$2:$C$4692,MATCH($P754,Sensors_MANU!$A$2:$A$4692,0))),"")</f>
        <v/>
      </c>
      <c r="J754">
        <f>IFERROR(_xlfn.IFNA(INDEX(Sensors_MANU!$D$2:$D$4692,MATCH($D754,Sensors_MANU!$B$2:$B$4692,0)),INDEX(Sensors_MANU!$D$2:$D$4692,MATCH($P754,Sensors_MANU!$A$2:$A$4692,0))),"")</f>
        <v/>
      </c>
      <c r="K754" s="27" t="inlineStr">
        <is>
          <t>31-56-5941001-5</t>
        </is>
      </c>
      <c r="L754" s="27" t="inlineStr">
        <is>
          <t>1L</t>
        </is>
      </c>
      <c r="M754" s="27" t="n"/>
      <c r="N754" s="99">
        <f>IFERROR(INDEX(Sensors_MANU!$G$2:$G$4692,MATCH($P754,Sensors_MANU!$A$2:$A$4692,0)),)</f>
        <v/>
      </c>
      <c r="O754" s="6" t="inlineStr">
        <is>
          <t>v17</t>
        </is>
      </c>
      <c r="P754" t="n">
        <v>4978568</v>
      </c>
    </row>
    <row r="755">
      <c r="A755" s="32" t="inlineStr">
        <is>
          <t>RSA</t>
        </is>
      </c>
      <c r="B755" s="24">
        <f>IFERROR(INDEX(Companies!$A$3:$A$101,MATCH(A755,Companies!$B$3:$B$101,0)),"")</f>
        <v/>
      </c>
      <c r="C755">
        <f>IFERROR(_xlfn.IFNA(INDEX(Sensors_MANU!$F$2:$F$4692,MATCH($D755,Sensors_MANU!$B$2:$B$4692,0)),INDEX(Sensors_MANU!$F$2:$F$4692,MATCH($P755,Sensors_MANU!$A$2:$A$4692,0))),"")</f>
        <v/>
      </c>
      <c r="D755" t="inlineStr">
        <is>
          <t>DD0704450357</t>
        </is>
      </c>
      <c r="E755" s="24">
        <f>LEFT(D755,2)&amp;":"&amp;MID(D755,3,2)&amp;":"&amp;MID(D755,5,2)&amp;":"&amp;MID(D755,7,2)&amp;":"&amp;MID(D755,9,2)&amp;":"&amp;RIGHT(D755,2)</f>
        <v/>
      </c>
      <c r="H755" t="inlineStr">
        <is>
          <t>021AD66CE552E121</t>
        </is>
      </c>
      <c r="I755">
        <f>IFERROR(_xlfn.IFNA(INDEX(Sensors_MANU!$C$2:$C$4692,MATCH($D755,Sensors_MANU!$B$2:$B$4692,0)),INDEX(Sensors_MANU!$C$2:$C$4692,MATCH($P755,Sensors_MANU!$A$2:$A$4692,0))),"")</f>
        <v/>
      </c>
      <c r="J755" s="65" t="inlineStr">
        <is>
          <t>PR2206-138</t>
        </is>
      </c>
      <c r="O755" s="6" t="inlineStr">
        <is>
          <t>V25</t>
        </is>
      </c>
    </row>
    <row r="756">
      <c r="A756" s="32" t="inlineStr">
        <is>
          <t>RSA</t>
        </is>
      </c>
      <c r="B756" s="24">
        <f>IFERROR(INDEX(Companies!$A$3:$A$101,MATCH(A756,Companies!$B$3:$B$101,0)),"")</f>
        <v/>
      </c>
      <c r="C756">
        <f>IFERROR(_xlfn.IFNA(INDEX(Sensors_MANU!$F$2:$F$4692,MATCH($D756,Sensors_MANU!$B$2:$B$4692,0)),INDEX(Sensors_MANU!$F$2:$F$4692,MATCH($P756,Sensors_MANU!$A$2:$A$4692,0))),"")</f>
        <v/>
      </c>
      <c r="D756" t="inlineStr">
        <is>
          <t>C18AAFE9CADC</t>
        </is>
      </c>
      <c r="E756">
        <f>LEFT(D756,2)&amp;":"&amp;MID(D756,3,2)&amp;":"&amp;MID(D756,5,2)&amp;":"&amp;MID(D756,7,2)&amp;":"&amp;MID(D756,9,2)&amp;":"&amp;RIGHT(D756,2)</f>
        <v/>
      </c>
      <c r="H756" t="inlineStr">
        <is>
          <t>675F35971781EE7C</t>
        </is>
      </c>
      <c r="J756" s="65" t="inlineStr">
        <is>
          <t>PR2206-139</t>
        </is>
      </c>
      <c r="O756" s="6" t="inlineStr">
        <is>
          <t>v16</t>
        </is>
      </c>
      <c r="P756" t="n">
        <v>4978866</v>
      </c>
    </row>
    <row r="757">
      <c r="A757" s="32">
        <f>IFERROR(_xlfn.IFNA(INDEX(Sensors_MANU!$E$2:$E$4692,MATCH($D757,Sensors_MANU!$B$2:$B$4692,0)),INDEX(Sensors_MANU!$E$2:$E$4692,MATCH($P757,Sensors_MANU!$A$2:$A$4692,0))),"")</f>
        <v/>
      </c>
      <c r="B757" s="24">
        <f>IFERROR(INDEX(Companies!$A$3:$A$101,MATCH(A757,Companies!$B$3:$B$101,0)),"")</f>
        <v/>
      </c>
      <c r="C757">
        <f>IFERROR(_xlfn.IFNA(INDEX(Sensors_MANU!$F$2:$F$4692,MATCH($D757,Sensors_MANU!$B$2:$B$4692,0)),INDEX(Sensors_MANU!$F$2:$F$4692,MATCH($P757,Sensors_MANU!$A$2:$A$4692,0))),"")</f>
        <v/>
      </c>
      <c r="D757" t="inlineStr">
        <is>
          <t>D051E4DF6571</t>
        </is>
      </c>
      <c r="E757" s="24">
        <f>LEFT(D757,2)&amp;":"&amp;MID(D757,3,2)&amp;":"&amp;MID(D757,5,2)&amp;":"&amp;MID(D757,7,2)&amp;":"&amp;MID(D757,9,2)&amp;":"&amp;RIGHT(D757,2)</f>
        <v/>
      </c>
      <c r="F757" s="29" t="n">
        <v>44832</v>
      </c>
      <c r="G757" s="29" t="inlineStr">
        <is>
          <t>Hupac</t>
        </is>
      </c>
      <c r="H757" t="inlineStr">
        <is>
          <t>C977FE67B70B9F4F</t>
        </is>
      </c>
      <c r="I757">
        <f>IFERROR(_xlfn.IFNA(INDEX(Sensors_MANU!$C$2:$C$4692,MATCH($D757,Sensors_MANU!$B$2:$B$4692,0)),INDEX(Sensors_MANU!$C$2:$C$4692,MATCH($P757,Sensors_MANU!$A$2:$A$4692,0))),"")</f>
        <v/>
      </c>
      <c r="J757">
        <f>IFERROR(_xlfn.IFNA(INDEX(Sensors_MANU!$D$2:$D$4692,MATCH($D757,Sensors_MANU!$B$2:$B$4692,0)),INDEX(Sensors_MANU!$D$2:$D$4692,MATCH($P757,Sensors_MANU!$A$2:$A$4692,0))),"")</f>
        <v/>
      </c>
      <c r="K757" s="27" t="inlineStr">
        <is>
          <t>33-85-4506-155-2</t>
        </is>
      </c>
      <c r="L757" s="27" t="inlineStr">
        <is>
          <t>3a</t>
        </is>
      </c>
      <c r="M757" s="61" t="inlineStr">
        <is>
          <t>20021653</t>
        </is>
      </c>
      <c r="O757" s="6" t="inlineStr">
        <is>
          <t>V24</t>
        </is>
      </c>
    </row>
    <row r="758">
      <c r="A758" s="32">
        <f>IFERROR(_xlfn.IFNA(INDEX(Sensors_MANU!$E$2:$E$4692,MATCH($D758,Sensors_MANU!$B$2:$B$4692,0)),INDEX(Sensors_MANU!$E$2:$E$4692,MATCH($P758,Sensors_MANU!$A$2:$A$4692,0))),"")</f>
        <v/>
      </c>
      <c r="B758" s="24">
        <f>IFERROR(INDEX(Companies!$A$3:$A$101,MATCH(A758,Companies!$B$3:$B$101,0)),"")</f>
        <v/>
      </c>
      <c r="C758">
        <f>IFERROR(_xlfn.IFNA(INDEX(Sensors_MANU!$F$2:$F$4692,MATCH($D758,Sensors_MANU!$B$2:$B$4692,0)),INDEX(Sensors_MANU!$F$2:$F$4692,MATCH($P758,Sensors_MANU!$A$2:$A$4692,0))),"")</f>
        <v/>
      </c>
      <c r="D758" t="inlineStr">
        <is>
          <t>EB9E056C5D44</t>
        </is>
      </c>
      <c r="E758" s="24">
        <f>LEFT(D758,2)&amp;":"&amp;MID(D758,3,2)&amp;":"&amp;MID(D758,5,2)&amp;":"&amp;MID(D758,7,2)&amp;":"&amp;MID(D758,9,2)&amp;":"&amp;RIGHT(D758,2)</f>
        <v/>
      </c>
      <c r="F758" s="29" t="n">
        <v>44832</v>
      </c>
      <c r="G758" s="29" t="inlineStr">
        <is>
          <t>Hupac</t>
        </is>
      </c>
      <c r="H758" t="inlineStr">
        <is>
          <t>56F82D8C7F2E5104</t>
        </is>
      </c>
      <c r="I758">
        <f>IFERROR(_xlfn.IFNA(INDEX(Sensors_MANU!$C$2:$C$4692,MATCH($D758,Sensors_MANU!$B$2:$B$4692,0)),INDEX(Sensors_MANU!$C$2:$C$4692,MATCH($P758,Sensors_MANU!$A$2:$A$4692,0))),"")</f>
        <v/>
      </c>
      <c r="J758">
        <f>IFERROR(_xlfn.IFNA(INDEX(Sensors_MANU!$D$2:$D$4692,MATCH($D758,Sensors_MANU!$B$2:$B$4692,0)),INDEX(Sensors_MANU!$D$2:$D$4692,MATCH($P758,Sensors_MANU!$A$2:$A$4692,0))),"")</f>
        <v/>
      </c>
      <c r="K758" s="27" t="inlineStr">
        <is>
          <t>33-85-4506-155-2</t>
        </is>
      </c>
      <c r="L758" s="27" t="inlineStr">
        <is>
          <t>1a</t>
        </is>
      </c>
      <c r="M758" s="61" t="inlineStr">
        <is>
          <t>980835</t>
        </is>
      </c>
      <c r="O758" s="6" t="inlineStr">
        <is>
          <t>V24</t>
        </is>
      </c>
    </row>
    <row r="759">
      <c r="A759" s="32">
        <f>IFERROR(_xlfn.IFNA(INDEX(Sensors_MANU!$E$2:$E$4692,MATCH($D759,Sensors_MANU!$B$2:$B$4692,0)),INDEX(Sensors_MANU!$E$2:$E$4692,MATCH($P759,Sensors_MANU!$A$2:$A$4692,0))),"")</f>
        <v/>
      </c>
      <c r="B759" s="24">
        <f>IFERROR(INDEX(Companies!$A$3:$A$101,MATCH(A759,Companies!$B$3:$B$101,0)),"")</f>
        <v/>
      </c>
      <c r="C759">
        <f>IFERROR(_xlfn.IFNA(INDEX(Sensors_MANU!$F$2:$F$4692,MATCH($D759,Sensors_MANU!$B$2:$B$4692,0)),INDEX(Sensors_MANU!$F$2:$F$4692,MATCH($P759,Sensors_MANU!$A$2:$A$4692,0))),"")</f>
        <v/>
      </c>
      <c r="D759" s="25" t="inlineStr">
        <is>
          <t>C663CA2DFD14</t>
        </is>
      </c>
      <c r="E759" s="24">
        <f>LEFT(D759,2)&amp;":"&amp;MID(D759,3,2)&amp;":"&amp;MID(D759,5,2)&amp;":"&amp;MID(D759,7,2)&amp;":"&amp;MID(D759,9,2)&amp;":"&amp;RIGHT(D759,2)</f>
        <v/>
      </c>
      <c r="H759" t="inlineStr">
        <is>
          <t>DDBA2262CB020C36</t>
        </is>
      </c>
      <c r="I759">
        <f>IFERROR(_xlfn.IFNA(INDEX(Sensors_MANU!$C$2:$C$4692,MATCH($D759,Sensors_MANU!$B$2:$B$4692,0)),INDEX(Sensors_MANU!$C$2:$C$4692,MATCH($P759,Sensors_MANU!$A$2:$A$4692,0))),"")</f>
        <v/>
      </c>
      <c r="J759">
        <f>IFERROR(_xlfn.IFNA(INDEX(Sensors_MANU!$D$2:$D$4692,MATCH($D759,Sensors_MANU!$B$2:$B$4692,0)),INDEX(Sensors_MANU!$D$2:$D$4692,MATCH($P759,Sensors_MANU!$A$2:$A$4692,0))),"")</f>
        <v/>
      </c>
      <c r="K759" s="27" t="inlineStr">
        <is>
          <t>31-56-5941001-5</t>
        </is>
      </c>
      <c r="L759" s="27" t="inlineStr">
        <is>
          <t>4L</t>
        </is>
      </c>
      <c r="O759" s="6" t="inlineStr">
        <is>
          <t>V23</t>
        </is>
      </c>
    </row>
    <row r="760">
      <c r="B760" s="24">
        <f>IFERROR(INDEX(Companies!$A$3:$A$101,MATCH(A760,Companies!$B$3:$B$101,0)),"")</f>
        <v/>
      </c>
      <c r="C760">
        <f>IFERROR(_xlfn.IFNA(INDEX(Sensors_MANU!$F$2:$F$4692,MATCH($D760,Sensors_MANU!$B$2:$B$4692,0)),INDEX(Sensors_MANU!$F$2:$F$4692,MATCH($P760,Sensors_MANU!$A$2:$A$4692,0))),"")</f>
        <v/>
      </c>
      <c r="D760" t="inlineStr">
        <is>
          <t>EB9D01523817</t>
        </is>
      </c>
      <c r="E760" s="24">
        <f>LEFT(D760,2)&amp;":"&amp;MID(D760,3,2)&amp;":"&amp;MID(D760,5,2)&amp;":"&amp;MID(D760,7,2)&amp;":"&amp;MID(D760,9,2)&amp;":"&amp;RIGHT(D760,2)</f>
        <v/>
      </c>
      <c r="H760" t="inlineStr">
        <is>
          <t>1F3BF590A5B96EE5</t>
        </is>
      </c>
      <c r="I760">
        <f>IFERROR(_xlfn.IFNA(INDEX(Sensors_MANU!$C$2:$C$4692,MATCH($D760,Sensors_MANU!$B$2:$B$4692,0)),INDEX(Sensors_MANU!$C$2:$C$4692,MATCH($P760,Sensors_MANU!$A$2:$A$4692,0))),"")</f>
        <v/>
      </c>
      <c r="J760">
        <f>IFERROR(_xlfn.IFNA(INDEX(Sensors_MANU!$D$2:$D$4692,MATCH($D760,Sensors_MANU!$B$2:$B$4692,0)),INDEX(Sensors_MANU!$D$2:$D$4692,MATCH($P760,Sensors_MANU!$A$2:$A$4692,0))),"")</f>
        <v/>
      </c>
      <c r="O760" s="6" t="inlineStr">
        <is>
          <t>V24</t>
        </is>
      </c>
    </row>
    <row r="761">
      <c r="B761" s="24">
        <f>IFERROR(INDEX(Companies!$A$3:$A$101,MATCH(A761,Companies!$B$3:$B$101,0)),"")</f>
        <v/>
      </c>
      <c r="C761">
        <f>IFERROR(_xlfn.IFNA(INDEX(Sensors_MANU!$F$2:$F$4692,MATCH($D761,Sensors_MANU!$B$2:$B$4692,0)),INDEX(Sensors_MANU!$F$2:$F$4692,MATCH($P761,Sensors_MANU!$A$2:$A$4692,0))),"")</f>
        <v/>
      </c>
      <c r="D761" t="inlineStr">
        <is>
          <t>CD2B93434347</t>
        </is>
      </c>
      <c r="E761" s="24">
        <f>LEFT(D761,2)&amp;":"&amp;MID(D761,3,2)&amp;":"&amp;MID(D761,5,2)&amp;":"&amp;MID(D761,7,2)&amp;":"&amp;MID(D761,9,2)&amp;":"&amp;RIGHT(D761,2)</f>
        <v/>
      </c>
      <c r="H761" t="inlineStr">
        <is>
          <t>17724FAFDC9A2639</t>
        </is>
      </c>
      <c r="I761">
        <f>IFERROR(_xlfn.IFNA(INDEX(Sensors_MANU!$C$2:$C$4692,MATCH($D761,Sensors_MANU!$B$2:$B$4692,0)),INDEX(Sensors_MANU!$C$2:$C$4692,MATCH($P761,Sensors_MANU!$A$2:$A$4692,0))),"")</f>
        <v/>
      </c>
      <c r="J761">
        <f>IFERROR(_xlfn.IFNA(INDEX(Sensors_MANU!$D$2:$D$4692,MATCH($D761,Sensors_MANU!$B$2:$B$4692,0)),INDEX(Sensors_MANU!$D$2:$D$4692,MATCH($P761,Sensors_MANU!$A$2:$A$4692,0))),"")</f>
        <v/>
      </c>
      <c r="O761" s="6" t="inlineStr">
        <is>
          <t>V24</t>
        </is>
      </c>
    </row>
    <row r="762">
      <c r="A762" s="32">
        <f>IFERROR(_xlfn.IFNA(INDEX(Sensors_MANU!$E$2:$E$4692,MATCH($D762,Sensors_MANU!$B$2:$B$4692,0)),INDEX(Sensors_MANU!$E$2:$E$4692,MATCH($P762,Sensors_MANU!$A$2:$A$4692,0))),"")</f>
        <v/>
      </c>
      <c r="B762" s="24">
        <f>IFERROR(INDEX(Companies!$A$3:$A$101,MATCH(A762,Companies!$B$3:$B$101,0)),"")</f>
        <v/>
      </c>
      <c r="C762">
        <f>IFERROR(_xlfn.IFNA(INDEX(Sensors_MANU!$F$2:$F$4692,MATCH($D762,Sensors_MANU!$B$2:$B$4692,0)),INDEX(Sensors_MANU!$F$2:$F$4692,MATCH($P762,Sensors_MANU!$A$2:$A$4692,0))),"")</f>
        <v/>
      </c>
      <c r="D762" t="inlineStr">
        <is>
          <t>FA0F51DA48F4</t>
        </is>
      </c>
      <c r="E762" s="24">
        <f>LEFT(D762,2)&amp;":"&amp;MID(D762,3,2)&amp;":"&amp;MID(D762,5,2)&amp;":"&amp;MID(D762,7,2)&amp;":"&amp;MID(D762,9,2)&amp;":"&amp;RIGHT(D762,2)</f>
        <v/>
      </c>
      <c r="F762" s="29" t="n">
        <v>44832</v>
      </c>
      <c r="G762" s="29" t="inlineStr">
        <is>
          <t>Hupac</t>
        </is>
      </c>
      <c r="H762" t="inlineStr">
        <is>
          <t>54BF243F2B3CB9F3</t>
        </is>
      </c>
      <c r="I762">
        <f>IFERROR(_xlfn.IFNA(INDEX(Sensors_MANU!$C$2:$C$4692,MATCH($D762,Sensors_MANU!$B$2:$B$4692,0)),INDEX(Sensors_MANU!$C$2:$C$4692,MATCH($P762,Sensors_MANU!$A$2:$A$4692,0))),"")</f>
        <v/>
      </c>
      <c r="J762">
        <f>IFERROR(_xlfn.IFNA(INDEX(Sensors_MANU!$D$2:$D$4692,MATCH($D762,Sensors_MANU!$B$2:$B$4692,0)),INDEX(Sensors_MANU!$D$2:$D$4692,MATCH($P762,Sensors_MANU!$A$2:$A$4692,0))),"")</f>
        <v/>
      </c>
      <c r="K762" s="27" t="inlineStr">
        <is>
          <t>33-85-4511-082-1</t>
        </is>
      </c>
      <c r="L762" s="27" t="inlineStr">
        <is>
          <t>4b</t>
        </is>
      </c>
      <c r="M762" s="61" t="inlineStr">
        <is>
          <t>88111297</t>
        </is>
      </c>
      <c r="O762" s="6" t="inlineStr">
        <is>
          <t>V24</t>
        </is>
      </c>
    </row>
    <row r="763" ht="14.25" customHeight="1">
      <c r="B763" s="24">
        <f>IFERROR(INDEX(Companies!$A$3:$A$101,MATCH(A763,Companies!$B$3:$B$101,0)),"")</f>
        <v/>
      </c>
      <c r="C763">
        <f>IFERROR(_xlfn.IFNA(INDEX(Sensors_MANU!$F$2:$F$4692,MATCH($D763,Sensors_MANU!$B$2:$B$4692,0)),INDEX(Sensors_MANU!$F$2:$F$4692,MATCH($P763,Sensors_MANU!$A$2:$A$4692,0))),"")</f>
        <v/>
      </c>
      <c r="D763" t="inlineStr">
        <is>
          <t>D43CBF765E47</t>
        </is>
      </c>
      <c r="E763" s="24">
        <f>LEFT(D763,2)&amp;":"&amp;MID(D763,3,2)&amp;":"&amp;MID(D763,5,2)&amp;":"&amp;MID(D763,7,2)&amp;":"&amp;MID(D763,9,2)&amp;":"&amp;RIGHT(D763,2)</f>
        <v/>
      </c>
      <c r="H763" t="inlineStr">
        <is>
          <t>8D31DEF52B162C18</t>
        </is>
      </c>
      <c r="I763">
        <f>IFERROR(_xlfn.IFNA(INDEX(Sensors_MANU!$C$2:$C$4692,MATCH($D763,Sensors_MANU!$B$2:$B$4692,0)),INDEX(Sensors_MANU!$C$2:$C$4692,MATCH($P763,Sensors_MANU!$A$2:$A$4692,0))),"")</f>
        <v/>
      </c>
      <c r="J763">
        <f>IFERROR(_xlfn.IFNA(INDEX(Sensors_MANU!$D$2:$D$4692,MATCH($D763,Sensors_MANU!$B$2:$B$4692,0)),INDEX(Sensors_MANU!$D$2:$D$4692,MATCH($P763,Sensors_MANU!$A$2:$A$4692,0))),"")</f>
        <v/>
      </c>
      <c r="O763" s="6" t="inlineStr">
        <is>
          <t>V24</t>
        </is>
      </c>
    </row>
    <row r="764" ht="14.25" customHeight="1">
      <c r="A764" s="32">
        <f>IFERROR(_xlfn.IFNA(INDEX(Sensors_MANU!$E$2:$E$4692,MATCH($D764,Sensors_MANU!$B$2:$B$4692,0)),INDEX(Sensors_MANU!$E$2:$E$4692,MATCH($P764,Sensors_MANU!$A$2:$A$4692,0))),"")</f>
        <v/>
      </c>
      <c r="B764" s="24">
        <f>IFERROR(INDEX(Companies!$A$3:$A$101,MATCH(A764,Companies!$B$3:$B$101,0)),"")</f>
        <v/>
      </c>
      <c r="C764">
        <f>IFERROR(_xlfn.IFNA(INDEX(Sensors_MANU!$F$2:$F$4692,MATCH($D764,Sensors_MANU!$B$2:$B$4692,0)),INDEX(Sensors_MANU!$F$2:$F$4692,MATCH($P764,Sensors_MANU!$A$2:$A$4692,0))),"")</f>
        <v/>
      </c>
      <c r="D764" t="inlineStr">
        <is>
          <t>EE3C46573471</t>
        </is>
      </c>
      <c r="E764">
        <f>LEFT(D764,2)&amp;":"&amp;MID(D764,3,2)&amp;":"&amp;MID(D764,5,2)&amp;":"&amp;MID(D764,7,2)&amp;":"&amp;MID(D764,9,2)&amp;":"&amp;RIGHT(D764,2)</f>
        <v/>
      </c>
      <c r="H764" t="inlineStr">
        <is>
          <t>C6C2CD35F43467C4</t>
        </is>
      </c>
      <c r="I764">
        <f>IFERROR(_xlfn.IFNA(INDEX(Sensors_MANU!$C$2:$C$4692,MATCH($D764,Sensors_MANU!$B$2:$B$4692,0)),INDEX(Sensors_MANU!$C$2:$C$4692,MATCH($P764,Sensors_MANU!$A$2:$A$4692,0))),"")</f>
        <v/>
      </c>
      <c r="J764">
        <f>IFERROR(_xlfn.IFNA(INDEX(Sensors_MANU!$D$2:$D$4692,MATCH($D764,Sensors_MANU!$B$2:$B$4692,0)),INDEX(Sensors_MANU!$D$2:$D$4692,MATCH($P764,Sensors_MANU!$A$2:$A$4692,0))),"")</f>
        <v/>
      </c>
      <c r="K764" s="27" t="inlineStr">
        <is>
          <t>31-56-5941001-5</t>
        </is>
      </c>
      <c r="L764" s="27" t="inlineStr">
        <is>
          <t>4R</t>
        </is>
      </c>
      <c r="M764" s="27" t="n"/>
      <c r="N764" s="99">
        <f>IFERROR(INDEX(Sensors_MANU!$G$2:$G$4692,MATCH($P764,Sensors_MANU!$A$2:$A$4692,0)),)</f>
        <v/>
      </c>
      <c r="O764" s="6" t="inlineStr">
        <is>
          <t>v17</t>
        </is>
      </c>
      <c r="P764" t="n">
        <v>4978656</v>
      </c>
    </row>
    <row r="765" ht="14.25" customHeight="1">
      <c r="A765" s="32">
        <f>IFERROR(_xlfn.IFNA(INDEX(Sensors_MANU!$E$2:$E$4692,MATCH($D765,Sensors_MANU!$B$2:$B$4692,0)),INDEX(Sensors_MANU!$E$2:$E$4692,MATCH($P765,Sensors_MANU!$A$2:$A$4692,0))),"")</f>
        <v/>
      </c>
      <c r="B765" s="24" t="inlineStr">
        <is>
          <t>64818ba10166b80f8d06f5fa</t>
        </is>
      </c>
      <c r="C765">
        <f>IFERROR(_xlfn.IFNA(INDEX(Sensors_MANU!$F$2:$F$4692,MATCH($D765,Sensors_MANU!$B$2:$B$4692,0)),INDEX(Sensors_MANU!$F$2:$F$4692,MATCH($P765,Sensors_MANU!$A$2:$A$4692,0))),"")</f>
        <v/>
      </c>
      <c r="D765" t="inlineStr">
        <is>
          <t>C1235A9292ED</t>
        </is>
      </c>
      <c r="E765" s="24">
        <f>LEFT(D765,2)&amp;":"&amp;MID(D765,3,2)&amp;":"&amp;MID(D765,5,2)&amp;":"&amp;MID(D765,7,2)&amp;":"&amp;MID(D765,9,2)&amp;":"&amp;RIGHT(D765,2)</f>
        <v/>
      </c>
      <c r="F765" s="29" t="n">
        <v>45090</v>
      </c>
      <c r="G765" s="29" t="inlineStr">
        <is>
          <t>VIEZO</t>
        </is>
      </c>
      <c r="H765" t="inlineStr">
        <is>
          <t>4B8108D53A77311C</t>
        </is>
      </c>
      <c r="I765">
        <f>IFERROR(_xlfn.IFNA(INDEX(Sensors_MANU!$C$2:$C$4692,MATCH($D765,Sensors_MANU!$B$2:$B$4692,0)),INDEX(Sensors_MANU!$C$2:$C$4692,MATCH($P765,Sensors_MANU!$A$2:$A$4692,0))),"")</f>
        <v/>
      </c>
      <c r="J765">
        <f>IFERROR(_xlfn.IFNA(INDEX(Sensors_MANU!$D$2:$D$4692,MATCH($D765,Sensors_MANU!$B$2:$B$4692,0)),INDEX(Sensors_MANU!$D$2:$D$4692,MATCH($P765,Sensors_MANU!$A$2:$A$4692,0))),"")</f>
        <v/>
      </c>
      <c r="K765" s="27" t="inlineStr">
        <is>
          <t>33802742265-2</t>
        </is>
      </c>
      <c r="L765" s="27" t="inlineStr">
        <is>
          <t>3R</t>
        </is>
      </c>
      <c r="O765" s="6" t="inlineStr">
        <is>
          <t>V25</t>
        </is>
      </c>
    </row>
    <row r="766" ht="14.25" customHeight="1">
      <c r="A766" s="32">
        <f>IFERROR(_xlfn.IFNA(INDEX(Sensors_MANU!$E$2:$E$4692,MATCH($D766,Sensors_MANU!$B$2:$B$4692,0)),INDEX(Sensors_MANU!$E$2:$E$4692,MATCH($P766,Sensors_MANU!$A$2:$A$4692,0))),"")</f>
        <v/>
      </c>
      <c r="B766" s="24" t="inlineStr">
        <is>
          <t>64818ba10166b80f8d06f5fa</t>
        </is>
      </c>
      <c r="C766">
        <f>IFERROR(_xlfn.IFNA(INDEX(Sensors_MANU!$F$2:$F$4692,MATCH($D766,Sensors_MANU!$B$2:$B$4692,0)),INDEX(Sensors_MANU!$F$2:$F$4692,MATCH($P766,Sensors_MANU!$A$2:$A$4692,0))),"")</f>
        <v/>
      </c>
      <c r="D766" t="inlineStr">
        <is>
          <t>FD21631EDDF4</t>
        </is>
      </c>
      <c r="E766" s="24">
        <f>LEFT(D766,2)&amp;":"&amp;MID(D766,3,2)&amp;":"&amp;MID(D766,5,2)&amp;":"&amp;MID(D766,7,2)&amp;":"&amp;MID(D766,9,2)&amp;":"&amp;RIGHT(D766,2)</f>
        <v/>
      </c>
      <c r="F766" s="29" t="n">
        <v>45090</v>
      </c>
      <c r="G766" s="29" t="inlineStr">
        <is>
          <t>VIEZO</t>
        </is>
      </c>
      <c r="H766" t="inlineStr">
        <is>
          <t>3D6EFCDCA7C15FC1</t>
        </is>
      </c>
      <c r="I766">
        <f>IFERROR(_xlfn.IFNA(INDEX(Sensors_MANU!$C$2:$C$4692,MATCH($D766,Sensors_MANU!$B$2:$B$4692,0)),INDEX(Sensors_MANU!$C$2:$C$4692,MATCH($P766,Sensors_MANU!$A$2:$A$4692,0))),"")</f>
        <v/>
      </c>
      <c r="J766">
        <f>IFERROR(_xlfn.IFNA(INDEX(Sensors_MANU!$D$2:$D$4692,MATCH($D766,Sensors_MANU!$B$2:$B$4692,0)),INDEX(Sensors_MANU!$D$2:$D$4692,MATCH($P766,Sensors_MANU!$A$2:$A$4692,0))),"")</f>
        <v/>
      </c>
      <c r="K766" s="27" t="inlineStr">
        <is>
          <t>33802742608-3</t>
        </is>
      </c>
      <c r="L766" s="27" t="inlineStr">
        <is>
          <t>3L</t>
        </is>
      </c>
      <c r="O766" s="6" t="inlineStr">
        <is>
          <t>V25</t>
        </is>
      </c>
    </row>
    <row r="767" ht="14.25" customHeight="1">
      <c r="B767" s="24" t="n"/>
      <c r="C767">
        <f>IFERROR(_xlfn.IFNA(INDEX(Sensors_MANU!$F$2:$F$4692,MATCH($D767,Sensors_MANU!$B$2:$B$4692,0)),INDEX(Sensors_MANU!$F$2:$F$4692,MATCH($P767,Sensors_MANU!$A$2:$A$4692,0))),"")</f>
        <v/>
      </c>
      <c r="D767" t="inlineStr">
        <is>
          <t>DDDF2790CC61</t>
        </is>
      </c>
      <c r="E767" s="24">
        <f>LEFT(D767,2)&amp;":"&amp;MID(D767,3,2)&amp;":"&amp;MID(D767,5,2)&amp;":"&amp;MID(D767,7,2)&amp;":"&amp;MID(D767,9,2)&amp;":"&amp;RIGHT(D767,2)</f>
        <v/>
      </c>
      <c r="H767" t="inlineStr">
        <is>
          <t>D2B4F1B87117BA03</t>
        </is>
      </c>
      <c r="I767">
        <f>IFERROR(_xlfn.IFNA(INDEX(Sensors_MANU!$C$2:$C$4692,MATCH($D767,Sensors_MANU!$B$2:$B$4692,0)),INDEX(Sensors_MANU!$C$2:$C$4692,MATCH($P767,Sensors_MANU!$A$2:$A$4692,0))),"")</f>
        <v/>
      </c>
      <c r="J767">
        <f>IFERROR(_xlfn.IFNA(INDEX(Sensors_MANU!$D$2:$D$4692,MATCH($D767,Sensors_MANU!$B$2:$B$4692,0)),INDEX(Sensors_MANU!$D$2:$D$4692,MATCH($P767,Sensors_MANU!$A$2:$A$4692,0))),"")</f>
        <v/>
      </c>
      <c r="O767" s="6" t="inlineStr">
        <is>
          <t>V24</t>
        </is>
      </c>
    </row>
    <row r="768" ht="14.25" customHeight="1">
      <c r="A768" s="32">
        <f>IFERROR(_xlfn.IFNA(INDEX(Sensors_MANU!$E$2:$E$4692,MATCH($D768,Sensors_MANU!$B$2:$B$4692,0)),INDEX(Sensors_MANU!$E$2:$E$4692,MATCH($P768,Sensors_MANU!$A$2:$A$4692,0))),"")</f>
        <v/>
      </c>
      <c r="B768" s="24">
        <f>IFERROR(INDEX(Companies!$A$3:$A$101,MATCH(A768,Companies!$B$3:$B$101,0)),"")</f>
        <v/>
      </c>
      <c r="C768">
        <f>IFERROR(_xlfn.IFNA(INDEX(Sensors_MANU!$F$2:$F$4692,MATCH($D768,Sensors_MANU!$B$2:$B$4692,0)),INDEX(Sensors_MANU!$F$2:$F$4692,MATCH($P768,Sensors_MANU!$A$2:$A$4692,0))),"")</f>
        <v/>
      </c>
      <c r="D768" t="inlineStr">
        <is>
          <t>D33211F897BF</t>
        </is>
      </c>
      <c r="E768" s="24">
        <f>LEFT(D768,2)&amp;":"&amp;MID(D768,3,2)&amp;":"&amp;MID(D768,5,2)&amp;":"&amp;MID(D768,7,2)&amp;":"&amp;MID(D768,9,2)&amp;":"&amp;RIGHT(D768,2)</f>
        <v/>
      </c>
      <c r="F768" s="29" t="n">
        <v>44832</v>
      </c>
      <c r="G768" s="29" t="inlineStr">
        <is>
          <t>Hupac</t>
        </is>
      </c>
      <c r="H768" t="inlineStr">
        <is>
          <t>7C435010E1F5D0A4</t>
        </is>
      </c>
      <c r="I768">
        <f>IFERROR(_xlfn.IFNA(INDEX(Sensors_MANU!$C$2:$C$4692,MATCH($D768,Sensors_MANU!$B$2:$B$4692,0)),INDEX(Sensors_MANU!$C$2:$C$4692,MATCH($P768,Sensors_MANU!$A$2:$A$4692,0))),"")</f>
        <v/>
      </c>
      <c r="J768">
        <f>IFERROR(_xlfn.IFNA(INDEX(Sensors_MANU!$D$2:$D$4692,MATCH($D768,Sensors_MANU!$B$2:$B$4692,0)),INDEX(Sensors_MANU!$D$2:$D$4692,MATCH($P768,Sensors_MANU!$A$2:$A$4692,0))),"")</f>
        <v/>
      </c>
      <c r="K768" s="27" t="inlineStr">
        <is>
          <t>33-85-4511-082-1</t>
        </is>
      </c>
      <c r="L768" s="27" t="inlineStr">
        <is>
          <t>6b</t>
        </is>
      </c>
      <c r="M768" s="61" t="inlineStr">
        <is>
          <t>88112027</t>
        </is>
      </c>
      <c r="O768" s="6" t="inlineStr">
        <is>
          <t>V24</t>
        </is>
      </c>
    </row>
    <row r="769" ht="14.25" customHeight="1">
      <c r="A769" s="32">
        <f>IFERROR(_xlfn.IFNA(INDEX(Sensors_MANU!$E$2:$E$4692,MATCH($D769,Sensors_MANU!$B$2:$B$4692,0)),INDEX(Sensors_MANU!$E$2:$E$4692,MATCH($P769,Sensors_MANU!$A$2:$A$4692,0))),"")</f>
        <v/>
      </c>
      <c r="B769" s="24" t="inlineStr">
        <is>
          <t>64818ba10166b80f8d06f5fa</t>
        </is>
      </c>
      <c r="C769">
        <f>IFERROR(_xlfn.IFNA(INDEX(Sensors_MANU!$F$2:$F$4692,MATCH($D769,Sensors_MANU!$B$2:$B$4692,0)),INDEX(Sensors_MANU!$F$2:$F$4692,MATCH($P769,Sensors_MANU!$A$2:$A$4692,0))),"")</f>
        <v/>
      </c>
      <c r="D769" t="inlineStr">
        <is>
          <t>D1DBD6A65D2B</t>
        </is>
      </c>
      <c r="E769" s="24">
        <f>LEFT(D769,2)&amp;":"&amp;MID(D769,3,2)&amp;":"&amp;MID(D769,5,2)&amp;":"&amp;MID(D769,7,2)&amp;":"&amp;MID(D769,9,2)&amp;":"&amp;RIGHT(D769,2)</f>
        <v/>
      </c>
      <c r="F769" s="29" t="n">
        <v>45090</v>
      </c>
      <c r="G769" s="29" t="inlineStr">
        <is>
          <t>VIEZO</t>
        </is>
      </c>
      <c r="H769" t="inlineStr">
        <is>
          <t>E1DED2145C0B0C46</t>
        </is>
      </c>
      <c r="I769">
        <f>IFERROR(_xlfn.IFNA(INDEX(Sensors_MANU!$C$2:$C$4692,MATCH($D769,Sensors_MANU!$B$2:$B$4692,0)),INDEX(Sensors_MANU!$C$2:$C$4692,MATCH($P769,Sensors_MANU!$A$2:$A$4692,0))),"")</f>
        <v/>
      </c>
      <c r="J769">
        <f>IFERROR(_xlfn.IFNA(INDEX(Sensors_MANU!$D$2:$D$4692,MATCH($D769,Sensors_MANU!$B$2:$B$4692,0)),INDEX(Sensors_MANU!$D$2:$D$4692,MATCH($P769,Sensors_MANU!$A$2:$A$4692,0))),"")</f>
        <v/>
      </c>
      <c r="K769" s="27" t="inlineStr">
        <is>
          <t>33802742608-3</t>
        </is>
      </c>
      <c r="L769" s="27" t="inlineStr">
        <is>
          <t>1L</t>
        </is>
      </c>
      <c r="O769" s="6" t="inlineStr">
        <is>
          <t>V24</t>
        </is>
      </c>
    </row>
    <row r="770" ht="14.25" customHeight="1">
      <c r="A770" s="32">
        <f>IFERROR(_xlfn.IFNA(INDEX(Sensors_MANU!$E$2:$E$4692,MATCH($D770,Sensors_MANU!$B$2:$B$4692,0)),INDEX(Sensors_MANU!$E$2:$E$4692,MATCH($P770,Sensors_MANU!$A$2:$A$4692,0))),"")</f>
        <v/>
      </c>
      <c r="B770" s="24">
        <f>IFERROR(INDEX(Companies!$A$3:$A$101,MATCH(A770,Companies!$B$3:$B$101,0)),"")</f>
        <v/>
      </c>
      <c r="C770">
        <f>IFERROR(_xlfn.IFNA(INDEX(Sensors_MANU!$F$2:$F$4692,MATCH($D770,Sensors_MANU!$B$2:$B$4692,0)),INDEX(Sensors_MANU!$F$2:$F$4692,MATCH($P770,Sensors_MANU!$A$2:$A$4692,0))),"")</f>
        <v/>
      </c>
      <c r="D770" t="inlineStr">
        <is>
          <t>C7625AF0D450</t>
        </is>
      </c>
      <c r="E770" s="24">
        <f>LEFT(D770,2)&amp;":"&amp;MID(D770,3,2)&amp;":"&amp;MID(D770,5,2)&amp;":"&amp;MID(D770,7,2)&amp;":"&amp;MID(D770,9,2)&amp;":"&amp;RIGHT(D770,2)</f>
        <v/>
      </c>
      <c r="F770" s="29" t="n">
        <v>44832</v>
      </c>
      <c r="G770" s="29" t="inlineStr">
        <is>
          <t>Hupac</t>
        </is>
      </c>
      <c r="H770" t="inlineStr">
        <is>
          <t>80E1E876A9644D54</t>
        </is>
      </c>
      <c r="I770">
        <f>IFERROR(_xlfn.IFNA(INDEX(Sensors_MANU!$C$2:$C$4692,MATCH($D770,Sensors_MANU!$B$2:$B$4692,0)),INDEX(Sensors_MANU!$C$2:$C$4692,MATCH($P770,Sensors_MANU!$A$2:$A$4692,0))),"")</f>
        <v/>
      </c>
      <c r="J770">
        <f>IFERROR(_xlfn.IFNA(INDEX(Sensors_MANU!$D$2:$D$4692,MATCH($D770,Sensors_MANU!$B$2:$B$4692,0)),INDEX(Sensors_MANU!$D$2:$D$4692,MATCH($P770,Sensors_MANU!$A$2:$A$4692,0))),"")</f>
        <v/>
      </c>
      <c r="K770" s="27" t="inlineStr">
        <is>
          <t>33-85-4506-155-2</t>
        </is>
      </c>
      <c r="L770" s="27" t="inlineStr">
        <is>
          <t>4b</t>
        </is>
      </c>
      <c r="M770" s="61" t="inlineStr">
        <is>
          <t>20021653</t>
        </is>
      </c>
      <c r="O770" s="6" t="inlineStr">
        <is>
          <t>V24</t>
        </is>
      </c>
    </row>
    <row r="771" ht="14.25" customHeight="1">
      <c r="B771" s="24">
        <f>IFERROR(INDEX(Companies!$A$3:$A$101,MATCH(A771,Companies!$B$3:$B$101,0)),"")</f>
        <v/>
      </c>
      <c r="C771">
        <f>IFERROR(_xlfn.IFNA(INDEX(Sensors_MANU!$F$2:$F$4692,MATCH($D771,Sensors_MANU!$B$2:$B$4692,0)),INDEX(Sensors_MANU!$F$2:$F$4692,MATCH($P771,Sensors_MANU!$A$2:$A$4692,0))),"")</f>
        <v/>
      </c>
      <c r="D771" t="inlineStr">
        <is>
          <t>D2E6572D7717</t>
        </is>
      </c>
      <c r="E771" s="24">
        <f>LEFT(D771,2)&amp;":"&amp;MID(D771,3,2)&amp;":"&amp;MID(D771,5,2)&amp;":"&amp;MID(D771,7,2)&amp;":"&amp;MID(D771,9,2)&amp;":"&amp;RIGHT(D771,2)</f>
        <v/>
      </c>
      <c r="H771" t="inlineStr">
        <is>
          <t>48BF38CBD5EDC3AE</t>
        </is>
      </c>
      <c r="I771">
        <f>IFERROR(_xlfn.IFNA(INDEX(Sensors_MANU!$C$2:$C$4692,MATCH($D771,Sensors_MANU!$B$2:$B$4692,0)),INDEX(Sensors_MANU!$C$2:$C$4692,MATCH($P771,Sensors_MANU!$A$2:$A$4692,0))),"")</f>
        <v/>
      </c>
      <c r="J771">
        <f>IFERROR(_xlfn.IFNA(INDEX(Sensors_MANU!$D$2:$D$4692,MATCH($D771,Sensors_MANU!$B$2:$B$4692,0)),INDEX(Sensors_MANU!$D$2:$D$4692,MATCH($P771,Sensors_MANU!$A$2:$A$4692,0))),"")</f>
        <v/>
      </c>
      <c r="O771" s="6" t="inlineStr">
        <is>
          <t>V24</t>
        </is>
      </c>
    </row>
    <row r="772" ht="14.25" customHeight="1">
      <c r="A772" s="32">
        <f>IFERROR(_xlfn.IFNA(INDEX(Sensors_MANU!$E$2:$E$4692,MATCH($D772,Sensors_MANU!$B$2:$B$4692,0)),INDEX(Sensors_MANU!$E$2:$E$4692,MATCH($P772,Sensors_MANU!$A$2:$A$4692,0))),"")</f>
        <v/>
      </c>
      <c r="B772" s="24">
        <f>IFERROR(INDEX(Companies!$A$3:$A$101,MATCH(A772,Companies!$B$3:$B$101,0)),"")</f>
        <v/>
      </c>
      <c r="C772">
        <f>IFERROR(_xlfn.IFNA(INDEX(Sensors_MANU!$F$2:$F$4692,MATCH($D772,Sensors_MANU!$B$2:$B$4692,0)),INDEX(Sensors_MANU!$F$2:$F$4692,MATCH($P772,Sensors_MANU!$A$2:$A$4692,0))),"")</f>
        <v/>
      </c>
      <c r="D772" t="inlineStr">
        <is>
          <t>E26237ED966D</t>
        </is>
      </c>
      <c r="E772" s="24">
        <f>LEFT(D772,2)&amp;":"&amp;MID(D772,3,2)&amp;":"&amp;MID(D772,5,2)&amp;":"&amp;MID(D772,7,2)&amp;":"&amp;MID(D772,9,2)&amp;":"&amp;RIGHT(D772,2)</f>
        <v/>
      </c>
      <c r="F772" s="29" t="n">
        <v>44832</v>
      </c>
      <c r="G772" s="29" t="inlineStr">
        <is>
          <t>Viezo</t>
        </is>
      </c>
      <c r="H772" t="inlineStr">
        <is>
          <t>F42040AF2F352C3D</t>
        </is>
      </c>
      <c r="I772">
        <f>IFERROR(_xlfn.IFNA(INDEX(Sensors_MANU!$C$2:$C$4692,MATCH($D772,Sensors_MANU!$B$2:$B$4692,0)),INDEX(Sensors_MANU!$C$2:$C$4692,MATCH($P772,Sensors_MANU!$A$2:$A$4692,0))),"")</f>
        <v/>
      </c>
      <c r="J772">
        <f>IFERROR(_xlfn.IFNA(INDEX(Sensors_MANU!$D$2:$D$4692,MATCH($D772,Sensors_MANU!$B$2:$B$4692,0)),INDEX(Sensors_MANU!$D$2:$D$4692,MATCH($P772,Sensors_MANU!$A$2:$A$4692,0))),"")</f>
        <v/>
      </c>
      <c r="K772" s="27" t="inlineStr">
        <is>
          <t>33 83 495 4 940-6</t>
        </is>
      </c>
      <c r="L772" s="27" t="n">
        <v>6</v>
      </c>
      <c r="O772" s="6" t="inlineStr">
        <is>
          <t>V24</t>
        </is>
      </c>
    </row>
    <row r="773">
      <c r="A773" s="32">
        <f>IFERROR(_xlfn.IFNA(INDEX(Sensors_MANU!$E$2:$E$4692,MATCH($D773,Sensors_MANU!$B$2:$B$4692,0)),INDEX(Sensors_MANU!$E$2:$E$4692,MATCH($P773,Sensors_MANU!$A$2:$A$4692,0))),"")</f>
        <v/>
      </c>
      <c r="B773" s="24">
        <f>IFERROR(INDEX(Companies!$A$3:$A$101,MATCH(A773,Companies!$B$3:$B$101,0)),"")</f>
        <v/>
      </c>
      <c r="C773">
        <f>IFERROR(_xlfn.IFNA(INDEX(Sensors_MANU!$F$2:$F$4692,MATCH($D773,Sensors_MANU!$B$2:$B$4692,0)),INDEX(Sensors_MANU!$F$2:$F$4692,MATCH($P773,Sensors_MANU!$A$2:$A$4692,0))),"")</f>
        <v/>
      </c>
      <c r="D773" s="25" t="inlineStr">
        <is>
          <t>C4D0A551E053</t>
        </is>
      </c>
      <c r="E773" s="24">
        <f>LEFT(D773,2)&amp;":"&amp;MID(D773,3,2)&amp;":"&amp;MID(D773,5,2)&amp;":"&amp;MID(D773,7,2)&amp;":"&amp;MID(D773,9,2)&amp;":"&amp;RIGHT(D773,2)</f>
        <v/>
      </c>
      <c r="F773" s="29" t="n">
        <v>44880</v>
      </c>
      <c r="G773" s="29" t="inlineStr">
        <is>
          <t>Viezo</t>
        </is>
      </c>
      <c r="H773" t="inlineStr">
        <is>
          <t>87047048759DD425</t>
        </is>
      </c>
      <c r="I773">
        <f>IFERROR(_xlfn.IFNA(INDEX(Sensors_MANU!$C$2:$C$4692,MATCH($D773,Sensors_MANU!$B$2:$B$4692,0)),INDEX(Sensors_MANU!$C$2:$C$4692,MATCH($P773,Sensors_MANU!$A$2:$A$4692,0))),"")</f>
        <v/>
      </c>
      <c r="J773">
        <f>IFERROR(_xlfn.IFNA(INDEX(Sensors_MANU!$D$2:$D$4692,MATCH($D773,Sensors_MANU!$B$2:$B$4692,0)),INDEX(Sensors_MANU!$D$2:$D$4692,MATCH($P773,Sensors_MANU!$A$2:$A$4692,0))),"")</f>
        <v/>
      </c>
      <c r="K773" s="27" t="inlineStr">
        <is>
          <t>83546985079-5</t>
        </is>
      </c>
      <c r="L773" s="27" t="inlineStr">
        <is>
          <t>1R</t>
        </is>
      </c>
      <c r="O773" s="6" t="inlineStr">
        <is>
          <t>V23</t>
        </is>
      </c>
    </row>
    <row r="774">
      <c r="B774" s="24">
        <f>IFERROR(INDEX(Companies!$A$3:$A$101,MATCH(A774,Companies!$B$3:$B$101,0)),"")</f>
        <v/>
      </c>
      <c r="C774">
        <f>IFERROR(_xlfn.IFNA(INDEX(Sensors_MANU!$F$2:$F$4692,MATCH($D774,Sensors_MANU!$B$2:$B$4692,0)),INDEX(Sensors_MANU!$F$2:$F$4692,MATCH($P774,Sensors_MANU!$A$2:$A$4692,0))),"")</f>
        <v/>
      </c>
      <c r="D774" t="inlineStr">
        <is>
          <t>DD1214A22906</t>
        </is>
      </c>
      <c r="E774" s="24">
        <f>LEFT(D774,2)&amp;":"&amp;MID(D774,3,2)&amp;":"&amp;MID(D774,5,2)&amp;":"&amp;MID(D774,7,2)&amp;":"&amp;MID(D774,9,2)&amp;":"&amp;RIGHT(D774,2)</f>
        <v/>
      </c>
      <c r="H774" t="inlineStr">
        <is>
          <t>B254B9526D7E7369</t>
        </is>
      </c>
      <c r="I774">
        <f>IFERROR(_xlfn.IFNA(INDEX(Sensors_MANU!$C$2:$C$4692,MATCH($D774,Sensors_MANU!$B$2:$B$4692,0)),INDEX(Sensors_MANU!$C$2:$C$4692,MATCH($P774,Sensors_MANU!$A$2:$A$4692,0))),"")</f>
        <v/>
      </c>
      <c r="J774">
        <f>IFERROR(_xlfn.IFNA(INDEX(Sensors_MANU!$D$2:$D$4692,MATCH($D774,Sensors_MANU!$B$2:$B$4692,0)),INDEX(Sensors_MANU!$D$2:$D$4692,MATCH($P774,Sensors_MANU!$A$2:$A$4692,0))),"")</f>
        <v/>
      </c>
      <c r="O774" s="6" t="inlineStr">
        <is>
          <t>V24</t>
        </is>
      </c>
    </row>
    <row r="775">
      <c r="B775" s="24">
        <f>IFERROR(INDEX(Companies!$A$3:$A$101,MATCH(A775,Companies!$B$3:$B$101,0)),"")</f>
        <v/>
      </c>
      <c r="C775">
        <f>IFERROR(_xlfn.IFNA(INDEX(Sensors_MANU!$F$2:$F$4692,MATCH($D775,Sensors_MANU!$B$2:$B$4692,0)),INDEX(Sensors_MANU!$F$2:$F$4692,MATCH($P775,Sensors_MANU!$A$2:$A$4692,0))),"")</f>
        <v/>
      </c>
      <c r="D775" t="inlineStr">
        <is>
          <t>D3734BBFE0A3</t>
        </is>
      </c>
      <c r="E775" s="24">
        <f>LEFT(D775,2)&amp;":"&amp;MID(D775,3,2)&amp;":"&amp;MID(D775,5,2)&amp;":"&amp;MID(D775,7,2)&amp;":"&amp;MID(D775,9,2)&amp;":"&amp;RIGHT(D775,2)</f>
        <v/>
      </c>
      <c r="H775" t="inlineStr">
        <is>
          <t>9152A43A6463B3DB</t>
        </is>
      </c>
      <c r="I775">
        <f>IFERROR(_xlfn.IFNA(INDEX(Sensors_MANU!$C$2:$C$4692,MATCH($D775,Sensors_MANU!$B$2:$B$4692,0)),INDEX(Sensors_MANU!$C$2:$C$4692,MATCH($P775,Sensors_MANU!$A$2:$A$4692,0))),"")</f>
        <v/>
      </c>
      <c r="J775">
        <f>IFERROR(_xlfn.IFNA(INDEX(Sensors_MANU!$D$2:$D$4692,MATCH($D775,Sensors_MANU!$B$2:$B$4692,0)),INDEX(Sensors_MANU!$D$2:$D$4692,MATCH($P775,Sensors_MANU!$A$2:$A$4692,0))),"")</f>
        <v/>
      </c>
      <c r="O775" s="6" t="inlineStr">
        <is>
          <t>V24</t>
        </is>
      </c>
    </row>
    <row r="776">
      <c r="A776" s="32">
        <f>IFERROR(_xlfn.IFNA(INDEX(Sensors_MANU!$E$2:$E$4692,MATCH($D776,Sensors_MANU!$B$2:$B$4692,0)),INDEX(Sensors_MANU!$E$2:$E$4692,MATCH($P776,Sensors_MANU!$A$2:$A$4692,0))),"")</f>
        <v/>
      </c>
      <c r="B776" s="24" t="inlineStr">
        <is>
          <t>64818ba10166b80f8d06f5fa</t>
        </is>
      </c>
      <c r="C776">
        <f>IFERROR(_xlfn.IFNA(INDEX(Sensors_MANU!$F$2:$F$4692,MATCH($D776,Sensors_MANU!$B$2:$B$4692,0)),INDEX(Sensors_MANU!$F$2:$F$4692,MATCH($P776,Sensors_MANU!$A$2:$A$4692,0))),"")</f>
        <v/>
      </c>
      <c r="D776" t="inlineStr">
        <is>
          <t>E6D0F0A1EF42</t>
        </is>
      </c>
      <c r="E776" s="24">
        <f>LEFT(D776,2)&amp;":"&amp;MID(D776,3,2)&amp;":"&amp;MID(D776,5,2)&amp;":"&amp;MID(D776,7,2)&amp;":"&amp;MID(D776,9,2)&amp;":"&amp;RIGHT(D776,2)</f>
        <v/>
      </c>
      <c r="F776" s="29" t="n">
        <v>45090</v>
      </c>
      <c r="G776" s="29" t="inlineStr">
        <is>
          <t>VIEZO</t>
        </is>
      </c>
      <c r="H776" t="inlineStr">
        <is>
          <t>A6EA443462DD225E</t>
        </is>
      </c>
      <c r="I776">
        <f>IFERROR(_xlfn.IFNA(INDEX(Sensors_MANU!$C$2:$C$4692,MATCH($D776,Sensors_MANU!$B$2:$B$4692,0)),INDEX(Sensors_MANU!$C$2:$C$4692,MATCH($P776,Sensors_MANU!$A$2:$A$4692,0))),"")</f>
        <v/>
      </c>
      <c r="J776">
        <f>IFERROR(_xlfn.IFNA(INDEX(Sensors_MANU!$D$2:$D$4692,MATCH($D776,Sensors_MANU!$B$2:$B$4692,0)),INDEX(Sensors_MANU!$D$2:$D$4692,MATCH($P776,Sensors_MANU!$A$2:$A$4692,0))),"")</f>
        <v/>
      </c>
      <c r="K776" s="27" t="inlineStr">
        <is>
          <t>33802742265-2</t>
        </is>
      </c>
      <c r="L776" s="27" t="inlineStr">
        <is>
          <t>3L</t>
        </is>
      </c>
      <c r="O776" s="6" t="inlineStr">
        <is>
          <t>V25</t>
        </is>
      </c>
    </row>
    <row r="777">
      <c r="A777" s="32">
        <f>IFERROR(_xlfn.IFNA(INDEX(Sensors_MANU!$E$2:$E$4692,MATCH($D777,Sensors_MANU!$B$2:$B$4692,0)),INDEX(Sensors_MANU!$E$2:$E$4692,MATCH($P777,Sensors_MANU!$A$2:$A$4692,0))),"")</f>
        <v/>
      </c>
      <c r="B777" s="24" t="inlineStr">
        <is>
          <t>64818ba10166b80f8d06f5fa</t>
        </is>
      </c>
      <c r="C777">
        <f>IFERROR(_xlfn.IFNA(INDEX(Sensors_MANU!$F$2:$F$4692,MATCH($D777,Sensors_MANU!$B$2:$B$4692,0)),INDEX(Sensors_MANU!$F$2:$F$4692,MATCH($P777,Sensors_MANU!$A$2:$A$4692,0))),"")</f>
        <v/>
      </c>
      <c r="D777" t="inlineStr">
        <is>
          <t>F07AD46DDC48</t>
        </is>
      </c>
      <c r="E777" s="24">
        <f>LEFT(D777,2)&amp;":"&amp;MID(D777,3,2)&amp;":"&amp;MID(D777,5,2)&amp;":"&amp;MID(D777,7,2)&amp;":"&amp;MID(D777,9,2)&amp;":"&amp;RIGHT(D777,2)</f>
        <v/>
      </c>
      <c r="F777" s="29" t="n">
        <v>45097</v>
      </c>
      <c r="G777" s="29" t="inlineStr">
        <is>
          <t>TRANSWAGG</t>
        </is>
      </c>
      <c r="H777" t="inlineStr">
        <is>
          <t>6028D79F07AD2585</t>
        </is>
      </c>
      <c r="I777">
        <f>IFERROR(_xlfn.IFNA(INDEX(Sensors_MANU!$C$2:$C$4692,MATCH($D777,Sensors_MANU!$B$2:$B$4692,0)),INDEX(Sensors_MANU!$C$2:$C$4692,MATCH($P777,Sensors_MANU!$A$2:$A$4692,0))),"")</f>
        <v/>
      </c>
      <c r="J777">
        <f>IFERROR(_xlfn.IFNA(INDEX(Sensors_MANU!$D$2:$D$4692,MATCH($D777,Sensors_MANU!$B$2:$B$4692,0)),INDEX(Sensors_MANU!$D$2:$D$4692,MATCH($P777,Sensors_MANU!$A$2:$A$4692,0))),"")</f>
        <v/>
      </c>
      <c r="K777" s="27" t="inlineStr">
        <is>
          <t>33802742527-5</t>
        </is>
      </c>
      <c r="L777" s="27" t="inlineStr">
        <is>
          <t>4L</t>
        </is>
      </c>
      <c r="O777" s="6" t="inlineStr">
        <is>
          <t>V25</t>
        </is>
      </c>
    </row>
    <row r="778">
      <c r="A778" s="32">
        <f>IFERROR(_xlfn.IFNA(INDEX(Sensors_MANU!$E$2:$E$4692,MATCH($D778,Sensors_MANU!$B$2:$B$4692,0)),INDEX(Sensors_MANU!$E$2:$E$4692,MATCH($P778,Sensors_MANU!$A$2:$A$4692,0))),"")</f>
        <v/>
      </c>
      <c r="B778" s="24">
        <f>IFERROR(INDEX(Companies!$A$3:$A$101,MATCH(A778,Companies!$B$3:$B$101,0)),"")</f>
        <v/>
      </c>
      <c r="C778">
        <f>IFERROR(_xlfn.IFNA(INDEX(Sensors_MANU!$F$2:$F$4692,MATCH($D778,Sensors_MANU!$B$2:$B$4692,0)),INDEX(Sensors_MANU!$F$2:$F$4692,MATCH($P778,Sensors_MANU!$A$2:$A$4692,0))),"")</f>
        <v/>
      </c>
      <c r="D778" t="inlineStr">
        <is>
          <t>E025B3C82551</t>
        </is>
      </c>
      <c r="E778" s="24">
        <f>LEFT(D778,2)&amp;":"&amp;MID(D778,3,2)&amp;":"&amp;MID(D778,5,2)&amp;":"&amp;MID(D778,7,2)&amp;":"&amp;MID(D778,9,2)&amp;":"&amp;RIGHT(D778,2)</f>
        <v/>
      </c>
      <c r="F778" s="29" t="n">
        <v>44880</v>
      </c>
      <c r="G778" s="29" t="inlineStr">
        <is>
          <t>Viezo</t>
        </is>
      </c>
      <c r="H778" t="inlineStr">
        <is>
          <t>45459F082D2D8906</t>
        </is>
      </c>
      <c r="I778">
        <f>IFERROR(_xlfn.IFNA(INDEX(Sensors_MANU!$C$2:$C$4692,MATCH($D778,Sensors_MANU!$B$2:$B$4692,0)),INDEX(Sensors_MANU!$C$2:$C$4692,MATCH($P778,Sensors_MANU!$A$2:$A$4692,0))),"")</f>
        <v/>
      </c>
      <c r="J778">
        <f>IFERROR(_xlfn.IFNA(INDEX(Sensors_MANU!$D$2:$D$4692,MATCH($D778,Sensors_MANU!$B$2:$B$4692,0)),INDEX(Sensors_MANU!$D$2:$D$4692,MATCH($P778,Sensors_MANU!$A$2:$A$4692,0))),"")</f>
        <v/>
      </c>
      <c r="K778" s="27" t="inlineStr">
        <is>
          <t>83546985015-9</t>
        </is>
      </c>
      <c r="L778" s="27" t="inlineStr">
        <is>
          <t>1R</t>
        </is>
      </c>
      <c r="O778" s="6" t="inlineStr">
        <is>
          <t>V25</t>
        </is>
      </c>
    </row>
    <row r="779">
      <c r="A779" s="32">
        <f>IFERROR(_xlfn.IFNA(INDEX(Sensors_MANU!$E$2:$E$4692,MATCH($D779,Sensors_MANU!$B$2:$B$4692,0)),INDEX(Sensors_MANU!$E$2:$E$4692,MATCH($P779,Sensors_MANU!$A$2:$A$4692,0))),"")</f>
        <v/>
      </c>
      <c r="B779" s="24">
        <f>IFERROR(INDEX(Companies!$A$3:$A$101,MATCH(A779,Companies!$B$3:$B$101,0)),"")</f>
        <v/>
      </c>
      <c r="C779">
        <f>IFERROR(_xlfn.IFNA(INDEX(Sensors_MANU!$F$2:$F$4692,MATCH($D779,Sensors_MANU!$B$2:$B$4692,0)),INDEX(Sensors_MANU!$F$2:$F$4692,MATCH($P779,Sensors_MANU!$A$2:$A$4692,0))),"")</f>
        <v/>
      </c>
      <c r="D779" t="inlineStr">
        <is>
          <t>E38DECCAE7FB</t>
        </is>
      </c>
      <c r="E779" s="24">
        <f>LEFT(D779,2)&amp;":"&amp;MID(D779,3,2)&amp;":"&amp;MID(D779,5,2)&amp;":"&amp;MID(D779,7,2)&amp;":"&amp;MID(D779,9,2)&amp;":"&amp;RIGHT(D779,2)</f>
        <v/>
      </c>
      <c r="F779" s="29" t="n">
        <v>44832</v>
      </c>
      <c r="G779" s="29" t="inlineStr">
        <is>
          <t>Hupac</t>
        </is>
      </c>
      <c r="H779" t="inlineStr">
        <is>
          <t>2224C75E24FB1C5D</t>
        </is>
      </c>
      <c r="I779">
        <f>IFERROR(_xlfn.IFNA(INDEX(Sensors_MANU!$C$2:$C$4692,MATCH($D779,Sensors_MANU!$B$2:$B$4692,0)),INDEX(Sensors_MANU!$C$2:$C$4692,MATCH($P779,Sensors_MANU!$A$2:$A$4692,0))),"")</f>
        <v/>
      </c>
      <c r="J779">
        <f>IFERROR(_xlfn.IFNA(INDEX(Sensors_MANU!$D$2:$D$4692,MATCH($D779,Sensors_MANU!$B$2:$B$4692,0)),INDEX(Sensors_MANU!$D$2:$D$4692,MATCH($P779,Sensors_MANU!$A$2:$A$4692,0))),"")</f>
        <v/>
      </c>
      <c r="K779" s="27" t="inlineStr">
        <is>
          <t>33-85-4956-687-9</t>
        </is>
      </c>
      <c r="L779" s="27" t="inlineStr">
        <is>
          <t>1a</t>
        </is>
      </c>
      <c r="M779" s="61" t="inlineStr">
        <is>
          <t>88200734</t>
        </is>
      </c>
      <c r="O779" s="6" t="inlineStr">
        <is>
          <t>V24</t>
        </is>
      </c>
    </row>
    <row r="780">
      <c r="B780" s="24">
        <f>IFERROR(INDEX(Companies!$A$3:$A$101,MATCH(A780,Companies!$B$3:$B$101,0)),"")</f>
        <v/>
      </c>
      <c r="C780">
        <f>IFERROR(_xlfn.IFNA(INDEX(Sensors_MANU!$F$2:$F$4692,MATCH($D780,Sensors_MANU!$B$2:$B$4692,0)),INDEX(Sensors_MANU!$F$2:$F$4692,MATCH($P780,Sensors_MANU!$A$2:$A$4692,0))),"")</f>
        <v/>
      </c>
      <c r="D780" t="inlineStr">
        <is>
          <t>F48CFEC7F68B</t>
        </is>
      </c>
      <c r="E780" s="24">
        <f>LEFT(D780,2)&amp;":"&amp;MID(D780,3,2)&amp;":"&amp;MID(D780,5,2)&amp;":"&amp;MID(D780,7,2)&amp;":"&amp;MID(D780,9,2)&amp;":"&amp;RIGHT(D780,2)</f>
        <v/>
      </c>
      <c r="H780" t="inlineStr">
        <is>
          <t>0C8BD90E6D36EC14</t>
        </is>
      </c>
      <c r="I780">
        <f>IFERROR(_xlfn.IFNA(INDEX(Sensors_MANU!$C$2:$C$4692,MATCH($D780,Sensors_MANU!$B$2:$B$4692,0)),INDEX(Sensors_MANU!$C$2:$C$4692,MATCH($P780,Sensors_MANU!$A$2:$A$4692,0))),"")</f>
        <v/>
      </c>
      <c r="J780">
        <f>IFERROR(_xlfn.IFNA(INDEX(Sensors_MANU!$D$2:$D$4692,MATCH($D780,Sensors_MANU!$B$2:$B$4692,0)),INDEX(Sensors_MANU!$D$2:$D$4692,MATCH($P780,Sensors_MANU!$A$2:$A$4692,0))),"")</f>
        <v/>
      </c>
      <c r="O780" s="6" t="inlineStr">
        <is>
          <t>V23</t>
        </is>
      </c>
    </row>
    <row r="781">
      <c r="A781" s="32">
        <f>IFERROR(_xlfn.IFNA(INDEX(Sensors_MANU!$E$2:$E$4692,MATCH($D781,Sensors_MANU!$B$2:$B$4692,0)),INDEX(Sensors_MANU!$E$2:$E$4692,MATCH($P781,Sensors_MANU!$A$2:$A$4692,0))),"")</f>
        <v/>
      </c>
      <c r="B781" s="24">
        <f>IFERROR(INDEX(Companies!$A$3:$A$101,MATCH(A781,Companies!$B$3:$B$101,0)),"")</f>
        <v/>
      </c>
      <c r="C781">
        <f>IFERROR(_xlfn.IFNA(INDEX(Sensors_MANU!$F$2:$F$4692,MATCH($D781,Sensors_MANU!$B$2:$B$4692,0)),INDEX(Sensors_MANU!$F$2:$F$4692,MATCH($P781,Sensors_MANU!$A$2:$A$4692,0))),"")</f>
        <v/>
      </c>
      <c r="D781" t="inlineStr">
        <is>
          <t>DB521ABC3618</t>
        </is>
      </c>
      <c r="E781">
        <f>LEFT(D781,2)&amp;":"&amp;MID(D781,3,2)&amp;":"&amp;MID(D781,5,2)&amp;":"&amp;MID(D781,7,2)&amp;":"&amp;MID(D781,9,2)&amp;":"&amp;RIGHT(D781,2)</f>
        <v/>
      </c>
      <c r="H781" t="inlineStr">
        <is>
          <t>3F1AD25F0860848D</t>
        </is>
      </c>
      <c r="I781">
        <f>IFERROR(_xlfn.IFNA(INDEX(Sensors_MANU!$C$2:$C$4692,MATCH($D781,Sensors_MANU!$B$2:$B$4692,0)),INDEX(Sensors_MANU!$C$2:$C$4692,MATCH($P781,Sensors_MANU!$A$2:$A$4692,0))),"")</f>
        <v/>
      </c>
      <c r="J781">
        <f>IFERROR(_xlfn.IFNA(INDEX(Sensors_MANU!$D$2:$D$4692,MATCH($D781,Sensors_MANU!$B$2:$B$4692,0)),INDEX(Sensors_MANU!$D$2:$D$4692,MATCH($P781,Sensors_MANU!$A$2:$A$4692,0))),"")</f>
        <v/>
      </c>
      <c r="K781" s="27" t="inlineStr">
        <is>
          <t>31-56-5941001-5</t>
        </is>
      </c>
      <c r="L781" s="27" t="inlineStr">
        <is>
          <t>3R</t>
        </is>
      </c>
      <c r="M781" s="27" t="n"/>
      <c r="N781" s="99">
        <f>IFERROR(INDEX(Sensors_MANU!$G$2:$G$4692,MATCH($P781,Sensors_MANU!$A$2:$A$4692,0)),)</f>
        <v/>
      </c>
      <c r="O781" s="6" t="inlineStr">
        <is>
          <t>v16</t>
        </is>
      </c>
      <c r="P781" t="n">
        <v>4978759</v>
      </c>
    </row>
    <row r="782">
      <c r="A782" s="32">
        <f>IFERROR(_xlfn.IFNA(INDEX(Sensors_MANU!$E$2:$E$4692,MATCH($D782,Sensors_MANU!$B$2:$B$4692,0)),INDEX(Sensors_MANU!$E$2:$E$4692,MATCH($P782,Sensors_MANU!$A$2:$A$4692,0))),"")</f>
        <v/>
      </c>
      <c r="B782" s="24">
        <f>IFERROR(INDEX(Companies!$A$3:$A$101,MATCH(A782,Companies!$B$3:$B$101,0)),"")</f>
        <v/>
      </c>
      <c r="C782">
        <f>IFERROR(_xlfn.IFNA(INDEX(Sensors_MANU!$F$2:$F$4692,MATCH($D782,Sensors_MANU!$B$2:$B$4692,0)),INDEX(Sensors_MANU!$F$2:$F$4692,MATCH($P782,Sensors_MANU!$A$2:$A$4692,0))),"")</f>
        <v/>
      </c>
      <c r="D782" t="inlineStr">
        <is>
          <t>D26EFA12A6E0</t>
        </is>
      </c>
      <c r="E782">
        <f>LEFT(D782,2)&amp;":"&amp;MID(D782,3,2)&amp;":"&amp;MID(D782,5,2)&amp;":"&amp;MID(D782,7,2)&amp;":"&amp;MID(D782,9,2)&amp;":"&amp;RIGHT(D782,2)</f>
        <v/>
      </c>
      <c r="H782" s="18" t="inlineStr">
        <is>
          <t>35E633E6101A869B</t>
        </is>
      </c>
      <c r="I782">
        <f>IFERROR(_xlfn.IFNA(INDEX(Sensors_MANU!$C$2:$C$4692,MATCH($D782,Sensors_MANU!$B$2:$B$4692,0)),INDEX(Sensors_MANU!$C$2:$C$4692,MATCH($P782,Sensors_MANU!$A$2:$A$4692,0))),"")</f>
        <v/>
      </c>
      <c r="J782">
        <f>IFERROR(_xlfn.IFNA(INDEX(Sensors_MANU!$D$2:$D$4692,MATCH($D782,Sensors_MANU!$B$2:$B$4692,0)),INDEX(Sensors_MANU!$D$2:$D$4692,MATCH($P782,Sensors_MANU!$A$2:$A$4692,0))),"")</f>
        <v/>
      </c>
      <c r="K782" s="27" t="inlineStr">
        <is>
          <t>31-56-5941001-5</t>
        </is>
      </c>
      <c r="L782" s="27" t="inlineStr">
        <is>
          <t>2L</t>
        </is>
      </c>
      <c r="M782" s="27" t="n"/>
      <c r="N782" s="99">
        <f>IFERROR(INDEX(Sensors_MANU!$G$2:$G$4692,MATCH($P782,Sensors_MANU!$A$2:$A$4692,0)),)</f>
        <v/>
      </c>
      <c r="O782" s="6" t="inlineStr">
        <is>
          <t>v16</t>
        </is>
      </c>
      <c r="P782" t="n">
        <v>4978571</v>
      </c>
    </row>
    <row r="783">
      <c r="A783" s="32" t="inlineStr">
        <is>
          <t>RSA</t>
        </is>
      </c>
      <c r="B783" s="24">
        <f>IFERROR(INDEX(Companies!$A$3:$A$101,MATCH(A783,Companies!$B$3:$B$101,0)),"")</f>
        <v/>
      </c>
      <c r="C783" t="inlineStr">
        <is>
          <t>Cargo</t>
        </is>
      </c>
      <c r="D783" t="inlineStr">
        <is>
          <t>EC745D2B3F81</t>
        </is>
      </c>
      <c r="E783">
        <f>LEFT(D783,2)&amp;":"&amp;MID(D783,3,2)&amp;":"&amp;MID(D783,5,2)&amp;":"&amp;MID(D783,7,2)&amp;":"&amp;MID(D783,9,2)&amp;":"&amp;RIGHT(D783,2)</f>
        <v/>
      </c>
      <c r="H783" t="inlineStr">
        <is>
          <t>88132E0899A01ACF</t>
        </is>
      </c>
      <c r="I783" s="6" t="n"/>
      <c r="J783" s="65" t="inlineStr">
        <is>
          <t>PR2206-185</t>
        </is>
      </c>
      <c r="K783" s="35" t="n"/>
      <c r="L783" s="35" t="n"/>
      <c r="M783" s="35" t="n"/>
      <c r="N783" s="99">
        <f>IFERROR(INDEX(Sensors_MANU!$G$2:$G$4692,MATCH($P783,Sensors_MANU!$A$2:$A$4692,0)),)</f>
        <v/>
      </c>
      <c r="O783" s="6" t="inlineStr">
        <is>
          <t>v15</t>
        </is>
      </c>
      <c r="P783" t="n">
        <v>4978755</v>
      </c>
    </row>
    <row r="784">
      <c r="A784" s="32">
        <f>IFERROR(_xlfn.IFNA(INDEX(Sensors_MANU!$E$2:$E$4692,MATCH($D784,Sensors_MANU!$B$2:$B$4692,0)),INDEX(Sensors_MANU!$E$2:$E$4692,MATCH($P784,Sensors_MANU!$A$2:$A$4692,0))),"")</f>
        <v/>
      </c>
      <c r="B784" s="24">
        <f>IFERROR(INDEX(Companies!$A$3:$A$101,MATCH(A784,Companies!$B$3:$B$101,0)),"")</f>
        <v/>
      </c>
      <c r="C784">
        <f>IFERROR(_xlfn.IFNA(INDEX(Sensors_MANU!$F$2:$F$4692,MATCH($D784,Sensors_MANU!$B$2:$B$4692,0)),INDEX(Sensors_MANU!$F$2:$F$4692,MATCH($P784,Sensors_MANU!$A$2:$A$4692,0))),"")</f>
        <v/>
      </c>
      <c r="D784" t="inlineStr">
        <is>
          <t>CC957475555D</t>
        </is>
      </c>
      <c r="E784" s="24">
        <f>LEFT(D784,2)&amp;":"&amp;MID(D784,3,2)&amp;":"&amp;MID(D784,5,2)&amp;":"&amp;MID(D784,7,2)&amp;":"&amp;MID(D784,9,2)&amp;":"&amp;RIGHT(D784,2)</f>
        <v/>
      </c>
      <c r="F784" s="29" t="n">
        <v>44832</v>
      </c>
      <c r="G784" s="29" t="inlineStr">
        <is>
          <t>Hupac</t>
        </is>
      </c>
      <c r="H784" t="inlineStr">
        <is>
          <t>F17A4D3052FE2099</t>
        </is>
      </c>
      <c r="I784">
        <f>IFERROR(_xlfn.IFNA(INDEX(Sensors_MANU!$C$2:$C$4692,MATCH($D784,Sensors_MANU!$B$2:$B$4692,0)),INDEX(Sensors_MANU!$C$2:$C$4692,MATCH($P784,Sensors_MANU!$A$2:$A$4692,0))),"")</f>
        <v/>
      </c>
      <c r="J784">
        <f>IFERROR(_xlfn.IFNA(INDEX(Sensors_MANU!$D$2:$D$4692,MATCH($D784,Sensors_MANU!$B$2:$B$4692,0)),INDEX(Sensors_MANU!$D$2:$D$4692,MATCH($P784,Sensors_MANU!$A$2:$A$4692,0))),"")</f>
        <v/>
      </c>
      <c r="K784" s="27" t="inlineStr">
        <is>
          <t>33-85-4956-687-9</t>
        </is>
      </c>
      <c r="L784" s="27" t="inlineStr">
        <is>
          <t>11a</t>
        </is>
      </c>
      <c r="M784" s="61" t="inlineStr">
        <is>
          <t>88171024</t>
        </is>
      </c>
      <c r="O784" s="6" t="inlineStr">
        <is>
          <t>V24</t>
        </is>
      </c>
    </row>
    <row r="785">
      <c r="B785" s="24">
        <f>IFERROR(INDEX(Companies!$A$3:$A$101,MATCH(A785,Companies!$B$3:$B$101,0)),"")</f>
        <v/>
      </c>
      <c r="C785">
        <f>IFERROR(_xlfn.IFNA(INDEX(Sensors_MANU!$F$2:$F$4692,MATCH($D785,Sensors_MANU!$B$2:$B$4692,0)),INDEX(Sensors_MANU!$F$2:$F$4692,MATCH($P785,Sensors_MANU!$A$2:$A$4692,0))),"")</f>
        <v/>
      </c>
      <c r="D785" t="inlineStr">
        <is>
          <t>D23E2AC06C6E</t>
        </is>
      </c>
      <c r="E785" s="24">
        <f>LEFT(D785,2)&amp;":"&amp;MID(D785,3,2)&amp;":"&amp;MID(D785,5,2)&amp;":"&amp;MID(D785,7,2)&amp;":"&amp;MID(D785,9,2)&amp;":"&amp;RIGHT(D785,2)</f>
        <v/>
      </c>
      <c r="H785" t="inlineStr">
        <is>
          <t>AA186962D18EA3F9</t>
        </is>
      </c>
      <c r="I785">
        <f>IFERROR(_xlfn.IFNA(INDEX(Sensors_MANU!$C$2:$C$4692,MATCH($D785,Sensors_MANU!$B$2:$B$4692,0)),INDEX(Sensors_MANU!$C$2:$C$4692,MATCH($P785,Sensors_MANU!$A$2:$A$4692,0))),"")</f>
        <v/>
      </c>
      <c r="J785">
        <f>IFERROR(_xlfn.IFNA(INDEX(Sensors_MANU!$D$2:$D$4692,MATCH($D785,Sensors_MANU!$B$2:$B$4692,0)),INDEX(Sensors_MANU!$D$2:$D$4692,MATCH($P785,Sensors_MANU!$A$2:$A$4692,0))),"")</f>
        <v/>
      </c>
      <c r="O785" s="6" t="inlineStr">
        <is>
          <t>V24</t>
        </is>
      </c>
    </row>
    <row r="786">
      <c r="A786" s="32">
        <f>IFERROR(_xlfn.IFNA(INDEX(Sensors_MANU!$E$2:$E$4692,MATCH($D786,Sensors_MANU!$B$2:$B$4692,0)),INDEX(Sensors_MANU!$E$2:$E$4692,MATCH($P786,Sensors_MANU!$A$2:$A$4692,0))),"")</f>
        <v/>
      </c>
      <c r="B786" s="24">
        <f>IFERROR(INDEX(Companies!$A$3:$A$101,MATCH(A786,Companies!$B$3:$B$101,0)),"")</f>
        <v/>
      </c>
      <c r="C786">
        <f>IFERROR(_xlfn.IFNA(INDEX(Sensors_MANU!$F$2:$F$4692,MATCH($D786,Sensors_MANU!$B$2:$B$4692,0)),INDEX(Sensors_MANU!$F$2:$F$4692,MATCH($P786,Sensors_MANU!$A$2:$A$4692,0))),"")</f>
        <v/>
      </c>
      <c r="D786" t="inlineStr">
        <is>
          <t>E49D43332DA4</t>
        </is>
      </c>
      <c r="E786" s="24">
        <f>LEFT(D786,2)&amp;":"&amp;MID(D786,3,2)&amp;":"&amp;MID(D786,5,2)&amp;":"&amp;MID(D786,7,2)&amp;":"&amp;MID(D786,9,2)&amp;":"&amp;RIGHT(D786,2)</f>
        <v/>
      </c>
      <c r="F786" s="29" t="n">
        <v>44832</v>
      </c>
      <c r="G786" s="29" t="inlineStr">
        <is>
          <t>Viezo</t>
        </is>
      </c>
      <c r="H786" t="inlineStr">
        <is>
          <t>5FF519F4F31F7459</t>
        </is>
      </c>
      <c r="I786">
        <f>IFERROR(_xlfn.IFNA(INDEX(Sensors_MANU!$C$2:$C$4692,MATCH($D786,Sensors_MANU!$B$2:$B$4692,0)),INDEX(Sensors_MANU!$C$2:$C$4692,MATCH($P786,Sensors_MANU!$A$2:$A$4692,0))),"")</f>
        <v/>
      </c>
      <c r="J786">
        <f>IFERROR(_xlfn.IFNA(INDEX(Sensors_MANU!$D$2:$D$4692,MATCH($D786,Sensors_MANU!$B$2:$B$4692,0)),INDEX(Sensors_MANU!$D$2:$D$4692,MATCH($P786,Sensors_MANU!$A$2:$A$4692,0))),"")</f>
        <v/>
      </c>
      <c r="K786" s="27" t="inlineStr">
        <is>
          <t>33 83 495 4 940-6</t>
        </is>
      </c>
      <c r="L786" s="27" t="n">
        <v>12</v>
      </c>
      <c r="O786" s="6" t="inlineStr">
        <is>
          <t>V24</t>
        </is>
      </c>
    </row>
    <row r="787">
      <c r="B787" s="24">
        <f>IFERROR(INDEX(Companies!$A$3:$A$101,MATCH(A787,Companies!$B$3:$B$101,0)),"")</f>
        <v/>
      </c>
      <c r="C787">
        <f>IFERROR(_xlfn.IFNA(INDEX(Sensors_MANU!$F$2:$F$4692,MATCH($D787,Sensors_MANU!$B$2:$B$4692,0)),INDEX(Sensors_MANU!$F$2:$F$4692,MATCH($P787,Sensors_MANU!$A$2:$A$4692,0))),"")</f>
        <v/>
      </c>
      <c r="D787" t="inlineStr">
        <is>
          <t>F5FBB25B3E47</t>
        </is>
      </c>
      <c r="E787" s="24">
        <f>LEFT(D787,2)&amp;":"&amp;MID(D787,3,2)&amp;":"&amp;MID(D787,5,2)&amp;":"&amp;MID(D787,7,2)&amp;":"&amp;MID(D787,9,2)&amp;":"&amp;RIGHT(D787,2)</f>
        <v/>
      </c>
      <c r="H787" t="inlineStr">
        <is>
          <t>9BC16B3ACE7E9DEB</t>
        </is>
      </c>
      <c r="I787">
        <f>IFERROR(_xlfn.IFNA(INDEX(Sensors_MANU!$C$2:$C$4692,MATCH($D787,Sensors_MANU!$B$2:$B$4692,0)),INDEX(Sensors_MANU!$C$2:$C$4692,MATCH($P787,Sensors_MANU!$A$2:$A$4692,0))),"")</f>
        <v/>
      </c>
      <c r="J787">
        <f>IFERROR(_xlfn.IFNA(INDEX(Sensors_MANU!$D$2:$D$4692,MATCH($D787,Sensors_MANU!$B$2:$B$4692,0)),INDEX(Sensors_MANU!$D$2:$D$4692,MATCH($P787,Sensors_MANU!$A$2:$A$4692,0))),"")</f>
        <v/>
      </c>
      <c r="O787" s="6" t="inlineStr">
        <is>
          <t>V24</t>
        </is>
      </c>
    </row>
    <row r="788">
      <c r="A788" s="32">
        <f>IFERROR(_xlfn.IFNA(INDEX(Sensors_MANU!$E$2:$E$4692,MATCH($D788,Sensors_MANU!$B$2:$B$4692,0)),INDEX(Sensors_MANU!$E$2:$E$4692,MATCH($P788,Sensors_MANU!$A$2:$A$4692,0))),"")</f>
        <v/>
      </c>
      <c r="B788" s="24">
        <f>IFERROR(INDEX(Companies!$A$3:$A$101,MATCH(A788,Companies!$B$3:$B$101,0)),"")</f>
        <v/>
      </c>
      <c r="C788">
        <f>IFERROR(_xlfn.IFNA(INDEX(Sensors_MANU!$F$2:$F$4692,MATCH($D788,Sensors_MANU!$B$2:$B$4692,0)),INDEX(Sensors_MANU!$F$2:$F$4692,MATCH($P788,Sensors_MANU!$A$2:$A$4692,0))),"")</f>
        <v/>
      </c>
      <c r="D788" t="inlineStr">
        <is>
          <t>E1B9D5C988C6</t>
        </is>
      </c>
      <c r="E788">
        <f>LEFT(D788,2)&amp;":"&amp;MID(D788,3,2)&amp;":"&amp;MID(D788,5,2)&amp;":"&amp;MID(D788,7,2)&amp;":"&amp;MID(D788,9,2)&amp;":"&amp;RIGHT(D788,2)</f>
        <v/>
      </c>
      <c r="H788" t="inlineStr">
        <is>
          <t>C8C96E9DC2CF0E15</t>
        </is>
      </c>
      <c r="I788">
        <f>IFERROR(_xlfn.IFNA(INDEX(Sensors_MANU!$C$2:$C$4692,MATCH($D788,Sensors_MANU!$B$2:$B$4692,0)),INDEX(Sensors_MANU!$C$2:$C$4692,MATCH($P788,Sensors_MANU!$A$2:$A$4692,0))),"")</f>
        <v/>
      </c>
      <c r="J788">
        <f>IFERROR(_xlfn.IFNA(INDEX(Sensors_MANU!$D$2:$D$4692,MATCH($D788,Sensors_MANU!$B$2:$B$4692,0)),INDEX(Sensors_MANU!$D$2:$D$4692,MATCH($P788,Sensors_MANU!$A$2:$A$4692,0))),"")</f>
        <v/>
      </c>
      <c r="K788" s="27" t="inlineStr">
        <is>
          <t>31-56-5941001-5</t>
        </is>
      </c>
      <c r="L788" s="27" t="inlineStr">
        <is>
          <t>3L</t>
        </is>
      </c>
      <c r="M788" s="27" t="n"/>
      <c r="N788" s="99">
        <f>IFERROR(INDEX(Sensors_MANU!$G$2:$G$4692,MATCH($P788,Sensors_MANU!$A$2:$A$4692,0)),)</f>
        <v/>
      </c>
      <c r="O788" s="6" t="inlineStr">
        <is>
          <t>v16</t>
        </is>
      </c>
      <c r="P788" t="n">
        <v>4978834</v>
      </c>
    </row>
    <row r="789">
      <c r="B789" s="24">
        <f>IFERROR(INDEX(Companies!$A$3:$A$101,MATCH(A789,Companies!$B$3:$B$101,0)),"")</f>
        <v/>
      </c>
      <c r="C789">
        <f>IFERROR(_xlfn.IFNA(INDEX(Sensors_MANU!$F$2:$F$4692,MATCH($D789,Sensors_MANU!$B$2:$B$4692,0)),INDEX(Sensors_MANU!$F$2:$F$4692,MATCH($P789,Sensors_MANU!$A$2:$A$4692,0))),"")</f>
        <v/>
      </c>
      <c r="D789" t="inlineStr">
        <is>
          <t>FECDADB931F6</t>
        </is>
      </c>
      <c r="E789">
        <f>LEFT(D789,2)&amp;":"&amp;MID(D789,3,2)&amp;":"&amp;MID(D789,5,2)&amp;":"&amp;MID(D789,7,2)&amp;":"&amp;MID(D789,9,2)&amp;":"&amp;RIGHT(D789,2)</f>
        <v/>
      </c>
      <c r="H789" t="inlineStr">
        <is>
          <t>0E9F7BEE88EC329C</t>
        </is>
      </c>
      <c r="J789" s="65" t="inlineStr">
        <is>
          <t>PR2206-194</t>
        </is>
      </c>
      <c r="M789" s="27" t="n"/>
      <c r="N789" s="99">
        <f>IFERROR(INDEX(Sensors_MANU!$G$2:$G$4692,MATCH($P789,Sensors_MANU!$A$2:$A$4692,0)),)</f>
        <v/>
      </c>
      <c r="O789" s="6" t="inlineStr">
        <is>
          <t>v16</t>
        </is>
      </c>
      <c r="P789" t="n">
        <v>4978788</v>
      </c>
    </row>
    <row r="790">
      <c r="A790" s="32">
        <f>IFERROR(_xlfn.IFNA(INDEX(Sensors_MANU!$E$2:$E$4692,MATCH($D790,Sensors_MANU!$B$2:$B$4692,0)),INDEX(Sensors_MANU!$E$2:$E$4692,MATCH($P790,Sensors_MANU!$A$2:$A$4692,0))),"")</f>
        <v/>
      </c>
      <c r="B790" s="24" t="inlineStr">
        <is>
          <t>64818ba10166b80f8d06f5fa</t>
        </is>
      </c>
      <c r="C790">
        <f>IFERROR(_xlfn.IFNA(INDEX(Sensors_MANU!$F$2:$F$4692,MATCH($D790,Sensors_MANU!$B$2:$B$4692,0)),INDEX(Sensors_MANU!$F$2:$F$4692,MATCH($P790,Sensors_MANU!$A$2:$A$4692,0))),"")</f>
        <v/>
      </c>
      <c r="D790" t="inlineStr">
        <is>
          <t>D6C5E064636A</t>
        </is>
      </c>
      <c r="E790" s="24">
        <f>LEFT(D790,2)&amp;":"&amp;MID(D790,3,2)&amp;":"&amp;MID(D790,5,2)&amp;":"&amp;MID(D790,7,2)&amp;":"&amp;MID(D790,9,2)&amp;":"&amp;RIGHT(D790,2)</f>
        <v/>
      </c>
      <c r="F790" s="29" t="n">
        <v>45097</v>
      </c>
      <c r="G790" s="29" t="inlineStr">
        <is>
          <t>TRANSWAGG</t>
        </is>
      </c>
      <c r="H790" t="inlineStr">
        <is>
          <t>43B436810F1DC624</t>
        </is>
      </c>
      <c r="I790">
        <f>IFERROR(_xlfn.IFNA(INDEX(Sensors_MANU!$C$2:$C$4692,MATCH($D790,Sensors_MANU!$B$2:$B$4692,0)),INDEX(Sensors_MANU!$C$2:$C$4692,MATCH($P790,Sensors_MANU!$A$2:$A$4692,0))),"")</f>
        <v/>
      </c>
      <c r="J790">
        <f>IFERROR(_xlfn.IFNA(INDEX(Sensors_MANU!$D$2:$D$4692,MATCH($D790,Sensors_MANU!$B$2:$B$4692,0)),INDEX(Sensors_MANU!$D$2:$D$4692,MATCH($P790,Sensors_MANU!$A$2:$A$4692,0))),"")</f>
        <v/>
      </c>
      <c r="K790" s="27" t="inlineStr">
        <is>
          <t>33802742527-5</t>
        </is>
      </c>
      <c r="L790" s="27" t="inlineStr">
        <is>
          <t>1R</t>
        </is>
      </c>
      <c r="O790" s="6" t="inlineStr">
        <is>
          <t>V25</t>
        </is>
      </c>
    </row>
    <row r="791">
      <c r="A791" s="32">
        <f>IFERROR(_xlfn.IFNA(INDEX(Sensors_MANU!$E$2:$E$4692,MATCH($D791,Sensors_MANU!$B$2:$B$4692,0)),INDEX(Sensors_MANU!$E$2:$E$4692,MATCH($P791,Sensors_MANU!$A$2:$A$4692,0))),"")</f>
        <v/>
      </c>
      <c r="B791" s="24" t="inlineStr">
        <is>
          <t>64818ba10166b80f8d06f5fa</t>
        </is>
      </c>
      <c r="C791">
        <f>IFERROR(_xlfn.IFNA(INDEX(Sensors_MANU!$F$2:$F$4692,MATCH($D791,Sensors_MANU!$B$2:$B$4692,0)),INDEX(Sensors_MANU!$F$2:$F$4692,MATCH($P791,Sensors_MANU!$A$2:$A$4692,0))),"")</f>
        <v/>
      </c>
      <c r="D791" t="inlineStr">
        <is>
          <t>EB223CF1366C</t>
        </is>
      </c>
      <c r="E791" s="24">
        <f>LEFT(D791,2)&amp;":"&amp;MID(D791,3,2)&amp;":"&amp;MID(D791,5,2)&amp;":"&amp;MID(D791,7,2)&amp;":"&amp;MID(D791,9,2)&amp;":"&amp;RIGHT(D791,2)</f>
        <v/>
      </c>
      <c r="F791" s="29" t="n">
        <v>45090</v>
      </c>
      <c r="G791" s="29" t="inlineStr">
        <is>
          <t>VIEZO</t>
        </is>
      </c>
      <c r="H791" t="inlineStr">
        <is>
          <t>A464E73B60F8F144</t>
        </is>
      </c>
      <c r="I791">
        <f>IFERROR(_xlfn.IFNA(INDEX(Sensors_MANU!$C$2:$C$4692,MATCH($D791,Sensors_MANU!$B$2:$B$4692,0)),INDEX(Sensors_MANU!$C$2:$C$4692,MATCH($P791,Sensors_MANU!$A$2:$A$4692,0))),"")</f>
        <v/>
      </c>
      <c r="J791">
        <f>IFERROR(_xlfn.IFNA(INDEX(Sensors_MANU!$D$2:$D$4692,MATCH($D791,Sensors_MANU!$B$2:$B$4692,0)),INDEX(Sensors_MANU!$D$2:$D$4692,MATCH($P791,Sensors_MANU!$A$2:$A$4692,0))),"")</f>
        <v/>
      </c>
      <c r="K791" s="27" t="inlineStr">
        <is>
          <t>33802742608-3</t>
        </is>
      </c>
      <c r="L791" s="27" t="inlineStr">
        <is>
          <t>2L</t>
        </is>
      </c>
      <c r="O791" s="6" t="inlineStr">
        <is>
          <t>V25</t>
        </is>
      </c>
    </row>
    <row r="792">
      <c r="A792" s="32">
        <f>IFERROR(_xlfn.IFNA(INDEX(Sensors_MANU!$E$2:$E$4692,MATCH($D792,Sensors_MANU!$B$2:$B$4692,0)),INDEX(Sensors_MANU!$E$2:$E$4692,MATCH($P792,Sensors_MANU!$A$2:$A$4692,0))),"")</f>
        <v/>
      </c>
      <c r="B792" s="24">
        <f>IFERROR(INDEX(Companies!$A$3:$A$101,MATCH(A792,Companies!$B$3:$B$101,0)),"")</f>
        <v/>
      </c>
      <c r="C792">
        <f>IFERROR(_xlfn.IFNA(INDEX(Sensors_MANU!$F$2:$F$4692,MATCH($D792,Sensors_MANU!$B$2:$B$4692,0)),INDEX(Sensors_MANU!$F$2:$F$4692,MATCH($P792,Sensors_MANU!$A$2:$A$4692,0))),"")</f>
        <v/>
      </c>
      <c r="D792" t="inlineStr">
        <is>
          <t>D7F3505E9344</t>
        </is>
      </c>
      <c r="E792">
        <f>LEFT(D792,2)&amp;":"&amp;MID(D792,3,2)&amp;":"&amp;MID(D792,5,2)&amp;":"&amp;MID(D792,7,2)&amp;":"&amp;MID(D792,9,2)&amp;":"&amp;RIGHT(D792,2)</f>
        <v/>
      </c>
      <c r="H792" t="inlineStr">
        <is>
          <t>AFD5F350AF587E55</t>
        </is>
      </c>
      <c r="I792">
        <f>IFERROR(_xlfn.IFNA(INDEX(Sensors_MANU!$C$2:$C$4692,MATCH($D792,Sensors_MANU!$B$2:$B$4692,0)),INDEX(Sensors_MANU!$C$2:$C$4692,MATCH($P792,Sensors_MANU!$A$2:$A$4692,0))),"")</f>
        <v/>
      </c>
      <c r="J792">
        <f>IFERROR(_xlfn.IFNA(INDEX(Sensors_MANU!$D$2:$D$4692,MATCH($D792,Sensors_MANU!$B$2:$B$4692,0)),INDEX(Sensors_MANU!$D$2:$D$4692,MATCH($P792,Sensors_MANU!$A$2:$A$4692,0))),"")</f>
        <v/>
      </c>
      <c r="K792" s="27" t="inlineStr">
        <is>
          <t>31-56-5941001-5</t>
        </is>
      </c>
      <c r="L792" s="27" t="inlineStr">
        <is>
          <t>2R</t>
        </is>
      </c>
      <c r="M792" s="27" t="n"/>
      <c r="N792" s="99">
        <f>IFERROR(INDEX(Sensors_MANU!$G$2:$G$4692,MATCH($P792,Sensors_MANU!$A$2:$A$4692,0)),)</f>
        <v/>
      </c>
      <c r="O792" s="6" t="inlineStr">
        <is>
          <t>v16</t>
        </is>
      </c>
      <c r="P792" t="n">
        <v>4978622</v>
      </c>
    </row>
    <row r="793">
      <c r="B793" s="24">
        <f>IFERROR(INDEX(Companies!$A$3:$A$101,MATCH(A793,Companies!$B$3:$B$101,0)),"")</f>
        <v/>
      </c>
      <c r="C793">
        <f>IFERROR(_xlfn.IFNA(INDEX(Sensors_MANU!$F$2:$F$4692,MATCH($D793,Sensors_MANU!$B$2:$B$4692,0)),INDEX(Sensors_MANU!$F$2:$F$4692,MATCH($P793,Sensors_MANU!$A$2:$A$4692,0))),"")</f>
        <v/>
      </c>
      <c r="D793" t="inlineStr">
        <is>
          <t>E054198265AF</t>
        </is>
      </c>
      <c r="E793" s="24">
        <f>LEFT(D793,2)&amp;":"&amp;MID(D793,3,2)&amp;":"&amp;MID(D793,5,2)&amp;":"&amp;MID(D793,7,2)&amp;":"&amp;MID(D793,9,2)&amp;":"&amp;RIGHT(D793,2)</f>
        <v/>
      </c>
      <c r="H793" t="inlineStr">
        <is>
          <t>BA038B5E7F230EC4</t>
        </is>
      </c>
      <c r="I793">
        <f>IFERROR(_xlfn.IFNA(INDEX(Sensors_MANU!$C$2:$C$4692,MATCH($D793,Sensors_MANU!$B$2:$B$4692,0)),INDEX(Sensors_MANU!$C$2:$C$4692,MATCH($P793,Sensors_MANU!$A$2:$A$4692,0))),"")</f>
        <v/>
      </c>
      <c r="J793">
        <f>IFERROR(_xlfn.IFNA(INDEX(Sensors_MANU!$D$2:$D$4692,MATCH($D793,Sensors_MANU!$B$2:$B$4692,0)),INDEX(Sensors_MANU!$D$2:$D$4692,MATCH($P793,Sensors_MANU!$A$2:$A$4692,0))),"")</f>
        <v/>
      </c>
      <c r="O793" s="6" t="inlineStr">
        <is>
          <t>V24</t>
        </is>
      </c>
    </row>
    <row r="794">
      <c r="B794" s="24">
        <f>IFERROR(INDEX(Companies!$A$3:$A$101,MATCH(A794,Companies!$B$3:$B$101,0)),"")</f>
        <v/>
      </c>
      <c r="C794">
        <f>IFERROR(_xlfn.IFNA(INDEX(Sensors_MANU!$F$2:$F$4692,MATCH($D794,Sensors_MANU!$B$2:$B$4692,0)),INDEX(Sensors_MANU!$F$2:$F$4692,MATCH($P794,Sensors_MANU!$A$2:$A$4692,0))),"")</f>
        <v/>
      </c>
      <c r="D794" t="inlineStr">
        <is>
          <t>F12B4257E70D</t>
        </is>
      </c>
      <c r="E794" s="24">
        <f>LEFT(D794,2)&amp;":"&amp;MID(D794,3,2)&amp;":"&amp;MID(D794,5,2)&amp;":"&amp;MID(D794,7,2)&amp;":"&amp;MID(D794,9,2)&amp;":"&amp;RIGHT(D794,2)</f>
        <v/>
      </c>
      <c r="H794" t="inlineStr">
        <is>
          <t>D79FFDF07C047E06</t>
        </is>
      </c>
      <c r="I794">
        <f>IFERROR(_xlfn.IFNA(INDEX(Sensors_MANU!$C$2:$C$4692,MATCH($D794,Sensors_MANU!$B$2:$B$4692,0)),INDEX(Sensors_MANU!$C$2:$C$4692,MATCH($P794,Sensors_MANU!$A$2:$A$4692,0))),"")</f>
        <v/>
      </c>
      <c r="J794">
        <f>IFERROR(_xlfn.IFNA(INDEX(Sensors_MANU!$D$2:$D$4692,MATCH($D794,Sensors_MANU!$B$2:$B$4692,0)),INDEX(Sensors_MANU!$D$2:$D$4692,MATCH($P794,Sensors_MANU!$A$2:$A$4692,0))),"")</f>
        <v/>
      </c>
      <c r="O794" s="6" t="inlineStr">
        <is>
          <t>V23</t>
        </is>
      </c>
    </row>
    <row r="795">
      <c r="A795" s="32">
        <f>IFERROR(_xlfn.IFNA(INDEX(Sensors_MANU!$E$2:$E$4692,MATCH($D795,Sensors_MANU!$B$2:$B$4692,0)),INDEX(Sensors_MANU!$E$2:$E$4692,MATCH($P795,Sensors_MANU!$A$2:$A$4692,0))),"")</f>
        <v/>
      </c>
      <c r="B795" s="24" t="inlineStr">
        <is>
          <t>64818ba10166b80f8d06f5fa</t>
        </is>
      </c>
      <c r="C795">
        <f>IFERROR(_xlfn.IFNA(INDEX(Sensors_MANU!$F$2:$F$4692,MATCH($D795,Sensors_MANU!$B$2:$B$4692,0)),INDEX(Sensors_MANU!$F$2:$F$4692,MATCH($P795,Sensors_MANU!$A$2:$A$4692,0))),"")</f>
        <v/>
      </c>
      <c r="D795" t="inlineStr">
        <is>
          <t>EFC519DC2BC3</t>
        </is>
      </c>
      <c r="E795" s="24">
        <f>LEFT(D795,2)&amp;":"&amp;MID(D795,3,2)&amp;":"&amp;MID(D795,5,2)&amp;":"&amp;MID(D795,7,2)&amp;":"&amp;MID(D795,9,2)&amp;":"&amp;RIGHT(D795,2)</f>
        <v/>
      </c>
      <c r="F795" s="29" t="n">
        <v>45090</v>
      </c>
      <c r="G795" s="29" t="inlineStr">
        <is>
          <t>VIEZO</t>
        </is>
      </c>
      <c r="H795" s="18" t="inlineStr">
        <is>
          <t>275E102430A0091B</t>
        </is>
      </c>
      <c r="I795">
        <f>IFERROR(_xlfn.IFNA(INDEX(Sensors_MANU!$C$2:$C$4692,MATCH($D795,Sensors_MANU!$B$2:$B$4692,0)),INDEX(Sensors_MANU!$C$2:$C$4692,MATCH($P795,Sensors_MANU!$A$2:$A$4692,0))),"")</f>
        <v/>
      </c>
      <c r="J795">
        <f>IFERROR(_xlfn.IFNA(INDEX(Sensors_MANU!$D$2:$D$4692,MATCH($D795,Sensors_MANU!$B$2:$B$4692,0)),INDEX(Sensors_MANU!$D$2:$D$4692,MATCH($P795,Sensors_MANU!$A$2:$A$4692,0))),"")</f>
        <v/>
      </c>
      <c r="K795" s="27" t="inlineStr">
        <is>
          <t>33802742608-3</t>
        </is>
      </c>
      <c r="L795" s="27" t="inlineStr">
        <is>
          <t>1R</t>
        </is>
      </c>
      <c r="O795" s="6" t="inlineStr">
        <is>
          <t>V25</t>
        </is>
      </c>
    </row>
    <row r="796">
      <c r="B796" s="24">
        <f>IFERROR(INDEX(Companies!$A$3:$A$101,MATCH(A796,Companies!$B$3:$B$101,0)),"")</f>
        <v/>
      </c>
      <c r="C796">
        <f>IFERROR(_xlfn.IFNA(INDEX(Sensors_MANU!$F$2:$F$4692,MATCH($D796,Sensors_MANU!$B$2:$B$4692,0)),INDEX(Sensors_MANU!$F$2:$F$4692,MATCH($P796,Sensors_MANU!$A$2:$A$4692,0))),"")</f>
        <v/>
      </c>
      <c r="D796" t="inlineStr">
        <is>
          <t>FC5A8DDEA1E4</t>
        </is>
      </c>
      <c r="E796" s="24">
        <f>LEFT(D796,2)&amp;":"&amp;MID(D796,3,2)&amp;":"&amp;MID(D796,5,2)&amp;":"&amp;MID(D796,7,2)&amp;":"&amp;MID(D796,9,2)&amp;":"&amp;RIGHT(D796,2)</f>
        <v/>
      </c>
      <c r="H796" t="inlineStr">
        <is>
          <t>042D69F4B4BAA15D</t>
        </is>
      </c>
      <c r="I796">
        <f>IFERROR(_xlfn.IFNA(INDEX(Sensors_MANU!$C$2:$C$4692,MATCH($D796,Sensors_MANU!$B$2:$B$4692,0)),INDEX(Sensors_MANU!$C$2:$C$4692,MATCH($P796,Sensors_MANU!$A$2:$A$4692,0))),"")</f>
        <v/>
      </c>
      <c r="J796">
        <f>IFERROR(_xlfn.IFNA(INDEX(Sensors_MANU!$D$2:$D$4692,MATCH($D796,Sensors_MANU!$B$2:$B$4692,0)),INDEX(Sensors_MANU!$D$2:$D$4692,MATCH($P796,Sensors_MANU!$A$2:$A$4692,0))),"")</f>
        <v/>
      </c>
      <c r="O796" s="6" t="inlineStr">
        <is>
          <t>V23</t>
        </is>
      </c>
    </row>
    <row r="797">
      <c r="B797" s="24">
        <f>IFERROR(INDEX(Companies!$A$3:$A$101,MATCH(A797,Companies!$B$3:$B$101,0)),"")</f>
        <v/>
      </c>
      <c r="C797">
        <f>IFERROR(_xlfn.IFNA(INDEX(Sensors_MANU!$F$2:$F$4692,MATCH($D797,Sensors_MANU!$B$2:$B$4692,0)),INDEX(Sensors_MANU!$F$2:$F$4692,MATCH($P797,Sensors_MANU!$A$2:$A$4692,0))),"")</f>
        <v/>
      </c>
      <c r="D797" t="inlineStr">
        <is>
          <t>C88424CA511A</t>
        </is>
      </c>
      <c r="E797">
        <f>LEFT(D797,2)&amp;":"&amp;MID(D797,3,2)&amp;":"&amp;MID(D797,5,2)&amp;":"&amp;MID(D797,7,2)&amp;":"&amp;MID(D797,9,2)&amp;":"&amp;RIGHT(D797,2)</f>
        <v/>
      </c>
      <c r="H797" t="inlineStr">
        <is>
          <t>137CD04D8025D269</t>
        </is>
      </c>
      <c r="I797">
        <f>IFERROR(_xlfn.IFNA(INDEX(Sensors_MANU!$C$2:$C$4692,MATCH($D797,Sensors_MANU!$B$2:$B$4692,0)),INDEX(Sensors_MANU!$C$2:$C$4692,MATCH($P797,Sensors_MANU!$A$2:$A$4692,0))),"")</f>
        <v/>
      </c>
      <c r="J797" s="65" t="inlineStr">
        <is>
          <t>PR2206-205</t>
        </is>
      </c>
      <c r="M797" s="27" t="n"/>
      <c r="N797" s="99">
        <f>IFERROR(INDEX(Sensors_MANU!$G$2:$G$4692,MATCH($P797,Sensors_MANU!$A$2:$A$4692,0)),)</f>
        <v/>
      </c>
      <c r="O797" s="6" t="inlineStr">
        <is>
          <t>v16</t>
        </is>
      </c>
      <c r="P797" t="n">
        <v>4978507</v>
      </c>
    </row>
    <row r="798">
      <c r="B798" s="24">
        <f>IFERROR(INDEX(Companies!$A$3:$A$101,MATCH(A798,Companies!$B$3:$B$101,0)),"")</f>
        <v/>
      </c>
      <c r="C798">
        <f>IFERROR(_xlfn.IFNA(INDEX(Sensors_MANU!$F$2:$F$4692,MATCH($D798,Sensors_MANU!$B$2:$B$4692,0)),INDEX(Sensors_MANU!$F$2:$F$4692,MATCH($P798,Sensors_MANU!$A$2:$A$4692,0))),"")</f>
        <v/>
      </c>
      <c r="D798" t="inlineStr">
        <is>
          <t>E64B61BAE4C5</t>
        </is>
      </c>
      <c r="E798" s="24">
        <f>LEFT(D798,2)&amp;":"&amp;MID(D798,3,2)&amp;":"&amp;MID(D798,5,2)&amp;":"&amp;MID(D798,7,2)&amp;":"&amp;MID(D798,9,2)&amp;":"&amp;RIGHT(D798,2)</f>
        <v/>
      </c>
      <c r="H798" t="inlineStr">
        <is>
          <t>353C77AE54D634F7</t>
        </is>
      </c>
      <c r="I798">
        <f>IFERROR(_xlfn.IFNA(INDEX(Sensors_MANU!$C$2:$C$4692,MATCH($D798,Sensors_MANU!$B$2:$B$4692,0)),INDEX(Sensors_MANU!$C$2:$C$4692,MATCH($P798,Sensors_MANU!$A$2:$A$4692,0))),"")</f>
        <v/>
      </c>
      <c r="J798">
        <f>IFERROR(_xlfn.IFNA(INDEX(Sensors_MANU!$D$2:$D$4692,MATCH($D798,Sensors_MANU!$B$2:$B$4692,0)),INDEX(Sensors_MANU!$D$2:$D$4692,MATCH($P798,Sensors_MANU!$A$2:$A$4692,0))),"")</f>
        <v/>
      </c>
      <c r="O798" s="6" t="inlineStr">
        <is>
          <t>V24</t>
        </is>
      </c>
    </row>
    <row r="799">
      <c r="A799" s="32">
        <f>IFERROR(_xlfn.IFNA(INDEX(Sensors_MANU!$E$2:$E$4692,MATCH($D799,Sensors_MANU!$B$2:$B$4692,0)),INDEX(Sensors_MANU!$E$2:$E$4692,MATCH($P799,Sensors_MANU!$A$2:$A$4692,0))),"")</f>
        <v/>
      </c>
      <c r="B799" s="24" t="inlineStr">
        <is>
          <t>64818ba10166b80f8d06f5fa</t>
        </is>
      </c>
      <c r="C799">
        <f>IFERROR(_xlfn.IFNA(INDEX(Sensors_MANU!$F$2:$F$4692,MATCH($D799,Sensors_MANU!$B$2:$B$4692,0)),INDEX(Sensors_MANU!$F$2:$F$4692,MATCH($P799,Sensors_MANU!$A$2:$A$4692,0))),"")</f>
        <v/>
      </c>
      <c r="D799" t="inlineStr">
        <is>
          <t>E45A9785D170</t>
        </is>
      </c>
      <c r="E799" s="24">
        <f>LEFT(D799,2)&amp;":"&amp;MID(D799,3,2)&amp;":"&amp;MID(D799,5,2)&amp;":"&amp;MID(D799,7,2)&amp;":"&amp;MID(D799,9,2)&amp;":"&amp;RIGHT(D799,2)</f>
        <v/>
      </c>
      <c r="F799" s="29" t="n">
        <v>45090</v>
      </c>
      <c r="G799" s="29" t="inlineStr">
        <is>
          <t>VIEZO</t>
        </is>
      </c>
      <c r="H799" t="inlineStr">
        <is>
          <t>AC9B38542CD5716A</t>
        </is>
      </c>
      <c r="I799">
        <f>IFERROR(_xlfn.IFNA(INDEX(Sensors_MANU!$C$2:$C$4692,MATCH($D799,Sensors_MANU!$B$2:$B$4692,0)),INDEX(Sensors_MANU!$C$2:$C$4692,MATCH($P799,Sensors_MANU!$A$2:$A$4692,0))),"")</f>
        <v/>
      </c>
      <c r="J799">
        <f>IFERROR(_xlfn.IFNA(INDEX(Sensors_MANU!$D$2:$D$4692,MATCH($D799,Sensors_MANU!$B$2:$B$4692,0)),INDEX(Sensors_MANU!$D$2:$D$4692,MATCH($P799,Sensors_MANU!$A$2:$A$4692,0))),"")</f>
        <v/>
      </c>
      <c r="K799" s="27" t="inlineStr">
        <is>
          <t>33802742265-2</t>
        </is>
      </c>
      <c r="L799" s="27" t="inlineStr">
        <is>
          <t>1R</t>
        </is>
      </c>
      <c r="O799" s="6" t="inlineStr">
        <is>
          <t>V25</t>
        </is>
      </c>
    </row>
    <row r="800">
      <c r="B800" s="24">
        <f>IFERROR(INDEX(Companies!$A$3:$A$101,MATCH(A800,Companies!$B$3:$B$101,0)),"")</f>
        <v/>
      </c>
      <c r="C800">
        <f>IFERROR(_xlfn.IFNA(INDEX(Sensors_MANU!$F$2:$F$4692,MATCH($D800,Sensors_MANU!$B$2:$B$4692,0)),INDEX(Sensors_MANU!$F$2:$F$4692,MATCH($P800,Sensors_MANU!$A$2:$A$4692,0))),"")</f>
        <v/>
      </c>
      <c r="D800" t="inlineStr">
        <is>
          <t>EC37F7270269</t>
        </is>
      </c>
      <c r="E800" s="24">
        <f>LEFT(D800,2)&amp;":"&amp;MID(D800,3,2)&amp;":"&amp;MID(D800,5,2)&amp;":"&amp;MID(D800,7,2)&amp;":"&amp;MID(D800,9,2)&amp;":"&amp;RIGHT(D800,2)</f>
        <v/>
      </c>
      <c r="H800" t="inlineStr">
        <is>
          <t>C6C206AB09F3541C</t>
        </is>
      </c>
      <c r="I800">
        <f>IFERROR(_xlfn.IFNA(INDEX(Sensors_MANU!$C$2:$C$4692,MATCH($D800,Sensors_MANU!$B$2:$B$4692,0)),INDEX(Sensors_MANU!$C$2:$C$4692,MATCH($P800,Sensors_MANU!$A$2:$A$4692,0))),"")</f>
        <v/>
      </c>
      <c r="J800">
        <f>IFERROR(_xlfn.IFNA(INDEX(Sensors_MANU!$D$2:$D$4692,MATCH($D800,Sensors_MANU!$B$2:$B$4692,0)),INDEX(Sensors_MANU!$D$2:$D$4692,MATCH($P800,Sensors_MANU!$A$2:$A$4692,0))),"")</f>
        <v/>
      </c>
      <c r="O800" s="6" t="inlineStr">
        <is>
          <t>V24</t>
        </is>
      </c>
    </row>
    <row r="801">
      <c r="B801" s="24">
        <f>IFERROR(INDEX(Companies!$A$3:$A$101,MATCH(A801,Companies!$B$3:$B$101,0)),"")</f>
        <v/>
      </c>
      <c r="C801">
        <f>IFERROR(_xlfn.IFNA(INDEX(Sensors_MANU!$F$2:$F$4692,MATCH($D801,Sensors_MANU!$B$2:$B$4692,0)),INDEX(Sensors_MANU!$F$2:$F$4692,MATCH($P801,Sensors_MANU!$A$2:$A$4692,0))),"")</f>
        <v/>
      </c>
      <c r="D801" t="inlineStr">
        <is>
          <t>EEEEAA9A8C32</t>
        </is>
      </c>
      <c r="E801" s="24">
        <f>LEFT(D801,2)&amp;":"&amp;MID(D801,3,2)&amp;":"&amp;MID(D801,5,2)&amp;":"&amp;MID(D801,7,2)&amp;":"&amp;MID(D801,9,2)&amp;":"&amp;RIGHT(D801,2)</f>
        <v/>
      </c>
      <c r="H801" t="inlineStr">
        <is>
          <t>CA54E58936363F94</t>
        </is>
      </c>
      <c r="I801">
        <f>IFERROR(_xlfn.IFNA(INDEX(Sensors_MANU!$C$2:$C$4692,MATCH($D801,Sensors_MANU!$B$2:$B$4692,0)),INDEX(Sensors_MANU!$C$2:$C$4692,MATCH($P801,Sensors_MANU!$A$2:$A$4692,0))),"")</f>
        <v/>
      </c>
      <c r="J801">
        <f>IFERROR(_xlfn.IFNA(INDEX(Sensors_MANU!$D$2:$D$4692,MATCH($D801,Sensors_MANU!$B$2:$B$4692,0)),INDEX(Sensors_MANU!$D$2:$D$4692,MATCH($P801,Sensors_MANU!$A$2:$A$4692,0))),"")</f>
        <v/>
      </c>
      <c r="O801" s="6" t="inlineStr">
        <is>
          <t>V24</t>
        </is>
      </c>
    </row>
    <row r="802">
      <c r="B802" s="24">
        <f>IFERROR(INDEX(Companies!$A$3:$A$101,MATCH(A802,Companies!$B$3:$B$101,0)),"")</f>
        <v/>
      </c>
      <c r="C802">
        <f>IFERROR(_xlfn.IFNA(INDEX(Sensors_MANU!$F$2:$F$4692,MATCH($D802,Sensors_MANU!$B$2:$B$4692,0)),INDEX(Sensors_MANU!$F$2:$F$4692,MATCH($P802,Sensors_MANU!$A$2:$A$4692,0))),"")</f>
        <v/>
      </c>
      <c r="D802" t="inlineStr">
        <is>
          <t>F207722FD709</t>
        </is>
      </c>
      <c r="E802" s="24">
        <f>LEFT(D802,2)&amp;":"&amp;MID(D802,3,2)&amp;":"&amp;MID(D802,5,2)&amp;":"&amp;MID(D802,7,2)&amp;":"&amp;MID(D802,9,2)&amp;":"&amp;RIGHT(D802,2)</f>
        <v/>
      </c>
      <c r="H802" t="inlineStr">
        <is>
          <t>8B437D1C76B378A5</t>
        </is>
      </c>
      <c r="I802">
        <f>IFERROR(_xlfn.IFNA(INDEX(Sensors_MANU!$C$2:$C$4692,MATCH($D802,Sensors_MANU!$B$2:$B$4692,0)),INDEX(Sensors_MANU!$C$2:$C$4692,MATCH($P802,Sensors_MANU!$A$2:$A$4692,0))),"")</f>
        <v/>
      </c>
      <c r="J802">
        <f>IFERROR(_xlfn.IFNA(INDEX(Sensors_MANU!$D$2:$D$4692,MATCH($D802,Sensors_MANU!$B$2:$B$4692,0)),INDEX(Sensors_MANU!$D$2:$D$4692,MATCH($P802,Sensors_MANU!$A$2:$A$4692,0))),"")</f>
        <v/>
      </c>
      <c r="O802" s="6" t="inlineStr">
        <is>
          <t>V24</t>
        </is>
      </c>
    </row>
    <row r="803">
      <c r="B803" s="24">
        <f>IFERROR(INDEX(Companies!$A$3:$A$101,MATCH(A803,Companies!$B$3:$B$101,0)),"")</f>
        <v/>
      </c>
      <c r="C803">
        <f>IFERROR(_xlfn.IFNA(INDEX(Sensors_MANU!$F$2:$F$4692,MATCH($D803,Sensors_MANU!$B$2:$B$4692,0)),INDEX(Sensors_MANU!$F$2:$F$4692,MATCH($P803,Sensors_MANU!$A$2:$A$4692,0))),"")</f>
        <v/>
      </c>
      <c r="D803" t="inlineStr">
        <is>
          <t>FC41C64CD0C5</t>
        </is>
      </c>
      <c r="E803" s="24">
        <f>LEFT(D803,2)&amp;":"&amp;MID(D803,3,2)&amp;":"&amp;MID(D803,5,2)&amp;":"&amp;MID(D803,7,2)&amp;":"&amp;MID(D803,9,2)&amp;":"&amp;RIGHT(D803,2)</f>
        <v/>
      </c>
      <c r="H803" t="inlineStr">
        <is>
          <t>536DC1DD89888D75</t>
        </is>
      </c>
      <c r="I803">
        <f>IFERROR(_xlfn.IFNA(INDEX(Sensors_MANU!$C$2:$C$4692,MATCH($D803,Sensors_MANU!$B$2:$B$4692,0)),INDEX(Sensors_MANU!$C$2:$C$4692,MATCH($P803,Sensors_MANU!$A$2:$A$4692,0))),"")</f>
        <v/>
      </c>
      <c r="J803">
        <f>IFERROR(_xlfn.IFNA(INDEX(Sensors_MANU!$D$2:$D$4692,MATCH($D803,Sensors_MANU!$B$2:$B$4692,0)),INDEX(Sensors_MANU!$D$2:$D$4692,MATCH($P803,Sensors_MANU!$A$2:$A$4692,0))),"")</f>
        <v/>
      </c>
      <c r="O803" s="6" t="inlineStr">
        <is>
          <t>V24</t>
        </is>
      </c>
    </row>
    <row r="804">
      <c r="A804" s="32">
        <f>IFERROR(_xlfn.IFNA(INDEX(Sensors_MANU!$E$2:$E$4692,MATCH($D804,Sensors_MANU!$B$2:$B$4692,0)),INDEX(Sensors_MANU!$E$2:$E$4692,MATCH($P804,Sensors_MANU!$A$2:$A$4692,0))),"")</f>
        <v/>
      </c>
      <c r="B804" s="24" t="inlineStr">
        <is>
          <t>64818ba10166b80f8d06f5fa</t>
        </is>
      </c>
      <c r="C804">
        <f>IFERROR(_xlfn.IFNA(INDEX(Sensors_MANU!$F$2:$F$4692,MATCH($D804,Sensors_MANU!$B$2:$B$4692,0)),INDEX(Sensors_MANU!$F$2:$F$4692,MATCH($P804,Sensors_MANU!$A$2:$A$4692,0))),"")</f>
        <v/>
      </c>
      <c r="D804" t="inlineStr">
        <is>
          <t>D0FDF83E1532</t>
        </is>
      </c>
      <c r="E804" s="24">
        <f>LEFT(D804,2)&amp;":"&amp;MID(D804,3,2)&amp;":"&amp;MID(D804,5,2)&amp;":"&amp;MID(D804,7,2)&amp;":"&amp;MID(D804,9,2)&amp;":"&amp;RIGHT(D804,2)</f>
        <v/>
      </c>
      <c r="F804" s="29" t="n">
        <v>45090</v>
      </c>
      <c r="G804" s="29" t="inlineStr">
        <is>
          <t>VIEZO</t>
        </is>
      </c>
      <c r="H804" t="inlineStr">
        <is>
          <t>ACD80103993A523C</t>
        </is>
      </c>
      <c r="I804">
        <f>IFERROR(_xlfn.IFNA(INDEX(Sensors_MANU!$C$2:$C$4692,MATCH($D804,Sensors_MANU!$B$2:$B$4692,0)),INDEX(Sensors_MANU!$C$2:$C$4692,MATCH($P804,Sensors_MANU!$A$2:$A$4692,0))),"")</f>
        <v/>
      </c>
      <c r="J804">
        <f>IFERROR(_xlfn.IFNA(INDEX(Sensors_MANU!$D$2:$D$4692,MATCH($D804,Sensors_MANU!$B$2:$B$4692,0)),INDEX(Sensors_MANU!$D$2:$D$4692,MATCH($P804,Sensors_MANU!$A$2:$A$4692,0))),"")</f>
        <v/>
      </c>
      <c r="K804" s="27" t="inlineStr">
        <is>
          <t>33802742207-4</t>
        </is>
      </c>
      <c r="L804" s="27" t="inlineStr">
        <is>
          <t>3L</t>
        </is>
      </c>
      <c r="O804" s="6" t="inlineStr">
        <is>
          <t>V25</t>
        </is>
      </c>
    </row>
    <row r="805">
      <c r="A805" s="32">
        <f>IFERROR(_xlfn.IFNA(INDEX(Sensors_MANU!$E$2:$E$4692,MATCH($D805,Sensors_MANU!$B$2:$B$4692,0)),INDEX(Sensors_MANU!$E$2:$E$4692,MATCH($P805,Sensors_MANU!$A$2:$A$4692,0))),"")</f>
        <v/>
      </c>
      <c r="B805" s="24">
        <f>IFERROR(INDEX(Companies!$A$3:$A$101,MATCH(A805,Companies!$B$3:$B$101,0)),"")</f>
        <v/>
      </c>
      <c r="C805">
        <f>IFERROR(_xlfn.IFNA(INDEX(Sensors_MANU!$F$2:$F$4692,MATCH($D805,Sensors_MANU!$B$2:$B$4692,0)),INDEX(Sensors_MANU!$F$2:$F$4692,MATCH($P805,Sensors_MANU!$A$2:$A$4692,0))),"")</f>
        <v/>
      </c>
      <c r="D805" t="inlineStr">
        <is>
          <t>DDE1DE85E976</t>
        </is>
      </c>
      <c r="E805" s="24">
        <f>LEFT(D805,2)&amp;":"&amp;MID(D805,3,2)&amp;":"&amp;MID(D805,5,2)&amp;":"&amp;MID(D805,7,2)&amp;":"&amp;MID(D805,9,2)&amp;":"&amp;RIGHT(D805,2)</f>
        <v/>
      </c>
      <c r="F805" s="29" t="n">
        <v>44832</v>
      </c>
      <c r="G805" s="29" t="inlineStr">
        <is>
          <t>Hupac</t>
        </is>
      </c>
      <c r="H805" t="inlineStr">
        <is>
          <t>135DE7223ECFA717</t>
        </is>
      </c>
      <c r="I805">
        <f>IFERROR(_xlfn.IFNA(INDEX(Sensors_MANU!$C$2:$C$4692,MATCH($D805,Sensors_MANU!$B$2:$B$4692,0)),INDEX(Sensors_MANU!$C$2:$C$4692,MATCH($P805,Sensors_MANU!$A$2:$A$4692,0))),"")</f>
        <v/>
      </c>
      <c r="J805">
        <f>IFERROR(_xlfn.IFNA(INDEX(Sensors_MANU!$D$2:$D$4692,MATCH($D805,Sensors_MANU!$B$2:$B$4692,0)),INDEX(Sensors_MANU!$D$2:$D$4692,MATCH($P805,Sensors_MANU!$A$2:$A$4692,0))),"")</f>
        <v/>
      </c>
      <c r="K805" s="27" t="inlineStr">
        <is>
          <t>33-85-4511-082-1</t>
        </is>
      </c>
      <c r="L805" s="27" t="inlineStr">
        <is>
          <t>5a</t>
        </is>
      </c>
      <c r="M805" s="61" t="inlineStr">
        <is>
          <t>88112027</t>
        </is>
      </c>
      <c r="O805" s="6" t="inlineStr">
        <is>
          <t>V24</t>
        </is>
      </c>
    </row>
    <row r="806">
      <c r="B806" s="24">
        <f>IFERROR(INDEX(Companies!$A$3:$A$101,MATCH(A806,Companies!$B$3:$B$101,0)),"")</f>
        <v/>
      </c>
      <c r="C806">
        <f>IFERROR(_xlfn.IFNA(INDEX(Sensors_MANU!$F$2:$F$4692,MATCH($D806,Sensors_MANU!$B$2:$B$4692,0)),INDEX(Sensors_MANU!$F$2:$F$4692,MATCH($P806,Sensors_MANU!$A$2:$A$4692,0))),"")</f>
        <v/>
      </c>
      <c r="D806" t="inlineStr">
        <is>
          <t>E578FBFD46B4</t>
        </is>
      </c>
      <c r="E806" s="24">
        <f>LEFT(D806,2)&amp;":"&amp;MID(D806,3,2)&amp;":"&amp;MID(D806,5,2)&amp;":"&amp;MID(D806,7,2)&amp;":"&amp;MID(D806,9,2)&amp;":"&amp;RIGHT(D806,2)</f>
        <v/>
      </c>
      <c r="H806" t="inlineStr">
        <is>
          <t>22AFF51B6C1ED420</t>
        </is>
      </c>
      <c r="I806">
        <f>IFERROR(_xlfn.IFNA(INDEX(Sensors_MANU!$C$2:$C$4692,MATCH($D806,Sensors_MANU!$B$2:$B$4692,0)),INDEX(Sensors_MANU!$C$2:$C$4692,MATCH($P806,Sensors_MANU!$A$2:$A$4692,0))),"")</f>
        <v/>
      </c>
      <c r="J806">
        <f>IFERROR(_xlfn.IFNA(INDEX(Sensors_MANU!$D$2:$D$4692,MATCH($D806,Sensors_MANU!$B$2:$B$4692,0)),INDEX(Sensors_MANU!$D$2:$D$4692,MATCH($P806,Sensors_MANU!$A$2:$A$4692,0))),"")</f>
        <v/>
      </c>
      <c r="O806" s="6" t="inlineStr">
        <is>
          <t>V24</t>
        </is>
      </c>
    </row>
    <row r="807">
      <c r="A807" s="32">
        <f>IFERROR(_xlfn.IFNA(INDEX(Sensors_MANU!$E$2:$E$4692,MATCH($D807,Sensors_MANU!$B$2:$B$4692,0)),INDEX(Sensors_MANU!$E$2:$E$4692,MATCH($P807,Sensors_MANU!$A$2:$A$4692,0))),"")</f>
        <v/>
      </c>
      <c r="B807" s="24">
        <f>IFERROR(INDEX(Companies!$A$3:$A$101,MATCH(A807,Companies!$B$3:$B$101,0)),"")</f>
        <v/>
      </c>
      <c r="C807">
        <f>IFERROR(_xlfn.IFNA(INDEX(Sensors_MANU!$F$2:$F$4692,MATCH($D807,Sensors_MANU!$B$2:$B$4692,0)),INDEX(Sensors_MANU!$F$2:$F$4692,MATCH($P807,Sensors_MANU!$A$2:$A$4692,0))),"")</f>
        <v/>
      </c>
      <c r="D807" t="inlineStr">
        <is>
          <t>F1084A47D17C</t>
        </is>
      </c>
      <c r="E807" s="24">
        <f>LEFT(D807,2)&amp;":"&amp;MID(D807,3,2)&amp;":"&amp;MID(D807,5,2)&amp;":"&amp;MID(D807,7,2)&amp;":"&amp;MID(D807,9,2)&amp;":"&amp;RIGHT(D807,2)</f>
        <v/>
      </c>
      <c r="F807" s="29" t="n">
        <v>44832</v>
      </c>
      <c r="G807" s="29" t="inlineStr">
        <is>
          <t>Hupac</t>
        </is>
      </c>
      <c r="H807" t="inlineStr">
        <is>
          <t>1FD668FBCAE055C5</t>
        </is>
      </c>
      <c r="I807">
        <f>IFERROR(_xlfn.IFNA(INDEX(Sensors_MANU!$C$2:$C$4692,MATCH($D807,Sensors_MANU!$B$2:$B$4692,0)),INDEX(Sensors_MANU!$C$2:$C$4692,MATCH($P807,Sensors_MANU!$A$2:$A$4692,0))),"")</f>
        <v/>
      </c>
      <c r="J807">
        <f>IFERROR(_xlfn.IFNA(INDEX(Sensors_MANU!$D$2:$D$4692,MATCH($D807,Sensors_MANU!$B$2:$B$4692,0)),INDEX(Sensors_MANU!$D$2:$D$4692,MATCH($P807,Sensors_MANU!$A$2:$A$4692,0))),"")</f>
        <v/>
      </c>
      <c r="K807" s="27" t="inlineStr">
        <is>
          <t>33-85-4956-687-9</t>
        </is>
      </c>
      <c r="L807" s="27" t="inlineStr">
        <is>
          <t>2b</t>
        </is>
      </c>
      <c r="M807" s="61" t="inlineStr">
        <is>
          <t>88200734</t>
        </is>
      </c>
      <c r="O807" s="6" t="inlineStr">
        <is>
          <t>V24</t>
        </is>
      </c>
    </row>
    <row r="808">
      <c r="B808" s="24">
        <f>IFERROR(INDEX(Companies!$A$3:$A$101,MATCH(A808,Companies!$B$3:$B$101,0)),"")</f>
        <v/>
      </c>
      <c r="C808">
        <f>IFERROR(_xlfn.IFNA(INDEX(Sensors_MANU!$F$2:$F$4692,MATCH($D808,Sensors_MANU!$B$2:$B$4692,0)),INDEX(Sensors_MANU!$F$2:$F$4692,MATCH($P808,Sensors_MANU!$A$2:$A$4692,0))),"")</f>
        <v/>
      </c>
      <c r="D808" t="inlineStr">
        <is>
          <t>EB6320B47868</t>
        </is>
      </c>
      <c r="E808" s="24">
        <f>LEFT(D808,2)&amp;":"&amp;MID(D808,3,2)&amp;":"&amp;MID(D808,5,2)&amp;":"&amp;MID(D808,7,2)&amp;":"&amp;MID(D808,9,2)&amp;":"&amp;RIGHT(D808,2)</f>
        <v/>
      </c>
      <c r="H808" t="inlineStr">
        <is>
          <t>4AF6A8C8A5974737</t>
        </is>
      </c>
      <c r="I808">
        <f>IFERROR(_xlfn.IFNA(INDEX(Sensors_MANU!$C$2:$C$4692,MATCH($D808,Sensors_MANU!$B$2:$B$4692,0)),INDEX(Sensors_MANU!$C$2:$C$4692,MATCH($P808,Sensors_MANU!$A$2:$A$4692,0))),"")</f>
        <v/>
      </c>
      <c r="J808">
        <f>IFERROR(_xlfn.IFNA(INDEX(Sensors_MANU!$D$2:$D$4692,MATCH($D808,Sensors_MANU!$B$2:$B$4692,0)),INDEX(Sensors_MANU!$D$2:$D$4692,MATCH($P808,Sensors_MANU!$A$2:$A$4692,0))),"")</f>
        <v/>
      </c>
      <c r="O808" s="6" t="inlineStr">
        <is>
          <t>V24</t>
        </is>
      </c>
    </row>
    <row r="809">
      <c r="B809" s="24">
        <f>IFERROR(INDEX(Companies!$A$3:$A$101,MATCH(A809,Companies!$B$3:$B$101,0)),"")</f>
        <v/>
      </c>
      <c r="C809">
        <f>IFERROR(_xlfn.IFNA(INDEX(Sensors_MANU!$F$2:$F$4692,MATCH($D809,Sensors_MANU!$B$2:$B$4692,0)),INDEX(Sensors_MANU!$F$2:$F$4692,MATCH($P809,Sensors_MANU!$A$2:$A$4692,0))),"")</f>
        <v/>
      </c>
      <c r="D809" t="inlineStr">
        <is>
          <t>ED950641AD55</t>
        </is>
      </c>
      <c r="E809" s="24">
        <f>LEFT(D809,2)&amp;":"&amp;MID(D809,3,2)&amp;":"&amp;MID(D809,5,2)&amp;":"&amp;MID(D809,7,2)&amp;":"&amp;MID(D809,9,2)&amp;":"&amp;RIGHT(D809,2)</f>
        <v/>
      </c>
      <c r="H809" t="inlineStr">
        <is>
          <t>3C9CA093185CF943</t>
        </is>
      </c>
      <c r="I809">
        <f>IFERROR(_xlfn.IFNA(INDEX(Sensors_MANU!$C$2:$C$4692,MATCH($D809,Sensors_MANU!$B$2:$B$4692,0)),INDEX(Sensors_MANU!$C$2:$C$4692,MATCH($P809,Sensors_MANU!$A$2:$A$4692,0))),"")</f>
        <v/>
      </c>
      <c r="J809">
        <f>IFERROR(_xlfn.IFNA(INDEX(Sensors_MANU!$D$2:$D$4692,MATCH($D809,Sensors_MANU!$B$2:$B$4692,0)),INDEX(Sensors_MANU!$D$2:$D$4692,MATCH($P809,Sensors_MANU!$A$2:$A$4692,0))),"")</f>
        <v/>
      </c>
      <c r="O809" s="6" t="inlineStr">
        <is>
          <t>V24</t>
        </is>
      </c>
    </row>
    <row r="810">
      <c r="A810" s="32">
        <f>IFERROR(_xlfn.IFNA(INDEX(Sensors_MANU!$E$2:$E$4692,MATCH($D810,Sensors_MANU!$B$2:$B$4692,0)),INDEX(Sensors_MANU!$E$2:$E$4692,MATCH($P810,Sensors_MANU!$A$2:$A$4692,0))),"")</f>
        <v/>
      </c>
      <c r="B810" s="24">
        <f>IFERROR(INDEX(Companies!$A$3:$A$101,MATCH(A810,Companies!$B$3:$B$101,0)),"")</f>
        <v/>
      </c>
      <c r="C810">
        <f>IFERROR(_xlfn.IFNA(INDEX(Sensors_MANU!$F$2:$F$4692,MATCH($D810,Sensors_MANU!$B$2:$B$4692,0)),INDEX(Sensors_MANU!$F$2:$F$4692,MATCH($P810,Sensors_MANU!$A$2:$A$4692,0))),"")</f>
        <v/>
      </c>
      <c r="D810" t="inlineStr">
        <is>
          <t>EEB9297F39F3</t>
        </is>
      </c>
      <c r="E810" s="24">
        <f>LEFT(D810,2)&amp;":"&amp;MID(D810,3,2)&amp;":"&amp;MID(D810,5,2)&amp;":"&amp;MID(D810,7,2)&amp;":"&amp;MID(D810,9,2)&amp;":"&amp;RIGHT(D810,2)</f>
        <v/>
      </c>
      <c r="F810" s="29" t="n">
        <v>44832</v>
      </c>
      <c r="G810" s="29" t="inlineStr">
        <is>
          <t>Hupac</t>
        </is>
      </c>
      <c r="H810" t="inlineStr">
        <is>
          <t>31981AADA3E53810</t>
        </is>
      </c>
      <c r="I810">
        <f>IFERROR(_xlfn.IFNA(INDEX(Sensors_MANU!$C$2:$C$4692,MATCH($D810,Sensors_MANU!$B$2:$B$4692,0)),INDEX(Sensors_MANU!$C$2:$C$4692,MATCH($P810,Sensors_MANU!$A$2:$A$4692,0))),"")</f>
        <v/>
      </c>
      <c r="J810">
        <f>IFERROR(_xlfn.IFNA(INDEX(Sensors_MANU!$D$2:$D$4692,MATCH($D810,Sensors_MANU!$B$2:$B$4692,0)),INDEX(Sensors_MANU!$D$2:$D$4692,MATCH($P810,Sensors_MANU!$A$2:$A$4692,0))),"")</f>
        <v/>
      </c>
      <c r="K810" s="27" t="inlineStr">
        <is>
          <t>33-85-4506-155-2</t>
        </is>
      </c>
      <c r="L810" s="27" t="inlineStr">
        <is>
          <t>7a</t>
        </is>
      </c>
      <c r="M810" s="61" t="inlineStr">
        <is>
          <t>20042045</t>
        </is>
      </c>
      <c r="O810" s="6" t="inlineStr">
        <is>
          <t>V24</t>
        </is>
      </c>
    </row>
    <row r="811">
      <c r="A811" s="32">
        <f>IFERROR(_xlfn.IFNA(INDEX(Sensors_MANU!$E$2:$E$4692,MATCH($D811,Sensors_MANU!$B$2:$B$4692,0)),INDEX(Sensors_MANU!$E$2:$E$4692,MATCH($P811,Sensors_MANU!$A$2:$A$4692,0))),"")</f>
        <v/>
      </c>
      <c r="B811" s="24">
        <f>IFERROR(INDEX(Companies!$A$3:$A$101,MATCH(A811,Companies!$B$3:$B$101,0)),"")</f>
        <v/>
      </c>
      <c r="C811">
        <f>IFERROR(_xlfn.IFNA(INDEX(Sensors_MANU!$F$2:$F$4692,MATCH($D811,Sensors_MANU!$B$2:$B$4692,0)),INDEX(Sensors_MANU!$F$2:$F$4692,MATCH($P811,Sensors_MANU!$A$2:$A$4692,0))),"")</f>
        <v/>
      </c>
      <c r="D811" t="inlineStr">
        <is>
          <t>C8B42B665B51</t>
        </is>
      </c>
      <c r="E811" s="24">
        <f>LEFT(D811,2)&amp;":"&amp;MID(D811,3,2)&amp;":"&amp;MID(D811,5,2)&amp;":"&amp;MID(D811,7,2)&amp;":"&amp;MID(D811,9,2)&amp;":"&amp;RIGHT(D811,2)</f>
        <v/>
      </c>
      <c r="F811" s="29" t="n">
        <v>44832</v>
      </c>
      <c r="G811" s="29" t="inlineStr">
        <is>
          <t>Hupac</t>
        </is>
      </c>
      <c r="H811" t="inlineStr">
        <is>
          <t>294887154D33CD07</t>
        </is>
      </c>
      <c r="I811">
        <f>IFERROR(_xlfn.IFNA(INDEX(Sensors_MANU!$C$2:$C$4692,MATCH($D811,Sensors_MANU!$B$2:$B$4692,0)),INDEX(Sensors_MANU!$C$2:$C$4692,MATCH($P811,Sensors_MANU!$A$2:$A$4692,0))),"")</f>
        <v/>
      </c>
      <c r="J811">
        <f>IFERROR(_xlfn.IFNA(INDEX(Sensors_MANU!$D$2:$D$4692,MATCH($D811,Sensors_MANU!$B$2:$B$4692,0)),INDEX(Sensors_MANU!$D$2:$D$4692,MATCH($P811,Sensors_MANU!$A$2:$A$4692,0))),"")</f>
        <v/>
      </c>
      <c r="K811" s="27" t="inlineStr">
        <is>
          <t>33-85-4956-687-9</t>
        </is>
      </c>
      <c r="L811" s="27" t="inlineStr">
        <is>
          <t>8b</t>
        </is>
      </c>
      <c r="M811" s="61" t="inlineStr">
        <is>
          <t>88190443</t>
        </is>
      </c>
      <c r="O811" s="6" t="inlineStr">
        <is>
          <t>V24</t>
        </is>
      </c>
    </row>
    <row r="812">
      <c r="B812" s="24">
        <f>IFERROR(INDEX(Companies!$A$3:$A$101,MATCH(A812,Companies!$B$3:$B$101,0)),"")</f>
        <v/>
      </c>
      <c r="C812">
        <f>IFERROR(_xlfn.IFNA(INDEX(Sensors_MANU!$F$2:$F$4692,MATCH($D812,Sensors_MANU!$B$2:$B$4692,0)),INDEX(Sensors_MANU!$F$2:$F$4692,MATCH($P812,Sensors_MANU!$A$2:$A$4692,0))),"")</f>
        <v/>
      </c>
      <c r="D812" t="inlineStr">
        <is>
          <t>EE5B4926C658</t>
        </is>
      </c>
      <c r="E812" s="24">
        <f>LEFT(D812,2)&amp;":"&amp;MID(D812,3,2)&amp;":"&amp;MID(D812,5,2)&amp;":"&amp;MID(D812,7,2)&amp;":"&amp;MID(D812,9,2)&amp;":"&amp;RIGHT(D812,2)</f>
        <v/>
      </c>
      <c r="H812" s="18" t="inlineStr">
        <is>
          <t>60E390C4D353EB11</t>
        </is>
      </c>
      <c r="I812">
        <f>IFERROR(_xlfn.IFNA(INDEX(Sensors_MANU!$C$2:$C$4692,MATCH($D812,Sensors_MANU!$B$2:$B$4692,0)),INDEX(Sensors_MANU!$C$2:$C$4692,MATCH($P812,Sensors_MANU!$A$2:$A$4692,0))),"")</f>
        <v/>
      </c>
      <c r="J812">
        <f>IFERROR(_xlfn.IFNA(INDEX(Sensors_MANU!$D$2:$D$4692,MATCH($D812,Sensors_MANU!$B$2:$B$4692,0)),INDEX(Sensors_MANU!$D$2:$D$4692,MATCH($P812,Sensors_MANU!$A$2:$A$4692,0))),"")</f>
        <v/>
      </c>
      <c r="O812" s="6" t="inlineStr">
        <is>
          <t>V24</t>
        </is>
      </c>
    </row>
    <row r="813">
      <c r="B813" s="24">
        <f>IFERROR(INDEX(Companies!$A$3:$A$101,MATCH(A813,Companies!$B$3:$B$101,0)),"")</f>
        <v/>
      </c>
      <c r="C813">
        <f>IFERROR(_xlfn.IFNA(INDEX(Sensors_MANU!$F$2:$F$4692,MATCH($D813,Sensors_MANU!$B$2:$B$4692,0)),INDEX(Sensors_MANU!$F$2:$F$4692,MATCH($P813,Sensors_MANU!$A$2:$A$4692,0))),"")</f>
        <v/>
      </c>
      <c r="D813" t="inlineStr">
        <is>
          <t>E8CA9C77577E</t>
        </is>
      </c>
      <c r="E813" s="24">
        <f>LEFT(D813,2)&amp;":"&amp;MID(D813,3,2)&amp;":"&amp;MID(D813,5,2)&amp;":"&amp;MID(D813,7,2)&amp;":"&amp;MID(D813,9,2)&amp;":"&amp;RIGHT(D813,2)</f>
        <v/>
      </c>
      <c r="H813" t="inlineStr">
        <is>
          <t>E899E2AF74EE6266</t>
        </is>
      </c>
      <c r="I813">
        <f>IFERROR(_xlfn.IFNA(INDEX(Sensors_MANU!$C$2:$C$4692,MATCH($D813,Sensors_MANU!$B$2:$B$4692,0)),INDEX(Sensors_MANU!$C$2:$C$4692,MATCH($P813,Sensors_MANU!$A$2:$A$4692,0))),"")</f>
        <v/>
      </c>
      <c r="J813">
        <f>IFERROR(_xlfn.IFNA(INDEX(Sensors_MANU!$D$2:$D$4692,MATCH($D813,Sensors_MANU!$B$2:$B$4692,0)),INDEX(Sensors_MANU!$D$2:$D$4692,MATCH($P813,Sensors_MANU!$A$2:$A$4692,0))),"")</f>
        <v/>
      </c>
      <c r="O813" s="6" t="inlineStr">
        <is>
          <t>V24</t>
        </is>
      </c>
    </row>
    <row r="814">
      <c r="B814" s="24">
        <f>IFERROR(INDEX(Companies!$A$3:$A$101,MATCH(A814,Companies!$B$3:$B$101,0)),"")</f>
        <v/>
      </c>
      <c r="D814" t="inlineStr">
        <is>
          <t>C1D4B359B565</t>
        </is>
      </c>
      <c r="E814" s="24">
        <f>LEFT(D814,2)&amp;":"&amp;MID(D814,3,2)&amp;":"&amp;MID(D814,5,2)&amp;":"&amp;MID(D814,7,2)&amp;":"&amp;MID(D814,9,2)&amp;":"&amp;RIGHT(D814,2)</f>
        <v/>
      </c>
      <c r="H814" t="inlineStr">
        <is>
          <t>40889A3D6C684367</t>
        </is>
      </c>
      <c r="I814">
        <f>IFERROR(_xlfn.IFNA(INDEX(Sensors_MANU!$C$2:$C$4692,MATCH($D814,Sensors_MANU!$B$2:$B$4692,0)),INDEX(Sensors_MANU!$C$2:$C$4692,MATCH($P814,Sensors_MANU!$A$2:$A$4692,0))),"")</f>
        <v/>
      </c>
      <c r="J814">
        <f>IFERROR(_xlfn.IFNA(INDEX(Sensors_MANU!$D$2:$D$4692,MATCH($D814,Sensors_MANU!$B$2:$B$4692,0)),INDEX(Sensors_MANU!$D$2:$D$4692,MATCH($P814,Sensors_MANU!$A$2:$A$4692,0))),"")</f>
        <v/>
      </c>
      <c r="O814" s="6" t="inlineStr">
        <is>
          <t>V24</t>
        </is>
      </c>
    </row>
    <row r="815">
      <c r="B815" s="24">
        <f>IFERROR(INDEX(Companies!$A$3:$A$101,MATCH(A815,Companies!$B$3:$B$101,0)),"")</f>
        <v/>
      </c>
      <c r="C815">
        <f>IFERROR(_xlfn.IFNA(INDEX(Sensors_MANU!$F$2:$F$4692,MATCH($D815,Sensors_MANU!$B$2:$B$4692,0)),INDEX(Sensors_MANU!$F$2:$F$4692,MATCH($P815,Sensors_MANU!$A$2:$A$4692,0))),"")</f>
        <v/>
      </c>
      <c r="D815" t="inlineStr">
        <is>
          <t>F2C956C25C10</t>
        </is>
      </c>
      <c r="E815" s="24">
        <f>LEFT(D815,2)&amp;":"&amp;MID(D815,3,2)&amp;":"&amp;MID(D815,5,2)&amp;":"&amp;MID(D815,7,2)&amp;":"&amp;MID(D815,9,2)&amp;":"&amp;RIGHT(D815,2)</f>
        <v/>
      </c>
      <c r="H815" t="inlineStr">
        <is>
          <t>22B5C4A77484D133</t>
        </is>
      </c>
      <c r="I815">
        <f>IFERROR(_xlfn.IFNA(INDEX(Sensors_MANU!$C$2:$C$4692,MATCH($D815,Sensors_MANU!$B$2:$B$4692,0)),INDEX(Sensors_MANU!$C$2:$C$4692,MATCH($P815,Sensors_MANU!$A$2:$A$4692,0))),"")</f>
        <v/>
      </c>
      <c r="J815">
        <f>IFERROR(_xlfn.IFNA(INDEX(Sensors_MANU!$D$2:$D$4692,MATCH($D815,Sensors_MANU!$B$2:$B$4692,0)),INDEX(Sensors_MANU!$D$2:$D$4692,MATCH($P815,Sensors_MANU!$A$2:$A$4692,0))),"")</f>
        <v/>
      </c>
      <c r="O815" s="6" t="inlineStr">
        <is>
          <t>V24</t>
        </is>
      </c>
    </row>
    <row r="816">
      <c r="B816" s="24">
        <f>IFERROR(INDEX(Companies!$A$3:$A$101,MATCH(A816,Companies!$B$3:$B$101,0)),"")</f>
        <v/>
      </c>
      <c r="C816">
        <f>IFERROR(_xlfn.IFNA(INDEX(Sensors_MANU!$F$2:$F$4692,MATCH($D816,Sensors_MANU!$B$2:$B$4692,0)),INDEX(Sensors_MANU!$F$2:$F$4692,MATCH($P816,Sensors_MANU!$A$2:$A$4692,0))),"")</f>
        <v/>
      </c>
      <c r="D816" t="inlineStr">
        <is>
          <t>D3F4F91E120D</t>
        </is>
      </c>
      <c r="E816" s="24">
        <f>LEFT(D816,2)&amp;":"&amp;MID(D816,3,2)&amp;":"&amp;MID(D816,5,2)&amp;":"&amp;MID(D816,7,2)&amp;":"&amp;MID(D816,9,2)&amp;":"&amp;RIGHT(D816,2)</f>
        <v/>
      </c>
      <c r="H816" t="inlineStr">
        <is>
          <t>1E0A255B44DF335C</t>
        </is>
      </c>
      <c r="I816">
        <f>IFERROR(_xlfn.IFNA(INDEX(Sensors_MANU!$C$2:$C$4692,MATCH($D816,Sensors_MANU!$B$2:$B$4692,0)),INDEX(Sensors_MANU!$C$2:$C$4692,MATCH($P816,Sensors_MANU!$A$2:$A$4692,0))),"")</f>
        <v/>
      </c>
      <c r="J816">
        <f>IFERROR(_xlfn.IFNA(INDEX(Sensors_MANU!$D$2:$D$4692,MATCH($D816,Sensors_MANU!$B$2:$B$4692,0)),INDEX(Sensors_MANU!$D$2:$D$4692,MATCH($P816,Sensors_MANU!$A$2:$A$4692,0))),"")</f>
        <v/>
      </c>
      <c r="O816" s="6" t="inlineStr">
        <is>
          <t>V24</t>
        </is>
      </c>
    </row>
    <row r="817">
      <c r="B817" s="24">
        <f>IFERROR(INDEX(Companies!$A$3:$A$101,MATCH(A817,Companies!$B$3:$B$101,0)),"")</f>
        <v/>
      </c>
      <c r="C817">
        <f>IFERROR(_xlfn.IFNA(INDEX(Sensors_MANU!$F$2:$F$4692,MATCH($D817,Sensors_MANU!$B$2:$B$4692,0)),INDEX(Sensors_MANU!$F$2:$F$4692,MATCH($P817,Sensors_MANU!$A$2:$A$4692,0))),"")</f>
        <v/>
      </c>
      <c r="D817" t="inlineStr">
        <is>
          <t>C5C199067FB3</t>
        </is>
      </c>
      <c r="E817" s="24">
        <f>LEFT(D817,2)&amp;":"&amp;MID(D817,3,2)&amp;":"&amp;MID(D817,5,2)&amp;":"&amp;MID(D817,7,2)&amp;":"&amp;MID(D817,9,2)&amp;":"&amp;RIGHT(D817,2)</f>
        <v/>
      </c>
      <c r="H817" t="inlineStr">
        <is>
          <t>8E26DE7BC942F653</t>
        </is>
      </c>
      <c r="I817">
        <f>IFERROR(_xlfn.IFNA(INDEX(Sensors_MANU!$C$2:$C$4692,MATCH($D817,Sensors_MANU!$B$2:$B$4692,0)),INDEX(Sensors_MANU!$C$2:$C$4692,MATCH($P817,Sensors_MANU!$A$2:$A$4692,0))),"")</f>
        <v/>
      </c>
      <c r="J817">
        <f>IFERROR(_xlfn.IFNA(INDEX(Sensors_MANU!$D$2:$D$4692,MATCH($D817,Sensors_MANU!$B$2:$B$4692,0)),INDEX(Sensors_MANU!$D$2:$D$4692,MATCH($P817,Sensors_MANU!$A$2:$A$4692,0))),"")</f>
        <v/>
      </c>
      <c r="O817" s="6" t="inlineStr">
        <is>
          <t>V24</t>
        </is>
      </c>
    </row>
    <row r="818">
      <c r="B818" s="24">
        <f>IFERROR(INDEX(Companies!$A$3:$A$101,MATCH(A818,Companies!$B$3:$B$101,0)),"")</f>
        <v/>
      </c>
      <c r="C818">
        <f>IFERROR(_xlfn.IFNA(INDEX(Sensors_MANU!$F$2:$F$4692,MATCH($D818,Sensors_MANU!$B$2:$B$4692,0)),INDEX(Sensors_MANU!$F$2:$F$4692,MATCH($P818,Sensors_MANU!$A$2:$A$4692,0))),"")</f>
        <v/>
      </c>
      <c r="D818" t="inlineStr">
        <is>
          <t>F4CA43CC0F3A</t>
        </is>
      </c>
      <c r="E818" s="24">
        <f>LEFT(D818,2)&amp;":"&amp;MID(D818,3,2)&amp;":"&amp;MID(D818,5,2)&amp;":"&amp;MID(D818,7,2)&amp;":"&amp;MID(D818,9,2)&amp;":"&amp;RIGHT(D818,2)</f>
        <v/>
      </c>
      <c r="H818" t="inlineStr">
        <is>
          <t>ECCCFD39BAEB83AF</t>
        </is>
      </c>
      <c r="I818">
        <f>IFERROR(_xlfn.IFNA(INDEX(Sensors_MANU!$C$2:$C$4692,MATCH($D818,Sensors_MANU!$B$2:$B$4692,0)),INDEX(Sensors_MANU!$C$2:$C$4692,MATCH($P818,Sensors_MANU!$A$2:$A$4692,0))),"")</f>
        <v/>
      </c>
      <c r="J818">
        <f>IFERROR(_xlfn.IFNA(INDEX(Sensors_MANU!$D$2:$D$4692,MATCH($D818,Sensors_MANU!$B$2:$B$4692,0)),INDEX(Sensors_MANU!$D$2:$D$4692,MATCH($P818,Sensors_MANU!$A$2:$A$4692,0))),"")</f>
        <v/>
      </c>
      <c r="O818" s="6" t="inlineStr">
        <is>
          <t>V24</t>
        </is>
      </c>
    </row>
    <row r="819">
      <c r="B819" s="24">
        <f>IFERROR(INDEX(Companies!$A$3:$A$101,MATCH(A819,Companies!$B$3:$B$101,0)),"")</f>
        <v/>
      </c>
      <c r="C819">
        <f>IFERROR(_xlfn.IFNA(INDEX(Sensors_MANU!$F$2:$F$4692,MATCH($D819,Sensors_MANU!$B$2:$B$4692,0)),INDEX(Sensors_MANU!$F$2:$F$4692,MATCH($P819,Sensors_MANU!$A$2:$A$4692,0))),"")</f>
        <v/>
      </c>
      <c r="D819" t="inlineStr">
        <is>
          <t>C776B7D03153</t>
        </is>
      </c>
      <c r="E819" s="24">
        <f>LEFT(D819,2)&amp;":"&amp;MID(D819,3,2)&amp;":"&amp;MID(D819,5,2)&amp;":"&amp;MID(D819,7,2)&amp;":"&amp;MID(D819,9,2)&amp;":"&amp;RIGHT(D819,2)</f>
        <v/>
      </c>
      <c r="H819" t="inlineStr">
        <is>
          <t>89F887E9185FBC5B</t>
        </is>
      </c>
      <c r="I819">
        <f>IFERROR(_xlfn.IFNA(INDEX(Sensors_MANU!$C$2:$C$4692,MATCH($D819,Sensors_MANU!$B$2:$B$4692,0)),INDEX(Sensors_MANU!$C$2:$C$4692,MATCH($P819,Sensors_MANU!$A$2:$A$4692,0))),"")</f>
        <v/>
      </c>
      <c r="J819">
        <f>IFERROR(_xlfn.IFNA(INDEX(Sensors_MANU!$D$2:$D$4692,MATCH($D819,Sensors_MANU!$B$2:$B$4692,0)),INDEX(Sensors_MANU!$D$2:$D$4692,MATCH($P819,Sensors_MANU!$A$2:$A$4692,0))),"")</f>
        <v/>
      </c>
      <c r="O819" s="6" t="inlineStr">
        <is>
          <t>V24</t>
        </is>
      </c>
    </row>
    <row r="820">
      <c r="B820" s="24">
        <f>IFERROR(INDEX(Companies!$A$3:$A$101,MATCH(A820,Companies!$B$3:$B$101,0)),"")</f>
        <v/>
      </c>
      <c r="C820">
        <f>IFERROR(_xlfn.IFNA(INDEX(Sensors_MANU!$F$2:$F$4692,MATCH($D820,Sensors_MANU!$B$2:$B$4692,0)),INDEX(Sensors_MANU!$F$2:$F$4692,MATCH($P820,Sensors_MANU!$A$2:$A$4692,0))),"")</f>
        <v/>
      </c>
      <c r="D820" t="inlineStr">
        <is>
          <t>F9D8FEA39FD9</t>
        </is>
      </c>
      <c r="E820" s="24">
        <f>LEFT(D820,2)&amp;":"&amp;MID(D820,3,2)&amp;":"&amp;MID(D820,5,2)&amp;":"&amp;MID(D820,7,2)&amp;":"&amp;MID(D820,9,2)&amp;":"&amp;RIGHT(D820,2)</f>
        <v/>
      </c>
      <c r="H820" t="inlineStr">
        <is>
          <t>8F82638576DE172D</t>
        </is>
      </c>
      <c r="I820">
        <f>IFERROR(_xlfn.IFNA(INDEX(Sensors_MANU!$C$2:$C$4692,MATCH($D820,Sensors_MANU!$B$2:$B$4692,0)),INDEX(Sensors_MANU!$C$2:$C$4692,MATCH($P820,Sensors_MANU!$A$2:$A$4692,0))),"")</f>
        <v/>
      </c>
      <c r="J820">
        <f>IFERROR(_xlfn.IFNA(INDEX(Sensors_MANU!$D$2:$D$4692,MATCH($D820,Sensors_MANU!$B$2:$B$4692,0)),INDEX(Sensors_MANU!$D$2:$D$4692,MATCH($P820,Sensors_MANU!$A$2:$A$4692,0))),"")</f>
        <v/>
      </c>
      <c r="O820" s="6" t="inlineStr">
        <is>
          <t>V24</t>
        </is>
      </c>
    </row>
    <row r="821">
      <c r="B821" s="24">
        <f>IFERROR(INDEX(Companies!$A$3:$A$101,MATCH(A821,Companies!$B$3:$B$101,0)),"")</f>
        <v/>
      </c>
      <c r="C821">
        <f>IFERROR(_xlfn.IFNA(INDEX(Sensors_MANU!$F$2:$F$4692,MATCH($D821,Sensors_MANU!$B$2:$B$4692,0)),INDEX(Sensors_MANU!$F$2:$F$4692,MATCH($P821,Sensors_MANU!$A$2:$A$4692,0))),"")</f>
        <v/>
      </c>
      <c r="D821" t="inlineStr">
        <is>
          <t>F363340CB8A3</t>
        </is>
      </c>
      <c r="E821" s="24">
        <f>LEFT(D821,2)&amp;":"&amp;MID(D821,3,2)&amp;":"&amp;MID(D821,5,2)&amp;":"&amp;MID(D821,7,2)&amp;":"&amp;MID(D821,9,2)&amp;":"&amp;RIGHT(D821,2)</f>
        <v/>
      </c>
      <c r="H821" t="inlineStr">
        <is>
          <t>AF676FC4E19CCD5D</t>
        </is>
      </c>
      <c r="I821">
        <f>IFERROR(_xlfn.IFNA(INDEX(Sensors_MANU!$C$2:$C$4692,MATCH($D821,Sensors_MANU!$B$2:$B$4692,0)),INDEX(Sensors_MANU!$C$2:$C$4692,MATCH($P821,Sensors_MANU!$A$2:$A$4692,0))),"")</f>
        <v/>
      </c>
      <c r="J821">
        <f>IFERROR(_xlfn.IFNA(INDEX(Sensors_MANU!$D$2:$D$4692,MATCH($D821,Sensors_MANU!$B$2:$B$4692,0)),INDEX(Sensors_MANU!$D$2:$D$4692,MATCH($P821,Sensors_MANU!$A$2:$A$4692,0))),"")</f>
        <v/>
      </c>
      <c r="O821" s="6" t="inlineStr">
        <is>
          <t>V24</t>
        </is>
      </c>
    </row>
    <row r="822">
      <c r="A822" s="32">
        <f>IFERROR(_xlfn.IFNA(INDEX(Sensors_MANU!$E$2:$E$4692,MATCH($D822,Sensors_MANU!$B$2:$B$4692,0)),INDEX(Sensors_MANU!$E$2:$E$4692,MATCH($P822,Sensors_MANU!$A$2:$A$4692,0))),"")</f>
        <v/>
      </c>
      <c r="B822" s="24">
        <f>IFERROR(INDEX(Companies!$A$3:$A$101,MATCH(A822,Companies!$B$3:$B$101,0)),"")</f>
        <v/>
      </c>
      <c r="C822">
        <f>IFERROR(_xlfn.IFNA(INDEX(Sensors_MANU!$F$2:$F$4692,MATCH($D822,Sensors_MANU!$B$2:$B$4692,0)),INDEX(Sensors_MANU!$F$2:$F$4692,MATCH($P822,Sensors_MANU!$A$2:$A$4692,0))),"")</f>
        <v/>
      </c>
      <c r="D822" t="inlineStr">
        <is>
          <t>E8A0FA0FA57D</t>
        </is>
      </c>
      <c r="E822" s="24">
        <f>LEFT(D822,2)&amp;":"&amp;MID(D822,3,2)&amp;":"&amp;MID(D822,5,2)&amp;":"&amp;MID(D822,7,2)&amp;":"&amp;MID(D822,9,2)&amp;":"&amp;RIGHT(D822,2)</f>
        <v/>
      </c>
      <c r="F822" s="29" t="n">
        <v>44832</v>
      </c>
      <c r="G822" s="29" t="inlineStr">
        <is>
          <t>Hupac</t>
        </is>
      </c>
      <c r="H822" t="inlineStr">
        <is>
          <t>C8737F29B46A1D24</t>
        </is>
      </c>
      <c r="I822">
        <f>IFERROR(_xlfn.IFNA(INDEX(Sensors_MANU!$C$2:$C$4692,MATCH($D822,Sensors_MANU!$B$2:$B$4692,0)),INDEX(Sensors_MANU!$C$2:$C$4692,MATCH($P822,Sensors_MANU!$A$2:$A$4692,0))),"")</f>
        <v/>
      </c>
      <c r="J822">
        <f>IFERROR(_xlfn.IFNA(INDEX(Sensors_MANU!$D$2:$D$4692,MATCH($D822,Sensors_MANU!$B$2:$B$4692,0)),INDEX(Sensors_MANU!$D$2:$D$4692,MATCH($P822,Sensors_MANU!$A$2:$A$4692,0))),"")</f>
        <v/>
      </c>
      <c r="K822" s="27" t="inlineStr">
        <is>
          <t>33-85-4956-687-9</t>
        </is>
      </c>
      <c r="L822" s="27" t="inlineStr">
        <is>
          <t>10b</t>
        </is>
      </c>
      <c r="M822" s="61" t="inlineStr">
        <is>
          <t>88200961</t>
        </is>
      </c>
      <c r="O822" s="6" t="inlineStr">
        <is>
          <t>V24</t>
        </is>
      </c>
    </row>
    <row r="823">
      <c r="B823" s="24">
        <f>IFERROR(INDEX(Companies!$A$3:$A$101,MATCH(A823,Companies!$B$3:$B$101,0)),"")</f>
        <v/>
      </c>
      <c r="C823">
        <f>IFERROR(_xlfn.IFNA(INDEX(Sensors_MANU!$F$2:$F$4692,MATCH($D823,Sensors_MANU!$B$2:$B$4692,0)),INDEX(Sensors_MANU!$F$2:$F$4692,MATCH($P823,Sensors_MANU!$A$2:$A$4692,0))),"")</f>
        <v/>
      </c>
      <c r="D823" t="inlineStr">
        <is>
          <t>F5447A3039AB</t>
        </is>
      </c>
      <c r="E823" s="24">
        <f>LEFT(D823,2)&amp;":"&amp;MID(D823,3,2)&amp;":"&amp;MID(D823,5,2)&amp;":"&amp;MID(D823,7,2)&amp;":"&amp;MID(D823,9,2)&amp;":"&amp;RIGHT(D823,2)</f>
        <v/>
      </c>
      <c r="H823" t="inlineStr">
        <is>
          <t>4CC7D36428A36602</t>
        </is>
      </c>
      <c r="I823">
        <f>IFERROR(_xlfn.IFNA(INDEX(Sensors_MANU!$C$2:$C$4692,MATCH($D823,Sensors_MANU!$B$2:$B$4692,0)),INDEX(Sensors_MANU!$C$2:$C$4692,MATCH($P823,Sensors_MANU!$A$2:$A$4692,0))),"")</f>
        <v/>
      </c>
      <c r="J823">
        <f>IFERROR(_xlfn.IFNA(INDEX(Sensors_MANU!$D$2:$D$4692,MATCH($D823,Sensors_MANU!$B$2:$B$4692,0)),INDEX(Sensors_MANU!$D$2:$D$4692,MATCH($P823,Sensors_MANU!$A$2:$A$4692,0))),"")</f>
        <v/>
      </c>
      <c r="O823" s="6" t="inlineStr">
        <is>
          <t>V23</t>
        </is>
      </c>
    </row>
    <row r="824">
      <c r="A824" s="32">
        <f>IFERROR(_xlfn.IFNA(INDEX(Sensors_MANU!$E$2:$E$4692,MATCH($D824,Sensors_MANU!$B$2:$B$4692,0)),INDEX(Sensors_MANU!$E$2:$E$4692,MATCH($P824,Sensors_MANU!$A$2:$A$4692,0))),"")</f>
        <v/>
      </c>
      <c r="B824" s="24">
        <f>IFERROR(INDEX(Companies!$A$3:$A$101,MATCH(A824,Companies!$B$3:$B$101,0)),"")</f>
        <v/>
      </c>
      <c r="C824">
        <f>IFERROR(_xlfn.IFNA(INDEX(Sensors_MANU!$F$2:$F$4692,MATCH($D824,Sensors_MANU!$B$2:$B$4692,0)),INDEX(Sensors_MANU!$F$2:$F$4692,MATCH($P824,Sensors_MANU!$A$2:$A$4692,0))),"")</f>
        <v/>
      </c>
      <c r="D824" t="inlineStr">
        <is>
          <t>C8581D8E3473</t>
        </is>
      </c>
      <c r="E824" s="24">
        <f>LEFT(D824,2)&amp;":"&amp;MID(D824,3,2)&amp;":"&amp;MID(D824,5,2)&amp;":"&amp;MID(D824,7,2)&amp;":"&amp;MID(D824,9,2)&amp;":"&amp;RIGHT(D824,2)</f>
        <v/>
      </c>
      <c r="F824" s="29" t="n">
        <v>44832</v>
      </c>
      <c r="G824" s="29" t="inlineStr">
        <is>
          <t>Hupac</t>
        </is>
      </c>
      <c r="H824" t="inlineStr">
        <is>
          <t>9086568B452AE2E6</t>
        </is>
      </c>
      <c r="I824">
        <f>IFERROR(_xlfn.IFNA(INDEX(Sensors_MANU!$C$2:$C$4692,MATCH($D824,Sensors_MANU!$B$2:$B$4692,0)),INDEX(Sensors_MANU!$C$2:$C$4692,MATCH($P824,Sensors_MANU!$A$2:$A$4692,0))),"")</f>
        <v/>
      </c>
      <c r="J824">
        <f>IFERROR(_xlfn.IFNA(INDEX(Sensors_MANU!$D$2:$D$4692,MATCH($D824,Sensors_MANU!$B$2:$B$4692,0)),INDEX(Sensors_MANU!$D$2:$D$4692,MATCH($P824,Sensors_MANU!$A$2:$A$4692,0))),"")</f>
        <v/>
      </c>
      <c r="K824" s="27" t="inlineStr">
        <is>
          <t>33-85-4956-718-2</t>
        </is>
      </c>
      <c r="L824" s="27" t="inlineStr">
        <is>
          <t>9a</t>
        </is>
      </c>
      <c r="M824" s="61" t="inlineStr">
        <is>
          <t>88200935</t>
        </is>
      </c>
      <c r="O824" s="6" t="inlineStr">
        <is>
          <t>V24</t>
        </is>
      </c>
    </row>
    <row r="825">
      <c r="B825" s="24">
        <f>IFERROR(INDEX(Companies!$A$3:$A$101,MATCH(A825,Companies!$B$3:$B$101,0)),"")</f>
        <v/>
      </c>
      <c r="C825">
        <f>IFERROR(_xlfn.IFNA(INDEX(Sensors_MANU!$F$2:$F$4692,MATCH($D825,Sensors_MANU!$B$2:$B$4692,0)),INDEX(Sensors_MANU!$F$2:$F$4692,MATCH($P825,Sensors_MANU!$A$2:$A$4692,0))),"")</f>
        <v/>
      </c>
      <c r="D825" t="inlineStr">
        <is>
          <t>EB1001DF5A77</t>
        </is>
      </c>
      <c r="E825" s="24">
        <f>LEFT(D825,2)&amp;":"&amp;MID(D825,3,2)&amp;":"&amp;MID(D825,5,2)&amp;":"&amp;MID(D825,7,2)&amp;":"&amp;MID(D825,9,2)&amp;":"&amp;RIGHT(D825,2)</f>
        <v/>
      </c>
      <c r="H825" t="inlineStr">
        <is>
          <t>535F5E1380C247B2</t>
        </is>
      </c>
      <c r="I825">
        <f>IFERROR(_xlfn.IFNA(INDEX(Sensors_MANU!$C$2:$C$4692,MATCH($D825,Sensors_MANU!$B$2:$B$4692,0)),INDEX(Sensors_MANU!$C$2:$C$4692,MATCH($P825,Sensors_MANU!$A$2:$A$4692,0))),"")</f>
        <v/>
      </c>
      <c r="J825">
        <f>IFERROR(_xlfn.IFNA(INDEX(Sensors_MANU!$D$2:$D$4692,MATCH($D825,Sensors_MANU!$B$2:$B$4692,0)),INDEX(Sensors_MANU!$D$2:$D$4692,MATCH($P825,Sensors_MANU!$A$2:$A$4692,0))),"")</f>
        <v/>
      </c>
      <c r="O825" s="6" t="inlineStr">
        <is>
          <t>V23</t>
        </is>
      </c>
    </row>
    <row r="826">
      <c r="B826" s="24">
        <f>IFERROR(INDEX(Companies!$A$3:$A$101,MATCH(A826,Companies!$B$3:$B$101,0)),"")</f>
        <v/>
      </c>
      <c r="C826">
        <f>IFERROR(_xlfn.IFNA(INDEX(Sensors_MANU!$F$2:$F$4692,MATCH($D826,Sensors_MANU!$B$2:$B$4692,0)),INDEX(Sensors_MANU!$F$2:$F$4692,MATCH($P826,Sensors_MANU!$A$2:$A$4692,0))),"")</f>
        <v/>
      </c>
      <c r="D826" t="inlineStr">
        <is>
          <t>F264BD4EDC12</t>
        </is>
      </c>
      <c r="E826" s="24">
        <f>LEFT(D826,2)&amp;":"&amp;MID(D826,3,2)&amp;":"&amp;MID(D826,5,2)&amp;":"&amp;MID(D826,7,2)&amp;":"&amp;MID(D826,9,2)&amp;":"&amp;RIGHT(D826,2)</f>
        <v/>
      </c>
      <c r="H826" t="inlineStr">
        <is>
          <t>8451936D6E8E6565</t>
        </is>
      </c>
      <c r="I826">
        <f>IFERROR(_xlfn.IFNA(INDEX(Sensors_MANU!$C$2:$C$4692,MATCH($D826,Sensors_MANU!$B$2:$B$4692,0)),INDEX(Sensors_MANU!$C$2:$C$4692,MATCH($P826,Sensors_MANU!$A$2:$A$4692,0))),"")</f>
        <v/>
      </c>
      <c r="J826">
        <f>IFERROR(_xlfn.IFNA(INDEX(Sensors_MANU!$D$2:$D$4692,MATCH($D826,Sensors_MANU!$B$2:$B$4692,0)),INDEX(Sensors_MANU!$D$2:$D$4692,MATCH($P826,Sensors_MANU!$A$2:$A$4692,0))),"")</f>
        <v/>
      </c>
      <c r="O826" s="6" t="inlineStr">
        <is>
          <t>V24</t>
        </is>
      </c>
    </row>
    <row r="827">
      <c r="B827" s="24">
        <f>IFERROR(INDEX(Companies!$A$3:$A$101,MATCH(A827,Companies!$B$3:$B$101,0)),"")</f>
        <v/>
      </c>
      <c r="C827">
        <f>IFERROR(_xlfn.IFNA(INDEX(Sensors_MANU!$F$2:$F$4692,MATCH($D827,Sensors_MANU!$B$2:$B$4692,0)),INDEX(Sensors_MANU!$F$2:$F$4692,MATCH($P827,Sensors_MANU!$A$2:$A$4692,0))),"")</f>
        <v/>
      </c>
      <c r="D827" t="inlineStr">
        <is>
          <t>E98C80C7F27E</t>
        </is>
      </c>
      <c r="E827" s="24">
        <f>LEFT(D827,2)&amp;":"&amp;MID(D827,3,2)&amp;":"&amp;MID(D827,5,2)&amp;":"&amp;MID(D827,7,2)&amp;":"&amp;MID(D827,9,2)&amp;":"&amp;RIGHT(D827,2)</f>
        <v/>
      </c>
      <c r="H827" t="inlineStr">
        <is>
          <t>9DA9188D7338FEFC</t>
        </is>
      </c>
      <c r="I827">
        <f>IFERROR(_xlfn.IFNA(INDEX(Sensors_MANU!$C$2:$C$4692,MATCH($D827,Sensors_MANU!$B$2:$B$4692,0)),INDEX(Sensors_MANU!$C$2:$C$4692,MATCH($P827,Sensors_MANU!$A$2:$A$4692,0))),"")</f>
        <v/>
      </c>
      <c r="J827">
        <f>IFERROR(_xlfn.IFNA(INDEX(Sensors_MANU!$D$2:$D$4692,MATCH($D827,Sensors_MANU!$B$2:$B$4692,0)),INDEX(Sensors_MANU!$D$2:$D$4692,MATCH($P827,Sensors_MANU!$A$2:$A$4692,0))),"")</f>
        <v/>
      </c>
      <c r="O827" s="6" t="inlineStr">
        <is>
          <t>V24</t>
        </is>
      </c>
    </row>
    <row r="828">
      <c r="B828" s="24">
        <f>IFERROR(INDEX(Companies!$A$3:$A$101,MATCH(A828,Companies!$B$3:$B$101,0)),"")</f>
        <v/>
      </c>
      <c r="C828">
        <f>IFERROR(_xlfn.IFNA(INDEX(Sensors_MANU!$F$2:$F$4692,MATCH($D828,Sensors_MANU!$B$2:$B$4692,0)),INDEX(Sensors_MANU!$F$2:$F$4692,MATCH($P828,Sensors_MANU!$A$2:$A$4692,0))),"")</f>
        <v/>
      </c>
      <c r="D828" t="inlineStr">
        <is>
          <t>E0272A7D421C</t>
        </is>
      </c>
      <c r="E828" s="24">
        <f>LEFT(D828,2)&amp;":"&amp;MID(D828,3,2)&amp;":"&amp;MID(D828,5,2)&amp;":"&amp;MID(D828,7,2)&amp;":"&amp;MID(D828,9,2)&amp;":"&amp;RIGHT(D828,2)</f>
        <v/>
      </c>
      <c r="H828" s="18" t="inlineStr">
        <is>
          <t>4E8656CA351C02BC</t>
        </is>
      </c>
      <c r="I828">
        <f>IFERROR(_xlfn.IFNA(INDEX(Sensors_MANU!$C$2:$C$4692,MATCH($D828,Sensors_MANU!$B$2:$B$4692,0)),INDEX(Sensors_MANU!$C$2:$C$4692,MATCH($P828,Sensors_MANU!$A$2:$A$4692,0))),"")</f>
        <v/>
      </c>
      <c r="J828">
        <f>IFERROR(_xlfn.IFNA(INDEX(Sensors_MANU!$D$2:$D$4692,MATCH($D828,Sensors_MANU!$B$2:$B$4692,0)),INDEX(Sensors_MANU!$D$2:$D$4692,MATCH($P828,Sensors_MANU!$A$2:$A$4692,0))),"")</f>
        <v/>
      </c>
      <c r="O828" s="6" t="inlineStr">
        <is>
          <t>V24</t>
        </is>
      </c>
    </row>
    <row r="829">
      <c r="A829" s="32">
        <f>IFERROR(_xlfn.IFNA(INDEX(Sensors_MANU!$E$2:$E$4692,MATCH($D829,Sensors_MANU!$B$2:$B$4692,0)),INDEX(Sensors_MANU!$E$2:$E$4692,MATCH($P829,Sensors_MANU!$A$2:$A$4692,0))),"")</f>
        <v/>
      </c>
      <c r="B829" s="24">
        <f>IFERROR(INDEX(Companies!$A$3:$A$101,MATCH(A829,Companies!$B$3:$B$101,0)),"")</f>
        <v/>
      </c>
      <c r="C829">
        <f>IFERROR(_xlfn.IFNA(INDEX(Sensors_MANU!$F$2:$F$4692,MATCH($D829,Sensors_MANU!$B$2:$B$4692,0)),INDEX(Sensors_MANU!$F$2:$F$4692,MATCH($P829,Sensors_MANU!$A$2:$A$4692,0))),"")</f>
        <v/>
      </c>
      <c r="D829" t="inlineStr">
        <is>
          <t>EFECEB730166</t>
        </is>
      </c>
      <c r="E829" s="24">
        <f>LEFT(D829,2)&amp;":"&amp;MID(D829,3,2)&amp;":"&amp;MID(D829,5,2)&amp;":"&amp;MID(D829,7,2)&amp;":"&amp;MID(D829,9,2)&amp;":"&amp;RIGHT(D829,2)</f>
        <v/>
      </c>
      <c r="F829" s="29" t="n">
        <v>44832</v>
      </c>
      <c r="G829" s="29" t="inlineStr">
        <is>
          <t>Hupac</t>
        </is>
      </c>
      <c r="H829" t="inlineStr">
        <is>
          <t>95A533583CE5A642</t>
        </is>
      </c>
      <c r="I829">
        <f>IFERROR(_xlfn.IFNA(INDEX(Sensors_MANU!$C$2:$C$4692,MATCH($D829,Sensors_MANU!$B$2:$B$4692,0)),INDEX(Sensors_MANU!$C$2:$C$4692,MATCH($P829,Sensors_MANU!$A$2:$A$4692,0))),"")</f>
        <v/>
      </c>
      <c r="J829">
        <f>IFERROR(_xlfn.IFNA(INDEX(Sensors_MANU!$D$2:$D$4692,MATCH($D829,Sensors_MANU!$B$2:$B$4692,0)),INDEX(Sensors_MANU!$D$2:$D$4692,MATCH($P829,Sensors_MANU!$A$2:$A$4692,0))),"")</f>
        <v/>
      </c>
      <c r="K829" s="27" t="inlineStr">
        <is>
          <t>33-85-4956-687-9</t>
        </is>
      </c>
      <c r="L829" s="27" t="inlineStr">
        <is>
          <t>7a</t>
        </is>
      </c>
      <c r="M829" s="61" t="inlineStr">
        <is>
          <t>88190443</t>
        </is>
      </c>
      <c r="O829" s="6" t="inlineStr">
        <is>
          <t>V24</t>
        </is>
      </c>
    </row>
    <row r="830">
      <c r="B830" s="24">
        <f>IFERROR(INDEX(Companies!$A$3:$A$101,MATCH(A830,Companies!$B$3:$B$101,0)),"")</f>
        <v/>
      </c>
      <c r="C830">
        <f>IFERROR(_xlfn.IFNA(INDEX(Sensors_MANU!$F$2:$F$4692,MATCH($D830,Sensors_MANU!$B$2:$B$4692,0)),INDEX(Sensors_MANU!$F$2:$F$4692,MATCH($P830,Sensors_MANU!$A$2:$A$4692,0))),"")</f>
        <v/>
      </c>
      <c r="D830" t="inlineStr">
        <is>
          <t>CE66D3884DBD</t>
        </is>
      </c>
      <c r="E830" s="24">
        <f>LEFT(D830,2)&amp;":"&amp;MID(D830,3,2)&amp;":"&amp;MID(D830,5,2)&amp;":"&amp;MID(D830,7,2)&amp;":"&amp;MID(D830,9,2)&amp;":"&amp;RIGHT(D830,2)</f>
        <v/>
      </c>
      <c r="H830" t="inlineStr">
        <is>
          <t>5C9CB231310795BF</t>
        </is>
      </c>
      <c r="I830">
        <f>IFERROR(_xlfn.IFNA(INDEX(Sensors_MANU!$C$2:$C$4692,MATCH($D830,Sensors_MANU!$B$2:$B$4692,0)),INDEX(Sensors_MANU!$C$2:$C$4692,MATCH($P830,Sensors_MANU!$A$2:$A$4692,0))),"")</f>
        <v/>
      </c>
      <c r="J830">
        <f>IFERROR(_xlfn.IFNA(INDEX(Sensors_MANU!$D$2:$D$4692,MATCH($D830,Sensors_MANU!$B$2:$B$4692,0)),INDEX(Sensors_MANU!$D$2:$D$4692,MATCH($P830,Sensors_MANU!$A$2:$A$4692,0))),"")</f>
        <v/>
      </c>
      <c r="O830" s="6" t="inlineStr">
        <is>
          <t>V24</t>
        </is>
      </c>
    </row>
    <row r="831">
      <c r="B831" s="24">
        <f>IFERROR(INDEX(Companies!$A$3:$A$101,MATCH(A831,Companies!$B$3:$B$101,0)),"")</f>
        <v/>
      </c>
      <c r="C831">
        <f>IFERROR(_xlfn.IFNA(INDEX(Sensors_MANU!$F$2:$F$4692,MATCH($D831,Sensors_MANU!$B$2:$B$4692,0)),INDEX(Sensors_MANU!$F$2:$F$4692,MATCH($P831,Sensors_MANU!$A$2:$A$4692,0))),"")</f>
        <v/>
      </c>
      <c r="D831" t="inlineStr">
        <is>
          <t>C62E1C723633</t>
        </is>
      </c>
      <c r="E831" s="24">
        <f>LEFT(D831,2)&amp;":"&amp;MID(D831,3,2)&amp;":"&amp;MID(D831,5,2)&amp;":"&amp;MID(D831,7,2)&amp;":"&amp;MID(D831,9,2)&amp;":"&amp;RIGHT(D831,2)</f>
        <v/>
      </c>
      <c r="H831" t="inlineStr">
        <is>
          <t>F0083939A7628E59</t>
        </is>
      </c>
      <c r="I831">
        <f>IFERROR(_xlfn.IFNA(INDEX(Sensors_MANU!$C$2:$C$4692,MATCH($D831,Sensors_MANU!$B$2:$B$4692,0)),INDEX(Sensors_MANU!$C$2:$C$4692,MATCH($P831,Sensors_MANU!$A$2:$A$4692,0))),"")</f>
        <v/>
      </c>
      <c r="J831">
        <f>IFERROR(_xlfn.IFNA(INDEX(Sensors_MANU!$D$2:$D$4692,MATCH($D831,Sensors_MANU!$B$2:$B$4692,0)),INDEX(Sensors_MANU!$D$2:$D$4692,MATCH($P831,Sensors_MANU!$A$2:$A$4692,0))),"")</f>
        <v/>
      </c>
      <c r="O831" s="6" t="inlineStr">
        <is>
          <t>V24</t>
        </is>
      </c>
    </row>
    <row r="832">
      <c r="B832" s="24">
        <f>IFERROR(INDEX(Companies!$A$3:$A$101,MATCH(A832,Companies!$B$3:$B$101,0)),"")</f>
        <v/>
      </c>
      <c r="C832">
        <f>IFERROR(_xlfn.IFNA(INDEX(Sensors_MANU!$F$2:$F$4692,MATCH($D832,Sensors_MANU!$B$2:$B$4692,0)),INDEX(Sensors_MANU!$F$2:$F$4692,MATCH($P832,Sensors_MANU!$A$2:$A$4692,0))),"")</f>
        <v/>
      </c>
      <c r="D832" t="inlineStr">
        <is>
          <t>F0168881C9E5</t>
        </is>
      </c>
      <c r="E832" s="24">
        <f>LEFT(D832,2)&amp;":"&amp;MID(D832,3,2)&amp;":"&amp;MID(D832,5,2)&amp;":"&amp;MID(D832,7,2)&amp;":"&amp;MID(D832,9,2)&amp;":"&amp;RIGHT(D832,2)</f>
        <v/>
      </c>
      <c r="H832" t="inlineStr">
        <is>
          <t>E306EC9261F1F42D</t>
        </is>
      </c>
      <c r="I832">
        <f>IFERROR(_xlfn.IFNA(INDEX(Sensors_MANU!$C$2:$C$4692,MATCH($D832,Sensors_MANU!$B$2:$B$4692,0)),INDEX(Sensors_MANU!$C$2:$C$4692,MATCH($P832,Sensors_MANU!$A$2:$A$4692,0))),"")</f>
        <v/>
      </c>
      <c r="J832">
        <f>IFERROR(_xlfn.IFNA(INDEX(Sensors_MANU!$D$2:$D$4692,MATCH($D832,Sensors_MANU!$B$2:$B$4692,0)),INDEX(Sensors_MANU!$D$2:$D$4692,MATCH($P832,Sensors_MANU!$A$2:$A$4692,0))),"")</f>
        <v/>
      </c>
      <c r="O832" s="6" t="inlineStr">
        <is>
          <t>V24</t>
        </is>
      </c>
    </row>
    <row r="833">
      <c r="A833" s="32">
        <f>IFERROR(_xlfn.IFNA(INDEX(Sensors_MANU!$E$2:$E$4692,MATCH($D833,Sensors_MANU!$B$2:$B$4692,0)),INDEX(Sensors_MANU!$E$2:$E$4692,MATCH($P833,Sensors_MANU!$A$2:$A$4692,0))),"")</f>
        <v/>
      </c>
      <c r="B833" s="24">
        <f>IFERROR(INDEX(Companies!$A$3:$A$101,MATCH(A833,Companies!$B$3:$B$101,0)),"")</f>
        <v/>
      </c>
      <c r="C833">
        <f>IFERROR(_xlfn.IFNA(INDEX(Sensors_MANU!$F$2:$F$4692,MATCH($D833,Sensors_MANU!$B$2:$B$4692,0)),INDEX(Sensors_MANU!$F$2:$F$4692,MATCH($P833,Sensors_MANU!$A$2:$A$4692,0))),"")</f>
        <v/>
      </c>
      <c r="D833" t="inlineStr">
        <is>
          <t>ECF4DCB00856</t>
        </is>
      </c>
      <c r="E833" s="24">
        <f>LEFT(D833,2)&amp;":"&amp;MID(D833,3,2)&amp;":"&amp;MID(D833,5,2)&amp;":"&amp;MID(D833,7,2)&amp;":"&amp;MID(D833,9,2)&amp;":"&amp;RIGHT(D833,2)</f>
        <v/>
      </c>
      <c r="F833" s="29" t="n">
        <v>44832</v>
      </c>
      <c r="G833" s="29" t="inlineStr">
        <is>
          <t>Hupac</t>
        </is>
      </c>
      <c r="H833" t="inlineStr">
        <is>
          <t>B94AD5151974BD4C</t>
        </is>
      </c>
      <c r="I833">
        <f>IFERROR(_xlfn.IFNA(INDEX(Sensors_MANU!$C$2:$C$4692,MATCH($D833,Sensors_MANU!$B$2:$B$4692,0)),INDEX(Sensors_MANU!$C$2:$C$4692,MATCH($P833,Sensors_MANU!$A$2:$A$4692,0))),"")</f>
        <v/>
      </c>
      <c r="J833">
        <f>IFERROR(_xlfn.IFNA(INDEX(Sensors_MANU!$D$2:$D$4692,MATCH($D833,Sensors_MANU!$B$2:$B$4692,0)),INDEX(Sensors_MANU!$D$2:$D$4692,MATCH($P833,Sensors_MANU!$A$2:$A$4692,0))),"")</f>
        <v/>
      </c>
      <c r="K833" s="27" t="inlineStr">
        <is>
          <t>33-85-4956-687-9</t>
        </is>
      </c>
      <c r="L833" s="27" t="inlineStr">
        <is>
          <t>12b</t>
        </is>
      </c>
      <c r="M833" s="61" t="inlineStr">
        <is>
          <t>88171024</t>
        </is>
      </c>
      <c r="O833" s="6" t="inlineStr">
        <is>
          <t>V24</t>
        </is>
      </c>
    </row>
    <row r="834">
      <c r="B834" s="24">
        <f>IFERROR(INDEX(Companies!$A$3:$A$101,MATCH(A834,Companies!$B$3:$B$101,0)),"")</f>
        <v/>
      </c>
      <c r="C834">
        <f>IFERROR(_xlfn.IFNA(INDEX(Sensors_MANU!$F$2:$F$4692,MATCH($D834,Sensors_MANU!$B$2:$B$4692,0)),INDEX(Sensors_MANU!$F$2:$F$4692,MATCH($P834,Sensors_MANU!$A$2:$A$4692,0))),"")</f>
        <v/>
      </c>
      <c r="D834" t="inlineStr">
        <is>
          <t>E767478FC65D</t>
        </is>
      </c>
      <c r="E834">
        <f>LEFT(D834,2)&amp;":"&amp;MID(D834,3,2)&amp;":"&amp;MID(D834,5,2)&amp;":"&amp;MID(D834,7,2)&amp;":"&amp;MID(D834,9,2)&amp;":"&amp;RIGHT(D834,2)</f>
        <v/>
      </c>
      <c r="H834" t="inlineStr">
        <is>
          <t>CD2430FE297F46A3</t>
        </is>
      </c>
      <c r="J834" s="65" t="inlineStr">
        <is>
          <t>PR2206-251</t>
        </is>
      </c>
      <c r="M834" s="27" t="n"/>
      <c r="N834" s="99">
        <f>IFERROR(INDEX(Sensors_MANU!$G$2:$G$4692,MATCH($P834,Sensors_MANU!$A$2:$A$4692,0)),)</f>
        <v/>
      </c>
      <c r="O834" s="6" t="inlineStr">
        <is>
          <t>v16</t>
        </is>
      </c>
      <c r="P834" t="n">
        <v>4978853</v>
      </c>
    </row>
    <row r="835">
      <c r="A835" s="32" t="inlineStr">
        <is>
          <t>RSA</t>
        </is>
      </c>
      <c r="B835" s="24">
        <f>IFERROR(INDEX(Companies!$A$3:$A$101,MATCH(A835,Companies!$B$3:$B$101,0)),"")</f>
        <v/>
      </c>
      <c r="C835">
        <f>IFERROR(_xlfn.IFNA(INDEX(Sensors_MANU!$F$2:$F$4692,MATCH($D835,Sensors_MANU!$B$2:$B$4692,0)),INDEX(Sensors_MANU!$F$2:$F$4692,MATCH($P835,Sensors_MANU!$A$2:$A$4692,0))),"")</f>
        <v/>
      </c>
      <c r="D835" t="inlineStr">
        <is>
          <t>DEE4F4504AEF</t>
        </is>
      </c>
      <c r="E835">
        <f>LEFT(D835,2)&amp;":"&amp;MID(D835,3,2)&amp;":"&amp;MID(D835,5,2)&amp;":"&amp;MID(D835,7,2)&amp;":"&amp;MID(D835,9,2)&amp;":"&amp;RIGHT(D835,2)</f>
        <v/>
      </c>
      <c r="H835" t="inlineStr">
        <is>
          <t>CECC29E4F749DE64</t>
        </is>
      </c>
      <c r="J835" s="65" t="inlineStr">
        <is>
          <t>PR2206-252</t>
        </is>
      </c>
      <c r="O835" s="6" t="inlineStr">
        <is>
          <t>v17</t>
        </is>
      </c>
      <c r="P835" t="n">
        <v>4978652</v>
      </c>
    </row>
    <row r="836">
      <c r="B836" s="24">
        <f>IFERROR(INDEX(Companies!$A$3:$A$101,MATCH(A836,Companies!$B$3:$B$101,0)),"")</f>
        <v/>
      </c>
      <c r="C836">
        <f>IFERROR(_xlfn.IFNA(INDEX(Sensors_MANU!$F$2:$F$4692,MATCH($D836,Sensors_MANU!$B$2:$B$4692,0)),INDEX(Sensors_MANU!$F$2:$F$4692,MATCH($P836,Sensors_MANU!$A$2:$A$4692,0))),"")</f>
        <v/>
      </c>
      <c r="D836" t="inlineStr">
        <is>
          <t>E1A4EE33C0B9</t>
        </is>
      </c>
      <c r="E836" s="24">
        <f>LEFT(D836,2)&amp;":"&amp;MID(D836,3,2)&amp;":"&amp;MID(D836,5,2)&amp;":"&amp;MID(D836,7,2)&amp;":"&amp;MID(D836,9,2)&amp;":"&amp;RIGHT(D836,2)</f>
        <v/>
      </c>
      <c r="H836" t="inlineStr">
        <is>
          <t>4F08CF905A85FE23</t>
        </is>
      </c>
      <c r="I836">
        <f>IFERROR(_xlfn.IFNA(INDEX(Sensors_MANU!$C$2:$C$4692,MATCH($D836,Sensors_MANU!$B$2:$B$4692,0)),INDEX(Sensors_MANU!$C$2:$C$4692,MATCH($P836,Sensors_MANU!$A$2:$A$4692,0))),"")</f>
        <v/>
      </c>
      <c r="J836">
        <f>IFERROR(_xlfn.IFNA(INDEX(Sensors_MANU!$D$2:$D$4692,MATCH($D836,Sensors_MANU!$B$2:$B$4692,0)),INDEX(Sensors_MANU!$D$2:$D$4692,MATCH($P836,Sensors_MANU!$A$2:$A$4692,0))),"")</f>
        <v/>
      </c>
      <c r="O836" s="6" t="inlineStr">
        <is>
          <t>V24</t>
        </is>
      </c>
    </row>
    <row r="837">
      <c r="A837" s="32">
        <f>IFERROR(_xlfn.IFNA(INDEX(Sensors_MANU!$E$2:$E$4692,MATCH($D837,Sensors_MANU!$B$2:$B$4692,0)),INDEX(Sensors_MANU!$E$2:$E$4692,MATCH($P837,Sensors_MANU!$A$2:$A$4692,0))),"")</f>
        <v/>
      </c>
      <c r="B837" s="24">
        <f>IFERROR(INDEX(Companies!$A$3:$A$101,MATCH(A837,Companies!$B$3:$B$101,0)),"")</f>
        <v/>
      </c>
      <c r="C837">
        <f>IFERROR(_xlfn.IFNA(INDEX(Sensors_MANU!$F$2:$F$4692,MATCH($D837,Sensors_MANU!$B$2:$B$4692,0)),INDEX(Sensors_MANU!$F$2:$F$4692,MATCH($P837,Sensors_MANU!$A$2:$A$4692,0))),"")</f>
        <v/>
      </c>
      <c r="D837" t="inlineStr">
        <is>
          <t>F16649241539</t>
        </is>
      </c>
      <c r="E837" s="24">
        <f>LEFT(D837,2)&amp;":"&amp;MID(D837,3,2)&amp;":"&amp;MID(D837,5,2)&amp;":"&amp;MID(D837,7,2)&amp;":"&amp;MID(D837,9,2)&amp;":"&amp;RIGHT(D837,2)</f>
        <v/>
      </c>
      <c r="F837" s="29" t="n">
        <v>44832</v>
      </c>
      <c r="G837" s="29" t="inlineStr">
        <is>
          <t>Viezo</t>
        </is>
      </c>
      <c r="H837" t="inlineStr">
        <is>
          <t>0B460B853C41C58F</t>
        </is>
      </c>
      <c r="I837">
        <f>IFERROR(_xlfn.IFNA(INDEX(Sensors_MANU!$C$2:$C$4692,MATCH($D837,Sensors_MANU!$B$2:$B$4692,0)),INDEX(Sensors_MANU!$C$2:$C$4692,MATCH($P837,Sensors_MANU!$A$2:$A$4692,0))),"")</f>
        <v/>
      </c>
      <c r="J837">
        <f>IFERROR(_xlfn.IFNA(INDEX(Sensors_MANU!$D$2:$D$4692,MATCH($D837,Sensors_MANU!$B$2:$B$4692,0)),INDEX(Sensors_MANU!$D$2:$D$4692,MATCH($P837,Sensors_MANU!$A$2:$A$4692,0))),"")</f>
        <v/>
      </c>
      <c r="K837" s="27" t="inlineStr">
        <is>
          <t>33 83 495 4 940-6</t>
        </is>
      </c>
      <c r="L837" s="27" t="n">
        <v>7</v>
      </c>
      <c r="O837" s="6" t="inlineStr">
        <is>
          <t>V24</t>
        </is>
      </c>
    </row>
    <row r="838">
      <c r="B838" s="24">
        <f>IFERROR(INDEX(Companies!$A$3:$A$101,MATCH(A838,Companies!$B$3:$B$101,0)),"")</f>
        <v/>
      </c>
      <c r="C838">
        <f>IFERROR(_xlfn.IFNA(INDEX(Sensors_MANU!$F$2:$F$4692,MATCH($D838,Sensors_MANU!$B$2:$B$4692,0)),INDEX(Sensors_MANU!$F$2:$F$4692,MATCH($P838,Sensors_MANU!$A$2:$A$4692,0))),"")</f>
        <v/>
      </c>
      <c r="D838" t="inlineStr">
        <is>
          <t>F47856796BC4</t>
        </is>
      </c>
      <c r="E838" s="24">
        <f>LEFT(D838,2)&amp;":"&amp;MID(D838,3,2)&amp;":"&amp;MID(D838,5,2)&amp;":"&amp;MID(D838,7,2)&amp;":"&amp;MID(D838,9,2)&amp;":"&amp;RIGHT(D838,2)</f>
        <v/>
      </c>
      <c r="H838" t="inlineStr">
        <is>
          <t>6A35ACB35C617A8D</t>
        </is>
      </c>
      <c r="I838">
        <f>IFERROR(_xlfn.IFNA(INDEX(Sensors_MANU!$C$2:$C$4692,MATCH($D838,Sensors_MANU!$B$2:$B$4692,0)),INDEX(Sensors_MANU!$C$2:$C$4692,MATCH($P838,Sensors_MANU!$A$2:$A$4692,0))),"")</f>
        <v/>
      </c>
      <c r="J838">
        <f>IFERROR(_xlfn.IFNA(INDEX(Sensors_MANU!$D$2:$D$4692,MATCH($D838,Sensors_MANU!$B$2:$B$4692,0)),INDEX(Sensors_MANU!$D$2:$D$4692,MATCH($P838,Sensors_MANU!$A$2:$A$4692,0))),"")</f>
        <v/>
      </c>
      <c r="O838" s="6" t="inlineStr">
        <is>
          <t>V24</t>
        </is>
      </c>
    </row>
    <row r="839">
      <c r="B839" s="24">
        <f>IFERROR(INDEX(Companies!$A$3:$A$101,MATCH(A839,Companies!$B$3:$B$101,0)),"")</f>
        <v/>
      </c>
      <c r="C839">
        <f>IFERROR(_xlfn.IFNA(INDEX(Sensors_MANU!$F$2:$F$4692,MATCH($D839,Sensors_MANU!$B$2:$B$4692,0)),INDEX(Sensors_MANU!$F$2:$F$4692,MATCH($P839,Sensors_MANU!$A$2:$A$4692,0))),"")</f>
        <v/>
      </c>
      <c r="D839" t="inlineStr">
        <is>
          <t>E729E7C50E18</t>
        </is>
      </c>
      <c r="E839" s="24">
        <f>LEFT(D839,2)&amp;":"&amp;MID(D839,3,2)&amp;":"&amp;MID(D839,5,2)&amp;":"&amp;MID(D839,7,2)&amp;":"&amp;MID(D839,9,2)&amp;":"&amp;RIGHT(D839,2)</f>
        <v/>
      </c>
      <c r="H839" t="inlineStr">
        <is>
          <t>3C92192980CF602D</t>
        </is>
      </c>
      <c r="I839">
        <f>IFERROR(_xlfn.IFNA(INDEX(Sensors_MANU!$C$2:$C$4692,MATCH($D839,Sensors_MANU!$B$2:$B$4692,0)),INDEX(Sensors_MANU!$C$2:$C$4692,MATCH($P839,Sensors_MANU!$A$2:$A$4692,0))),"")</f>
        <v/>
      </c>
      <c r="J839">
        <f>IFERROR(_xlfn.IFNA(INDEX(Sensors_MANU!$D$2:$D$4692,MATCH($D839,Sensors_MANU!$B$2:$B$4692,0)),INDEX(Sensors_MANU!$D$2:$D$4692,MATCH($P839,Sensors_MANU!$A$2:$A$4692,0))),"")</f>
        <v/>
      </c>
      <c r="O839" s="6" t="inlineStr">
        <is>
          <t>V24</t>
        </is>
      </c>
    </row>
    <row r="840">
      <c r="B840" s="24">
        <f>IFERROR(INDEX(Companies!$A$3:$A$101,MATCH(A840,Companies!$B$3:$B$101,0)),"")</f>
        <v/>
      </c>
      <c r="C840">
        <f>IFERROR(_xlfn.IFNA(INDEX(Sensors_MANU!$F$2:$F$4692,MATCH($D840,Sensors_MANU!$B$2:$B$4692,0)),INDEX(Sensors_MANU!$F$2:$F$4692,MATCH($P840,Sensors_MANU!$A$2:$A$4692,0))),"")</f>
        <v/>
      </c>
      <c r="D840" t="inlineStr">
        <is>
          <t>E67264EA024D</t>
        </is>
      </c>
      <c r="E840" s="24">
        <f>LEFT(D840,2)&amp;":"&amp;MID(D840,3,2)&amp;":"&amp;MID(D840,5,2)&amp;":"&amp;MID(D840,7,2)&amp;":"&amp;MID(D840,9,2)&amp;":"&amp;RIGHT(D840,2)</f>
        <v/>
      </c>
      <c r="H840" t="inlineStr">
        <is>
          <t>43A6C10ECCD3B7B4</t>
        </is>
      </c>
      <c r="I840">
        <f>IFERROR(_xlfn.IFNA(INDEX(Sensors_MANU!$C$2:$C$4692,MATCH($D840,Sensors_MANU!$B$2:$B$4692,0)),INDEX(Sensors_MANU!$C$2:$C$4692,MATCH($P840,Sensors_MANU!$A$2:$A$4692,0))),"")</f>
        <v/>
      </c>
      <c r="J840">
        <f>IFERROR(_xlfn.IFNA(INDEX(Sensors_MANU!$D$2:$D$4692,MATCH($D840,Sensors_MANU!$B$2:$B$4692,0)),INDEX(Sensors_MANU!$D$2:$D$4692,MATCH($P840,Sensors_MANU!$A$2:$A$4692,0))),"")</f>
        <v/>
      </c>
      <c r="O840" s="6" t="inlineStr">
        <is>
          <t>V24</t>
        </is>
      </c>
    </row>
    <row r="841">
      <c r="B841" s="24">
        <f>IFERROR(INDEX(Companies!$A$3:$A$101,MATCH(A841,Companies!$B$3:$B$101,0)),"")</f>
        <v/>
      </c>
      <c r="D841" t="inlineStr">
        <is>
          <t>D48659998F09</t>
        </is>
      </c>
      <c r="E841" s="24">
        <f>LEFT(D841,2)&amp;":"&amp;MID(D841,3,2)&amp;":"&amp;MID(D841,5,2)&amp;":"&amp;MID(D841,7,2)&amp;":"&amp;MID(D841,9,2)&amp;":"&amp;RIGHT(D841,2)</f>
        <v/>
      </c>
      <c r="H841" t="inlineStr">
        <is>
          <t>59A2AAA50BC21BC7</t>
        </is>
      </c>
      <c r="I841">
        <f>IFERROR(_xlfn.IFNA(INDEX(Sensors_MANU!$C$2:$C$4692,MATCH($D841,Sensors_MANU!$B$2:$B$4692,0)),INDEX(Sensors_MANU!$C$2:$C$4692,MATCH($P841,Sensors_MANU!$A$2:$A$4692,0))),"")</f>
        <v/>
      </c>
      <c r="J841">
        <f>IFERROR(_xlfn.IFNA(INDEX(Sensors_MANU!$D$2:$D$4692,MATCH($D841,Sensors_MANU!$B$2:$B$4692,0)),INDEX(Sensors_MANU!$D$2:$D$4692,MATCH($P841,Sensors_MANU!$A$2:$A$4692,0))),"")</f>
        <v/>
      </c>
      <c r="O841" s="6" t="inlineStr">
        <is>
          <t>V24</t>
        </is>
      </c>
    </row>
    <row r="842">
      <c r="B842" s="24">
        <f>IFERROR(INDEX(Companies!$A$3:$A$101,MATCH(A842,Companies!$B$3:$B$101,0)),"")</f>
        <v/>
      </c>
      <c r="C842">
        <f>IFERROR(_xlfn.IFNA(INDEX(Sensors_MANU!$F$2:$F$4692,MATCH($D842,Sensors_MANU!$B$2:$B$4692,0)),INDEX(Sensors_MANU!$F$2:$F$4692,MATCH($P842,Sensors_MANU!$A$2:$A$4692,0))),"")</f>
        <v/>
      </c>
      <c r="D842" t="inlineStr">
        <is>
          <t>E8E91E0AB6CA</t>
        </is>
      </c>
      <c r="E842" s="24">
        <f>LEFT(D842,2)&amp;":"&amp;MID(D842,3,2)&amp;":"&amp;MID(D842,5,2)&amp;":"&amp;MID(D842,7,2)&amp;":"&amp;MID(D842,9,2)&amp;":"&amp;RIGHT(D842,2)</f>
        <v/>
      </c>
      <c r="H842" t="inlineStr">
        <is>
          <t>6F4215D0E1D38D79</t>
        </is>
      </c>
      <c r="I842">
        <f>IFERROR(_xlfn.IFNA(INDEX(Sensors_MANU!$C$2:$C$4692,MATCH($D842,Sensors_MANU!$B$2:$B$4692,0)),INDEX(Sensors_MANU!$C$2:$C$4692,MATCH($P842,Sensors_MANU!$A$2:$A$4692,0))),"")</f>
        <v/>
      </c>
      <c r="J842" s="65" t="inlineStr">
        <is>
          <t>PR2206-262</t>
        </is>
      </c>
      <c r="O842" s="6" t="inlineStr">
        <is>
          <t>V24</t>
        </is>
      </c>
    </row>
    <row r="843">
      <c r="A843" s="32">
        <f>IFERROR(_xlfn.IFNA(INDEX(Sensors_MANU!$E$2:$E$4692,MATCH($D843,Sensors_MANU!$B$2:$B$4692,0)),INDEX(Sensors_MANU!$E$2:$E$4692,MATCH($P843,Sensors_MANU!$A$2:$A$4692,0))),"")</f>
        <v/>
      </c>
      <c r="B843" s="24">
        <f>IFERROR(INDEX(Companies!$A$3:$A$101,MATCH(A843,Companies!$B$3:$B$101,0)),"")</f>
        <v/>
      </c>
      <c r="C843">
        <f>IFERROR(_xlfn.IFNA(INDEX(Sensors_MANU!$F$2:$F$4692,MATCH($D843,Sensors_MANU!$B$2:$B$4692,0)),INDEX(Sensors_MANU!$F$2:$F$4692,MATCH($P843,Sensors_MANU!$A$2:$A$4692,0))),"")</f>
        <v/>
      </c>
      <c r="D843" t="inlineStr">
        <is>
          <t>D23957E62FED</t>
        </is>
      </c>
      <c r="E843" s="24">
        <f>LEFT(D843,2)&amp;":"&amp;MID(D843,3,2)&amp;":"&amp;MID(D843,5,2)&amp;":"&amp;MID(D843,7,2)&amp;":"&amp;MID(D843,9,2)&amp;":"&amp;RIGHT(D843,2)</f>
        <v/>
      </c>
      <c r="F843" s="29" t="n">
        <v>44832</v>
      </c>
      <c r="G843" s="29" t="inlineStr">
        <is>
          <t>Viezo</t>
        </is>
      </c>
      <c r="H843" t="inlineStr">
        <is>
          <t>384C2ADD82020CE4</t>
        </is>
      </c>
      <c r="I843">
        <f>IFERROR(_xlfn.IFNA(INDEX(Sensors_MANU!$C$2:$C$4692,MATCH($D843,Sensors_MANU!$B$2:$B$4692,0)),INDEX(Sensors_MANU!$C$2:$C$4692,MATCH($P843,Sensors_MANU!$A$2:$A$4692,0))),"")</f>
        <v/>
      </c>
      <c r="J843">
        <f>IFERROR(_xlfn.IFNA(INDEX(Sensors_MANU!$D$2:$D$4692,MATCH($D843,Sensors_MANU!$B$2:$B$4692,0)),INDEX(Sensors_MANU!$D$2:$D$4692,MATCH($P843,Sensors_MANU!$A$2:$A$4692,0))),"")</f>
        <v/>
      </c>
      <c r="K843" s="27" t="inlineStr">
        <is>
          <t>33 83 495 4 940-6</t>
        </is>
      </c>
      <c r="L843" s="27" t="n">
        <v>10</v>
      </c>
      <c r="O843" s="6" t="inlineStr">
        <is>
          <t>V24</t>
        </is>
      </c>
    </row>
    <row r="844">
      <c r="A844" s="32" t="inlineStr">
        <is>
          <t>RENFE</t>
        </is>
      </c>
      <c r="B844" s="24">
        <f>IFERROR(INDEX(Companies!$A$3:$A$101,MATCH(A844,Companies!$B$3:$B$101,0)),"")</f>
        <v/>
      </c>
      <c r="C844">
        <f>IFERROR(_xlfn.IFNA(INDEX(Sensors_MANU!$F$2:$F$4692,MATCH($D844,Sensors_MANU!$B$2:$B$4692,0)),INDEX(Sensors_MANU!$F$2:$F$4692,MATCH($P844,Sensors_MANU!$A$2:$A$4692,0))),"")</f>
        <v/>
      </c>
      <c r="D844" t="inlineStr">
        <is>
          <t>C9E9BDE47A50</t>
        </is>
      </c>
      <c r="E844">
        <f>LEFT(D844,2)&amp;":"&amp;MID(D844,3,2)&amp;":"&amp;MID(D844,5,2)&amp;":"&amp;MID(D844,7,2)&amp;":"&amp;MID(D844,9,2)&amp;":"&amp;RIGHT(D844,2)</f>
        <v/>
      </c>
      <c r="F844" s="29" t="n">
        <v>45083</v>
      </c>
      <c r="G844" s="29" t="inlineStr">
        <is>
          <t>Renfe</t>
        </is>
      </c>
      <c r="H844" t="inlineStr">
        <is>
          <t>A62E0FC787D43FA9</t>
        </is>
      </c>
      <c r="I844">
        <f>IFERROR(_xlfn.IFNA(INDEX(Sensors_MANU!$C$2:$C$4692,MATCH($D844,Sensors_MANU!$B$2:$B$4692,0)),INDEX(Sensors_MANU!$C$2:$C$4692,MATCH($P844,Sensors_MANU!$A$2:$A$4692,0))),"")</f>
        <v/>
      </c>
      <c r="J844" s="64" t="inlineStr">
        <is>
          <t>PR2206-265</t>
        </is>
      </c>
      <c r="K844" s="27" t="n">
        <v>527015</v>
      </c>
      <c r="L844" s="27" t="inlineStr">
        <is>
          <t>1L</t>
        </is>
      </c>
      <c r="M844" s="27" t="n"/>
      <c r="N844" s="99">
        <f>IFERROR(INDEX(Sensors_MANU!$G$2:$G$4692,MATCH($P844,Sensors_MANU!$A$2:$A$4692,0)),)</f>
        <v/>
      </c>
      <c r="O844" s="6" t="inlineStr">
        <is>
          <t>v16</t>
        </is>
      </c>
      <c r="P844" t="n">
        <v>4978635</v>
      </c>
    </row>
    <row r="845">
      <c r="B845" s="24">
        <f>IFERROR(INDEX(Companies!$A$3:$A$101,MATCH(A845,Companies!$B$3:$B$101,0)),"")</f>
        <v/>
      </c>
      <c r="C845">
        <f>IFERROR(_xlfn.IFNA(INDEX(Sensors_MANU!$F$2:$F$4692,MATCH($D845,Sensors_MANU!$B$2:$B$4692,0)),INDEX(Sensors_MANU!$F$2:$F$4692,MATCH($P845,Sensors_MANU!$A$2:$A$4692,0))),"")</f>
        <v/>
      </c>
      <c r="D845" t="inlineStr">
        <is>
          <t>C49222669068</t>
        </is>
      </c>
      <c r="E845" s="24">
        <f>LEFT(D845,2)&amp;":"&amp;MID(D845,3,2)&amp;":"&amp;MID(D845,5,2)&amp;":"&amp;MID(D845,7,2)&amp;":"&amp;MID(D845,9,2)&amp;":"&amp;RIGHT(D845,2)</f>
        <v/>
      </c>
      <c r="H845" t="inlineStr">
        <is>
          <t>BDF5F4D72219A4CD</t>
        </is>
      </c>
      <c r="I845">
        <f>IFERROR(_xlfn.IFNA(INDEX(Sensors_MANU!$C$2:$C$4692,MATCH($D845,Sensors_MANU!$B$2:$B$4692,0)),INDEX(Sensors_MANU!$C$2:$C$4692,MATCH($P845,Sensors_MANU!$A$2:$A$4692,0))),"")</f>
        <v/>
      </c>
      <c r="J845">
        <f>IFERROR(_xlfn.IFNA(INDEX(Sensors_MANU!$D$2:$D$4692,MATCH($D845,Sensors_MANU!$B$2:$B$4692,0)),INDEX(Sensors_MANU!$D$2:$D$4692,MATCH($P845,Sensors_MANU!$A$2:$A$4692,0))),"")</f>
        <v/>
      </c>
      <c r="O845" s="6" t="inlineStr">
        <is>
          <t>V24</t>
        </is>
      </c>
    </row>
    <row r="846">
      <c r="A846" s="32" t="inlineStr">
        <is>
          <t>RSA</t>
        </is>
      </c>
      <c r="B846" s="24">
        <f>IFERROR(INDEX(Companies!$A$3:$A$101,MATCH(A846,Companies!$B$3:$B$101,0)),"")</f>
        <v/>
      </c>
      <c r="C846">
        <f>IFERROR(_xlfn.IFNA(INDEX(Sensors_MANU!$F$2:$F$4692,MATCH($D846,Sensors_MANU!$B$2:$B$4692,0)),INDEX(Sensors_MANU!$F$2:$F$4692,MATCH($P846,Sensors_MANU!$A$2:$A$4692,0))),"")</f>
        <v/>
      </c>
      <c r="D846" t="inlineStr">
        <is>
          <t>CDB19E33BD9C</t>
        </is>
      </c>
      <c r="E846" s="24">
        <f>LEFT(D846,2)&amp;":"&amp;MID(D846,3,2)&amp;":"&amp;MID(D846,5,2)&amp;":"&amp;MID(D846,7,2)&amp;":"&amp;MID(D846,9,2)&amp;":"&amp;RIGHT(D846,2)</f>
        <v/>
      </c>
      <c r="H846" t="inlineStr">
        <is>
          <t>D4266FF8305D25DA</t>
        </is>
      </c>
      <c r="I846">
        <f>IFERROR(_xlfn.IFNA(INDEX(Sensors_MANU!$C$2:$C$4692,MATCH($D846,Sensors_MANU!$B$2:$B$4692,0)),INDEX(Sensors_MANU!$C$2:$C$4692,MATCH($P846,Sensors_MANU!$A$2:$A$4692,0))),"")</f>
        <v/>
      </c>
      <c r="J846" s="65" t="inlineStr">
        <is>
          <t>PR2206-270</t>
        </is>
      </c>
      <c r="O846" s="6" t="inlineStr">
        <is>
          <t>V23</t>
        </is>
      </c>
    </row>
    <row r="847">
      <c r="A847" s="32">
        <f>IFERROR(_xlfn.IFNA(INDEX(Sensors_MANU!$E$2:$E$4692,MATCH($D847,Sensors_MANU!$B$2:$B$4692,0)),INDEX(Sensors_MANU!$E$2:$E$4692,MATCH($P847,Sensors_MANU!$A$2:$A$4692,0))),"")</f>
        <v/>
      </c>
      <c r="B847" s="24">
        <f>IFERROR(INDEX(Companies!$A$3:$A$101,MATCH(A847,Companies!$B$3:$B$101,0)),"")</f>
        <v/>
      </c>
      <c r="C847">
        <f>IFERROR(_xlfn.IFNA(INDEX(Sensors_MANU!$F$2:$F$4692,MATCH($D847,Sensors_MANU!$B$2:$B$4692,0)),INDEX(Sensors_MANU!$F$2:$F$4692,MATCH($P847,Sensors_MANU!$A$2:$A$4692,0))),"")</f>
        <v/>
      </c>
      <c r="D847" t="inlineStr">
        <is>
          <t>C4721FB085F7</t>
        </is>
      </c>
      <c r="E847" s="24">
        <f>LEFT(D847,2)&amp;":"&amp;MID(D847,3,2)&amp;":"&amp;MID(D847,5,2)&amp;":"&amp;MID(D847,7,2)&amp;":"&amp;MID(D847,9,2)&amp;":"&amp;RIGHT(D847,2)</f>
        <v/>
      </c>
      <c r="F847" s="29" t="n">
        <v>44832</v>
      </c>
      <c r="G847" s="29" t="inlineStr">
        <is>
          <t>Hupac</t>
        </is>
      </c>
      <c r="H847" t="inlineStr">
        <is>
          <t>3ADF6D3D808CBF32</t>
        </is>
      </c>
      <c r="I847">
        <f>IFERROR(_xlfn.IFNA(INDEX(Sensors_MANU!$C$2:$C$4692,MATCH($D847,Sensors_MANU!$B$2:$B$4692,0)),INDEX(Sensors_MANU!$C$2:$C$4692,MATCH($P847,Sensors_MANU!$A$2:$A$4692,0))),"")</f>
        <v/>
      </c>
      <c r="J847">
        <f>IFERROR(_xlfn.IFNA(INDEX(Sensors_MANU!$D$2:$D$4692,MATCH($D847,Sensors_MANU!$B$2:$B$4692,0)),INDEX(Sensors_MANU!$D$2:$D$4692,MATCH($P847,Sensors_MANU!$A$2:$A$4692,0))),"")</f>
        <v/>
      </c>
      <c r="K847" s="27" t="inlineStr">
        <is>
          <t>33-85-4956-687-9</t>
        </is>
      </c>
      <c r="L847" s="27" t="inlineStr">
        <is>
          <t>5a</t>
        </is>
      </c>
      <c r="M847" s="61" t="inlineStr">
        <is>
          <t>88160268</t>
        </is>
      </c>
      <c r="O847" s="6" t="inlineStr">
        <is>
          <t>V24</t>
        </is>
      </c>
    </row>
    <row r="848">
      <c r="B848" s="24">
        <f>IFERROR(INDEX(Companies!$A$3:$A$101,MATCH(A848,Companies!$B$3:$B$101,0)),"")</f>
        <v/>
      </c>
      <c r="C848">
        <f>IFERROR(_xlfn.IFNA(INDEX(Sensors_MANU!$F$2:$F$4692,MATCH($D848,Sensors_MANU!$B$2:$B$4692,0)),INDEX(Sensors_MANU!$F$2:$F$4692,MATCH($P848,Sensors_MANU!$A$2:$A$4692,0))),"")</f>
        <v/>
      </c>
      <c r="D848" t="inlineStr">
        <is>
          <t>C99173CF2728</t>
        </is>
      </c>
      <c r="E848" s="24">
        <f>LEFT(D848,2)&amp;":"&amp;MID(D848,3,2)&amp;":"&amp;MID(D848,5,2)&amp;":"&amp;MID(D848,7,2)&amp;":"&amp;MID(D848,9,2)&amp;":"&amp;RIGHT(D848,2)</f>
        <v/>
      </c>
      <c r="H848" t="inlineStr">
        <is>
          <t>A425243E79466185</t>
        </is>
      </c>
      <c r="I848">
        <f>IFERROR(_xlfn.IFNA(INDEX(Sensors_MANU!$C$2:$C$4692,MATCH($D848,Sensors_MANU!$B$2:$B$4692,0)),INDEX(Sensors_MANU!$C$2:$C$4692,MATCH($P848,Sensors_MANU!$A$2:$A$4692,0))),"")</f>
        <v/>
      </c>
      <c r="J848">
        <f>IFERROR(_xlfn.IFNA(INDEX(Sensors_MANU!$D$2:$D$4692,MATCH($D848,Sensors_MANU!$B$2:$B$4692,0)),INDEX(Sensors_MANU!$D$2:$D$4692,MATCH($P848,Sensors_MANU!$A$2:$A$4692,0))),"")</f>
        <v/>
      </c>
      <c r="O848" s="6" t="inlineStr">
        <is>
          <t>V24</t>
        </is>
      </c>
    </row>
    <row r="849">
      <c r="A849" s="32">
        <f>IFERROR(_xlfn.IFNA(INDEX(Sensors_MANU!$E$2:$E$4692,MATCH($D849,Sensors_MANU!$B$2:$B$4692,0)),INDEX(Sensors_MANU!$E$2:$E$4692,MATCH($P849,Sensors_MANU!$A$2:$A$4692,0))),"")</f>
        <v/>
      </c>
      <c r="B849" s="24">
        <f>IFERROR(INDEX(Companies!$A$3:$A$101,MATCH(A849,Companies!$B$3:$B$101,0)),"")</f>
        <v/>
      </c>
      <c r="C849">
        <f>IFERROR(_xlfn.IFNA(INDEX(Sensors_MANU!$F$2:$F$4692,MATCH($D849,Sensors_MANU!$B$2:$B$4692,0)),INDEX(Sensors_MANU!$F$2:$F$4692,MATCH($P849,Sensors_MANU!$A$2:$A$4692,0))),"")</f>
        <v/>
      </c>
      <c r="D849" t="inlineStr">
        <is>
          <t>C06E2A035613</t>
        </is>
      </c>
      <c r="E849" s="24">
        <f>LEFT(D849,2)&amp;":"&amp;MID(D849,3,2)&amp;":"&amp;MID(D849,5,2)&amp;":"&amp;MID(D849,7,2)&amp;":"&amp;MID(D849,9,2)&amp;":"&amp;RIGHT(D849,2)</f>
        <v/>
      </c>
      <c r="F849" s="29" t="n">
        <v>44832</v>
      </c>
      <c r="G849" s="29" t="inlineStr">
        <is>
          <t>Hupac</t>
        </is>
      </c>
      <c r="H849" t="inlineStr">
        <is>
          <t>2B4B3DD99CEC36E6</t>
        </is>
      </c>
      <c r="I849">
        <f>IFERROR(_xlfn.IFNA(INDEX(Sensors_MANU!$C$2:$C$4692,MATCH($D849,Sensors_MANU!$B$2:$B$4692,0)),INDEX(Sensors_MANU!$C$2:$C$4692,MATCH($P849,Sensors_MANU!$A$2:$A$4692,0))),"")</f>
        <v/>
      </c>
      <c r="J849">
        <f>IFERROR(_xlfn.IFNA(INDEX(Sensors_MANU!$D$2:$D$4692,MATCH($D849,Sensors_MANU!$B$2:$B$4692,0)),INDEX(Sensors_MANU!$D$2:$D$4692,MATCH($P849,Sensors_MANU!$A$2:$A$4692,0))),"")</f>
        <v/>
      </c>
      <c r="K849" s="27" t="inlineStr">
        <is>
          <t>33-85-4956-687-9</t>
        </is>
      </c>
      <c r="L849" s="27" t="inlineStr">
        <is>
          <t>9a</t>
        </is>
      </c>
      <c r="M849" s="61" t="inlineStr">
        <is>
          <t>88200961</t>
        </is>
      </c>
      <c r="O849" s="6" t="inlineStr">
        <is>
          <t>V23</t>
        </is>
      </c>
    </row>
    <row r="850">
      <c r="A850" s="32">
        <f>IFERROR(_xlfn.IFNA(INDEX(Sensors_MANU!$E$2:$E$4692,MATCH($D850,Sensors_MANU!$B$2:$B$4692,0)),INDEX(Sensors_MANU!$E$2:$E$4692,MATCH($P850,Sensors_MANU!$A$2:$A$4692,0))),"")</f>
        <v/>
      </c>
      <c r="B850" s="24">
        <f>IFERROR(INDEX(Companies!$A$3:$A$101,MATCH(A850,Companies!$B$3:$B$101,0)),"")</f>
        <v/>
      </c>
      <c r="C850">
        <f>IFERROR(_xlfn.IFNA(INDEX(Sensors_MANU!$F$2:$F$4692,MATCH($D850,Sensors_MANU!$B$2:$B$4692,0)),INDEX(Sensors_MANU!$F$2:$F$4692,MATCH($P850,Sensors_MANU!$A$2:$A$4692,0))),"")</f>
        <v/>
      </c>
      <c r="D850" s="25" t="inlineStr">
        <is>
          <t>FE4E199C036E</t>
        </is>
      </c>
      <c r="E850" s="24">
        <f>LEFT(D850,2)&amp;":"&amp;MID(D850,3,2)&amp;":"&amp;MID(D850,5,2)&amp;":"&amp;MID(D850,7,2)&amp;":"&amp;MID(D850,9,2)&amp;":"&amp;RIGHT(D850,2)</f>
        <v/>
      </c>
      <c r="F850" s="29" t="n">
        <v>44754</v>
      </c>
      <c r="G850" s="29" t="inlineStr">
        <is>
          <t>Viezo</t>
        </is>
      </c>
      <c r="H850" t="inlineStr">
        <is>
          <t>F278E151AD918DD5</t>
        </is>
      </c>
      <c r="I850">
        <f>IFERROR(_xlfn.IFNA(INDEX(Sensors_MANU!$C$2:$C$4692,MATCH($D850,Sensors_MANU!$B$2:$B$4692,0)),INDEX(Sensors_MANU!$C$2:$C$4692,MATCH($P850,Sensors_MANU!$A$2:$A$4692,0))),"")</f>
        <v/>
      </c>
      <c r="J850">
        <f>IFERROR(_xlfn.IFNA(INDEX(Sensors_MANU!$D$2:$D$4692,MATCH($D850,Sensors_MANU!$B$2:$B$4692,0)),INDEX(Sensors_MANU!$D$2:$D$4692,MATCH($P850,Sensors_MANU!$A$2:$A$4692,0))),"")</f>
        <v/>
      </c>
      <c r="K850" s="27" t="inlineStr">
        <is>
          <t>31832852846-4</t>
        </is>
      </c>
      <c r="L850" s="27" t="inlineStr">
        <is>
          <t>2R</t>
        </is>
      </c>
      <c r="O850" s="6" t="inlineStr">
        <is>
          <t>V23</t>
        </is>
      </c>
    </row>
    <row r="851">
      <c r="B851" s="24">
        <f>IFERROR(INDEX(Companies!$A$3:$A$101,MATCH(A851,Companies!$B$3:$B$101,0)),"")</f>
        <v/>
      </c>
      <c r="C851">
        <f>IFERROR(_xlfn.IFNA(INDEX(Sensors_MANU!$F$2:$F$4692,MATCH($D851,Sensors_MANU!$B$2:$B$4692,0)),INDEX(Sensors_MANU!$F$2:$F$4692,MATCH($P851,Sensors_MANU!$A$2:$A$4692,0))),"")</f>
        <v/>
      </c>
      <c r="D851" t="inlineStr">
        <is>
          <t>C51DB9317968</t>
        </is>
      </c>
      <c r="E851" s="24">
        <f>LEFT(D851,2)&amp;":"&amp;MID(D851,3,2)&amp;":"&amp;MID(D851,5,2)&amp;":"&amp;MID(D851,7,2)&amp;":"&amp;MID(D851,9,2)&amp;":"&amp;RIGHT(D851,2)</f>
        <v/>
      </c>
      <c r="H851" t="inlineStr">
        <is>
          <t>0A91D83D92BF1C2A</t>
        </is>
      </c>
      <c r="I851">
        <f>IFERROR(_xlfn.IFNA(INDEX(Sensors_MANU!$C$2:$C$4692,MATCH($D851,Sensors_MANU!$B$2:$B$4692,0)),INDEX(Sensors_MANU!$C$2:$C$4692,MATCH($P851,Sensors_MANU!$A$2:$A$4692,0))),"")</f>
        <v/>
      </c>
      <c r="J851">
        <f>IFERROR(_xlfn.IFNA(INDEX(Sensors_MANU!$D$2:$D$4692,MATCH($D851,Sensors_MANU!$B$2:$B$4692,0)),INDEX(Sensors_MANU!$D$2:$D$4692,MATCH($P851,Sensors_MANU!$A$2:$A$4692,0))),"")</f>
        <v/>
      </c>
      <c r="O851" s="6" t="inlineStr">
        <is>
          <t>V24</t>
        </is>
      </c>
    </row>
    <row r="852">
      <c r="A852" s="32">
        <f>IFERROR(_xlfn.IFNA(INDEX(Sensors_MANU!$E$2:$E$4692,MATCH($D852,Sensors_MANU!$B$2:$B$4692,0)),INDEX(Sensors_MANU!$E$2:$E$4692,MATCH($P852,Sensors_MANU!$A$2:$A$4692,0))),"")</f>
        <v/>
      </c>
      <c r="B852" s="24">
        <f>IFERROR(INDEX(Companies!$A$3:$A$101,MATCH(A852,Companies!$B$3:$B$101,0)),"")</f>
        <v/>
      </c>
      <c r="C852">
        <f>IFERROR(_xlfn.IFNA(INDEX(Sensors_MANU!$F$2:$F$4692,MATCH($D852,Sensors_MANU!$B$2:$B$4692,0)),INDEX(Sensors_MANU!$F$2:$F$4692,MATCH($P852,Sensors_MANU!$A$2:$A$4692,0))),"")</f>
        <v/>
      </c>
      <c r="D852" s="50" t="inlineStr">
        <is>
          <t>D2DC7A3C9665</t>
        </is>
      </c>
      <c r="E852" s="24">
        <f>LEFT(D852,2)&amp;":"&amp;MID(D852,3,2)&amp;":"&amp;MID(D852,5,2)&amp;":"&amp;MID(D852,7,2)&amp;":"&amp;MID(D852,9,2)&amp;":"&amp;RIGHT(D852,2)</f>
        <v/>
      </c>
      <c r="F852" s="29" t="n">
        <v>44754</v>
      </c>
      <c r="G852" s="29" t="inlineStr">
        <is>
          <t>Viezo</t>
        </is>
      </c>
      <c r="H852" s="26" t="inlineStr">
        <is>
          <t>A287840C26E25F38</t>
        </is>
      </c>
      <c r="I852">
        <f>IFERROR(_xlfn.IFNA(INDEX(Sensors_MANU!$C$2:$C$4692,MATCH($D852,Sensors_MANU!$B$2:$B$4692,0)),INDEX(Sensors_MANU!$C$2:$C$4692,MATCH($P852,Sensors_MANU!$A$2:$A$4692,0))),"")</f>
        <v/>
      </c>
      <c r="J852">
        <f>IFERROR(_xlfn.IFNA(INDEX(Sensors_MANU!$D$2:$D$4692,MATCH($D852,Sensors_MANU!$B$2:$B$4692,0)),INDEX(Sensors_MANU!$D$2:$D$4692,MATCH($P852,Sensors_MANU!$A$2:$A$4692,0))),"")</f>
        <v/>
      </c>
      <c r="K852" s="27" t="inlineStr">
        <is>
          <t>31833919095-7</t>
        </is>
      </c>
      <c r="L852" s="27" t="inlineStr">
        <is>
          <t>3L</t>
        </is>
      </c>
      <c r="O852" s="6" t="inlineStr">
        <is>
          <t>V23</t>
        </is>
      </c>
    </row>
    <row r="853">
      <c r="B853" s="24">
        <f>IFERROR(INDEX(Companies!$A$3:$A$101,MATCH(A853,Companies!$B$3:$B$101,0)),"")</f>
        <v/>
      </c>
      <c r="C853">
        <f>IFERROR(_xlfn.IFNA(INDEX(Sensors_MANU!$F$2:$F$4692,MATCH($D853,Sensors_MANU!$B$2:$B$4692,0)),INDEX(Sensors_MANU!$F$2:$F$4692,MATCH($P853,Sensors_MANU!$A$2:$A$4692,0))),"")</f>
        <v/>
      </c>
      <c r="D853" t="inlineStr">
        <is>
          <t>D09A0AFD0704</t>
        </is>
      </c>
      <c r="E853" s="24">
        <f>LEFT(D853,2)&amp;":"&amp;MID(D853,3,2)&amp;":"&amp;MID(D853,5,2)&amp;":"&amp;MID(D853,7,2)&amp;":"&amp;MID(D853,9,2)&amp;":"&amp;RIGHT(D853,2)</f>
        <v/>
      </c>
      <c r="H853" t="inlineStr">
        <is>
          <t>357595D09A7DDDF4</t>
        </is>
      </c>
      <c r="I853">
        <f>IFERROR(_xlfn.IFNA(INDEX(Sensors_MANU!$C$2:$C$4692,MATCH($D853,Sensors_MANU!$B$2:$B$4692,0)),INDEX(Sensors_MANU!$C$2:$C$4692,MATCH($P853,Sensors_MANU!$A$2:$A$4692,0))),"")</f>
        <v/>
      </c>
      <c r="J853">
        <f>IFERROR(_xlfn.IFNA(INDEX(Sensors_MANU!$D$2:$D$4692,MATCH($D853,Sensors_MANU!$B$2:$B$4692,0)),INDEX(Sensors_MANU!$D$2:$D$4692,MATCH($P853,Sensors_MANU!$A$2:$A$4692,0))),"")</f>
        <v/>
      </c>
      <c r="O853" s="6" t="inlineStr">
        <is>
          <t>V24</t>
        </is>
      </c>
    </row>
    <row r="854">
      <c r="A854" s="32">
        <f>IFERROR(_xlfn.IFNA(INDEX(Sensors_MANU!$E$2:$E$4692,MATCH($D854,Sensors_MANU!$B$2:$B$4692,0)),INDEX(Sensors_MANU!$E$2:$E$4692,MATCH($P854,Sensors_MANU!$A$2:$A$4692,0))),"")</f>
        <v/>
      </c>
      <c r="B854" s="24">
        <f>IFERROR(INDEX(Companies!$A$3:$A$101,MATCH(A854,Companies!$B$3:$B$101,0)),"")</f>
        <v/>
      </c>
      <c r="C854">
        <f>IFERROR(_xlfn.IFNA(INDEX(Sensors_MANU!$F$2:$F$4692,MATCH($D854,Sensors_MANU!$B$2:$B$4692,0)),INDEX(Sensors_MANU!$F$2:$F$4692,MATCH($P854,Sensors_MANU!$A$2:$A$4692,0))),"")</f>
        <v/>
      </c>
      <c r="D854" t="inlineStr">
        <is>
          <t>DBC31AEFB60C</t>
        </is>
      </c>
      <c r="E854">
        <f>LEFT(D854,2)&amp;":"&amp;MID(D854,3,2)&amp;":"&amp;MID(D854,5,2)&amp;":"&amp;MID(D854,7,2)&amp;":"&amp;MID(D854,9,2)&amp;":"&amp;RIGHT(D854,2)</f>
        <v/>
      </c>
      <c r="F854" s="29" t="n">
        <v>44880</v>
      </c>
      <c r="G854" s="29" t="inlineStr">
        <is>
          <t>Viezo</t>
        </is>
      </c>
      <c r="H854" t="inlineStr">
        <is>
          <t>B3CC1F21E4583947</t>
        </is>
      </c>
      <c r="I854">
        <f>IFERROR(_xlfn.IFNA(INDEX(Sensors_MANU!$C$2:$C$4692,MATCH($D854,Sensors_MANU!$B$2:$B$4692,0)),INDEX(Sensors_MANU!$C$2:$C$4692,MATCH($P854,Sensors_MANU!$A$2:$A$4692,0))),"")</f>
        <v/>
      </c>
      <c r="J854">
        <f>IFERROR(_xlfn.IFNA(INDEX(Sensors_MANU!$D$2:$D$4692,MATCH($D854,Sensors_MANU!$B$2:$B$4692,0)),INDEX(Sensors_MANU!$D$2:$D$4692,MATCH($P854,Sensors_MANU!$A$2:$A$4692,0))),"")</f>
        <v/>
      </c>
      <c r="K854" s="27" t="inlineStr">
        <is>
          <t>83546985084-5</t>
        </is>
      </c>
      <c r="L854" s="27" t="inlineStr">
        <is>
          <t>2R</t>
        </is>
      </c>
      <c r="N854" s="99">
        <f>IFERROR(INDEX(Sensors_MANU!$G$2:$G$4692,MATCH($P854,Sensors_MANU!$A$2:$A$4692,0)),)</f>
        <v/>
      </c>
      <c r="O854" s="6" t="inlineStr">
        <is>
          <t>v17</t>
        </is>
      </c>
      <c r="P854" t="n">
        <v>4978604</v>
      </c>
    </row>
    <row r="855">
      <c r="A855" s="32">
        <f>IFERROR(_xlfn.IFNA(INDEX(Sensors_MANU!$E$2:$E$4692,MATCH($D855,Sensors_MANU!$B$2:$B$4692,0)),INDEX(Sensors_MANU!$E$2:$E$4692,MATCH($P855,Sensors_MANU!$A$2:$A$4692,0))),"")</f>
        <v/>
      </c>
      <c r="B855" s="24">
        <f>IFERROR(INDEX(Companies!$A$3:$A$101,MATCH(A855,Companies!$B$3:$B$101,0)),"")</f>
        <v/>
      </c>
      <c r="C855">
        <f>IFERROR(_xlfn.IFNA(INDEX(Sensors_MANU!$F$2:$F$4692,MATCH($D855,Sensors_MANU!$B$2:$B$4692,0)),INDEX(Sensors_MANU!$F$2:$F$4692,MATCH($P855,Sensors_MANU!$A$2:$A$4692,0))),"")</f>
        <v/>
      </c>
      <c r="D855" s="50" t="inlineStr">
        <is>
          <t>E51DE74C4D32</t>
        </is>
      </c>
      <c r="E855" s="24">
        <f>LEFT(D855,2)&amp;":"&amp;MID(D855,3,2)&amp;":"&amp;MID(D855,5,2)&amp;":"&amp;MID(D855,7,2)&amp;":"&amp;MID(D855,9,2)&amp;":"&amp;RIGHT(D855,2)</f>
        <v/>
      </c>
      <c r="F855" s="29" t="n">
        <v>44754</v>
      </c>
      <c r="G855" s="29" t="inlineStr">
        <is>
          <t>Viezo</t>
        </is>
      </c>
      <c r="H855" s="26" t="inlineStr">
        <is>
          <t>D75B67AA076D7D7A</t>
        </is>
      </c>
      <c r="I855">
        <f>IFERROR(_xlfn.IFNA(INDEX(Sensors_MANU!$C$2:$C$4692,MATCH($D855,Sensors_MANU!$B$2:$B$4692,0)),INDEX(Sensors_MANU!$C$2:$C$4692,MATCH($P855,Sensors_MANU!$A$2:$A$4692,0))),"")</f>
        <v/>
      </c>
      <c r="J855">
        <f>IFERROR(_xlfn.IFNA(INDEX(Sensors_MANU!$D$2:$D$4692,MATCH($D855,Sensors_MANU!$B$2:$B$4692,0)),INDEX(Sensors_MANU!$D$2:$D$4692,MATCH($P855,Sensors_MANU!$A$2:$A$4692,0))),"")</f>
        <v/>
      </c>
      <c r="K855" s="27" t="inlineStr">
        <is>
          <t>31834785082-4</t>
        </is>
      </c>
      <c r="L855" s="27" t="inlineStr">
        <is>
          <t>4R</t>
        </is>
      </c>
      <c r="O855" s="6" t="inlineStr">
        <is>
          <t>V23</t>
        </is>
      </c>
    </row>
    <row r="856">
      <c r="B856" s="24">
        <f>IFERROR(INDEX(Companies!$A$3:$A$101,MATCH(A856,Companies!$B$3:$B$101,0)),"")</f>
        <v/>
      </c>
      <c r="C856">
        <f>IFERROR(_xlfn.IFNA(INDEX(Sensors_MANU!$F$2:$F$4692,MATCH($D856,Sensors_MANU!$B$2:$B$4692,0)),INDEX(Sensors_MANU!$F$2:$F$4692,MATCH($P856,Sensors_MANU!$A$2:$A$4692,0))),"")</f>
        <v/>
      </c>
      <c r="D856" t="inlineStr">
        <is>
          <t>EDA58DC453AD</t>
        </is>
      </c>
      <c r="E856" s="24">
        <f>LEFT(D856,2)&amp;":"&amp;MID(D856,3,2)&amp;":"&amp;MID(D856,5,2)&amp;":"&amp;MID(D856,7,2)&amp;":"&amp;MID(D856,9,2)&amp;":"&amp;RIGHT(D856,2)</f>
        <v/>
      </c>
      <c r="H856" t="inlineStr">
        <is>
          <t>080FE1F42F707A0E</t>
        </is>
      </c>
      <c r="I856">
        <f>IFERROR(_xlfn.IFNA(INDEX(Sensors_MANU!$C$2:$C$4692,MATCH($D856,Sensors_MANU!$B$2:$B$4692,0)),INDEX(Sensors_MANU!$C$2:$C$4692,MATCH($P856,Sensors_MANU!$A$2:$A$4692,0))),"")</f>
        <v/>
      </c>
      <c r="J856">
        <f>IFERROR(_xlfn.IFNA(INDEX(Sensors_MANU!$D$2:$D$4692,MATCH($D856,Sensors_MANU!$B$2:$B$4692,0)),INDEX(Sensors_MANU!$D$2:$D$4692,MATCH($P856,Sensors_MANU!$A$2:$A$4692,0))),"")</f>
        <v/>
      </c>
      <c r="O856" s="6" t="inlineStr">
        <is>
          <t>V24</t>
        </is>
      </c>
    </row>
    <row r="857">
      <c r="B857" s="24">
        <f>IFERROR(INDEX(Companies!$A$3:$A$101,MATCH(A857,Companies!$B$3:$B$101,0)),"")</f>
        <v/>
      </c>
      <c r="C857">
        <f>IFERROR(_xlfn.IFNA(INDEX(Sensors_MANU!$F$2:$F$4692,MATCH($D857,Sensors_MANU!$B$2:$B$4692,0)),INDEX(Sensors_MANU!$F$2:$F$4692,MATCH($P857,Sensors_MANU!$A$2:$A$4692,0))),"")</f>
        <v/>
      </c>
      <c r="D857" t="inlineStr">
        <is>
          <t>C66864FE4B44</t>
        </is>
      </c>
      <c r="E857" s="24">
        <f>LEFT(D857,2)&amp;":"&amp;MID(D857,3,2)&amp;":"&amp;MID(D857,5,2)&amp;":"&amp;MID(D857,7,2)&amp;":"&amp;MID(D857,9,2)&amp;":"&amp;RIGHT(D857,2)</f>
        <v/>
      </c>
      <c r="H857" t="inlineStr">
        <is>
          <t>D5EDE811AB5B55AE</t>
        </is>
      </c>
      <c r="I857">
        <f>IFERROR(_xlfn.IFNA(INDEX(Sensors_MANU!$C$2:$C$4692,MATCH($D857,Sensors_MANU!$B$2:$B$4692,0)),INDEX(Sensors_MANU!$C$2:$C$4692,MATCH($P857,Sensors_MANU!$A$2:$A$4692,0))),"")</f>
        <v/>
      </c>
      <c r="J857">
        <f>IFERROR(_xlfn.IFNA(INDEX(Sensors_MANU!$D$2:$D$4692,MATCH($D857,Sensors_MANU!$B$2:$B$4692,0)),INDEX(Sensors_MANU!$D$2:$D$4692,MATCH($P857,Sensors_MANU!$A$2:$A$4692,0))),"")</f>
        <v/>
      </c>
      <c r="O857" s="6" t="inlineStr">
        <is>
          <t>V24</t>
        </is>
      </c>
    </row>
    <row r="858">
      <c r="B858" s="24">
        <f>IFERROR(INDEX(Companies!$A$3:$A$101,MATCH(A858,Companies!$B$3:$B$101,0)),"")</f>
        <v/>
      </c>
      <c r="C858">
        <f>IFERROR(_xlfn.IFNA(INDEX(Sensors_MANU!$F$2:$F$4692,MATCH($D858,Sensors_MANU!$B$2:$B$4692,0)),INDEX(Sensors_MANU!$F$2:$F$4692,MATCH($P858,Sensors_MANU!$A$2:$A$4692,0))),"")</f>
        <v/>
      </c>
      <c r="D858" t="inlineStr">
        <is>
          <t>E184C92FFAB2</t>
        </is>
      </c>
      <c r="E858" s="24">
        <f>LEFT(D858,2)&amp;":"&amp;MID(D858,3,2)&amp;":"&amp;MID(D858,5,2)&amp;":"&amp;MID(D858,7,2)&amp;":"&amp;MID(D858,9,2)&amp;":"&amp;RIGHT(D858,2)</f>
        <v/>
      </c>
      <c r="H858" t="inlineStr">
        <is>
          <t>08F4FA6430DCD7D4</t>
        </is>
      </c>
      <c r="I858">
        <f>IFERROR(_xlfn.IFNA(INDEX(Sensors_MANU!$C$2:$C$4692,MATCH($D858,Sensors_MANU!$B$2:$B$4692,0)),INDEX(Sensors_MANU!$C$2:$C$4692,MATCH($P858,Sensors_MANU!$A$2:$A$4692,0))),"")</f>
        <v/>
      </c>
      <c r="J858">
        <f>IFERROR(_xlfn.IFNA(INDEX(Sensors_MANU!$D$2:$D$4692,MATCH($D858,Sensors_MANU!$B$2:$B$4692,0)),INDEX(Sensors_MANU!$D$2:$D$4692,MATCH($P858,Sensors_MANU!$A$2:$A$4692,0))),"")</f>
        <v/>
      </c>
      <c r="O858" s="6" t="inlineStr">
        <is>
          <t>V24</t>
        </is>
      </c>
    </row>
    <row r="859">
      <c r="A859" s="32">
        <f>IFERROR(_xlfn.IFNA(INDEX(Sensors_MANU!$E$2:$E$4692,MATCH($D859,Sensors_MANU!$B$2:$B$4692,0)),INDEX(Sensors_MANU!$E$2:$E$4692,MATCH($P859,Sensors_MANU!$A$2:$A$4692,0))),"")</f>
        <v/>
      </c>
      <c r="B859" s="24">
        <f>IFERROR(INDEX(Companies!$A$3:$A$101,MATCH(A859,Companies!$B$3:$B$101,0)),"")</f>
        <v/>
      </c>
      <c r="C859">
        <f>IFERROR(_xlfn.IFNA(INDEX(Sensors_MANU!$F$2:$F$4692,MATCH($D859,Sensors_MANU!$B$2:$B$4692,0)),INDEX(Sensors_MANU!$F$2:$F$4692,MATCH($P859,Sensors_MANU!$A$2:$A$4692,0))),"")</f>
        <v/>
      </c>
      <c r="D859" t="inlineStr">
        <is>
          <t>C6C8298EEF8A</t>
        </is>
      </c>
      <c r="E859" s="24">
        <f>LEFT(D859,2)&amp;":"&amp;MID(D859,3,2)&amp;":"&amp;MID(D859,5,2)&amp;":"&amp;MID(D859,7,2)&amp;":"&amp;MID(D859,9,2)&amp;":"&amp;RIGHT(D859,2)</f>
        <v/>
      </c>
      <c r="F859" s="29" t="n">
        <v>44909</v>
      </c>
      <c r="G859" s="29" t="inlineStr">
        <is>
          <t>HVLE</t>
        </is>
      </c>
      <c r="H859" t="inlineStr">
        <is>
          <t>1DD35EA383D9DFB9</t>
        </is>
      </c>
      <c r="I859">
        <f>IFERROR(_xlfn.IFNA(INDEX(Sensors_MANU!$C$2:$C$4692,MATCH($D859,Sensors_MANU!$B$2:$B$4692,0)),INDEX(Sensors_MANU!$C$2:$C$4692,MATCH($P859,Sensors_MANU!$A$2:$A$4692,0))),"")</f>
        <v/>
      </c>
      <c r="J859">
        <f>IFERROR(_xlfn.IFNA(INDEX(Sensors_MANU!$D$2:$D$4692,MATCH($D859,Sensors_MANU!$B$2:$B$4692,0)),INDEX(Sensors_MANU!$D$2:$D$4692,MATCH($P859,Sensors_MANU!$A$2:$A$4692,0))),"")</f>
        <v/>
      </c>
      <c r="K859" s="27" t="inlineStr">
        <is>
          <t>83546985088-6</t>
        </is>
      </c>
      <c r="L859" s="27" t="inlineStr">
        <is>
          <t>3L</t>
        </is>
      </c>
      <c r="O859" s="6" t="inlineStr">
        <is>
          <t>V25</t>
        </is>
      </c>
    </row>
    <row r="860">
      <c r="B860" s="24">
        <f>IFERROR(INDEX(Companies!$A$3:$A$101,MATCH(A860,Companies!$B$3:$B$101,0)),"")</f>
        <v/>
      </c>
      <c r="C860">
        <f>IFERROR(_xlfn.IFNA(INDEX(Sensors_MANU!$F$2:$F$4692,MATCH($D860,Sensors_MANU!$B$2:$B$4692,0)),INDEX(Sensors_MANU!$F$2:$F$4692,MATCH($P860,Sensors_MANU!$A$2:$A$4692,0))),"")</f>
        <v/>
      </c>
      <c r="D860" t="inlineStr">
        <is>
          <t>D1AC2CEDAAA8</t>
        </is>
      </c>
      <c r="E860" s="24">
        <f>LEFT(D860,2)&amp;":"&amp;MID(D860,3,2)&amp;":"&amp;MID(D860,5,2)&amp;":"&amp;MID(D860,7,2)&amp;":"&amp;MID(D860,9,2)&amp;":"&amp;RIGHT(D860,2)</f>
        <v/>
      </c>
      <c r="H860" t="inlineStr">
        <is>
          <t>04FC033CB085E5B2</t>
        </is>
      </c>
      <c r="I860">
        <f>IFERROR(_xlfn.IFNA(INDEX(Sensors_MANU!$C$2:$C$4692,MATCH($D860,Sensors_MANU!$B$2:$B$4692,0)),INDEX(Sensors_MANU!$C$2:$C$4692,MATCH($P860,Sensors_MANU!$A$2:$A$4692,0))),"")</f>
        <v/>
      </c>
      <c r="J860">
        <f>IFERROR(_xlfn.IFNA(INDEX(Sensors_MANU!$D$2:$D$4692,MATCH($D860,Sensors_MANU!$B$2:$B$4692,0)),INDEX(Sensors_MANU!$D$2:$D$4692,MATCH($P860,Sensors_MANU!$A$2:$A$4692,0))),"")</f>
        <v/>
      </c>
      <c r="O860" s="6" t="inlineStr">
        <is>
          <t>V24</t>
        </is>
      </c>
    </row>
    <row r="861">
      <c r="B861" s="24">
        <f>IFERROR(INDEX(Companies!$A$3:$A$101,MATCH(A861,Companies!$B$3:$B$101,0)),"")</f>
        <v/>
      </c>
      <c r="C861">
        <f>IFERROR(_xlfn.IFNA(INDEX(Sensors_MANU!$F$2:$F$4692,MATCH($D861,Sensors_MANU!$B$2:$B$4692,0)),INDEX(Sensors_MANU!$F$2:$F$4692,MATCH($P861,Sensors_MANU!$A$2:$A$4692,0))),"")</f>
        <v/>
      </c>
      <c r="D861" t="inlineStr">
        <is>
          <t>C8A49F1B5230</t>
        </is>
      </c>
      <c r="E861" s="24">
        <f>LEFT(D861,2)&amp;":"&amp;MID(D861,3,2)&amp;":"&amp;MID(D861,5,2)&amp;":"&amp;MID(D861,7,2)&amp;":"&amp;MID(D861,9,2)&amp;":"&amp;RIGHT(D861,2)</f>
        <v/>
      </c>
      <c r="H861" t="inlineStr">
        <is>
          <t>B6F43E7F6BEE84C0</t>
        </is>
      </c>
      <c r="I861">
        <f>IFERROR(_xlfn.IFNA(INDEX(Sensors_MANU!$C$2:$C$4692,MATCH($D861,Sensors_MANU!$B$2:$B$4692,0)),INDEX(Sensors_MANU!$C$2:$C$4692,MATCH($P861,Sensors_MANU!$A$2:$A$4692,0))),"")</f>
        <v/>
      </c>
      <c r="J861">
        <f>IFERROR(_xlfn.IFNA(INDEX(Sensors_MANU!$D$2:$D$4692,MATCH($D861,Sensors_MANU!$B$2:$B$4692,0)),INDEX(Sensors_MANU!$D$2:$D$4692,MATCH($P861,Sensors_MANU!$A$2:$A$4692,0))),"")</f>
        <v/>
      </c>
      <c r="O861" s="6" t="inlineStr">
        <is>
          <t>V24</t>
        </is>
      </c>
    </row>
    <row r="862">
      <c r="B862" s="24">
        <f>IFERROR(INDEX(Companies!$A$3:$A$101,MATCH(A862,Companies!$B$3:$B$101,0)),"")</f>
        <v/>
      </c>
      <c r="C862">
        <f>IFERROR(_xlfn.IFNA(INDEX(Sensors_MANU!$F$2:$F$4692,MATCH($D862,Sensors_MANU!$B$2:$B$4692,0)),INDEX(Sensors_MANU!$F$2:$F$4692,MATCH($P862,Sensors_MANU!$A$2:$A$4692,0))),"")</f>
        <v/>
      </c>
      <c r="D862" t="inlineStr">
        <is>
          <t>DE7F3E2B829D</t>
        </is>
      </c>
      <c r="E862" s="24">
        <f>LEFT(D862,2)&amp;":"&amp;MID(D862,3,2)&amp;":"&amp;MID(D862,5,2)&amp;":"&amp;MID(D862,7,2)&amp;":"&amp;MID(D862,9,2)&amp;":"&amp;RIGHT(D862,2)</f>
        <v/>
      </c>
      <c r="H862" t="inlineStr">
        <is>
          <t>71C849E69AFB8AB4</t>
        </is>
      </c>
      <c r="I862">
        <f>IFERROR(_xlfn.IFNA(INDEX(Sensors_MANU!$C$2:$C$4692,MATCH($D862,Sensors_MANU!$B$2:$B$4692,0)),INDEX(Sensors_MANU!$C$2:$C$4692,MATCH($P862,Sensors_MANU!$A$2:$A$4692,0))),"")</f>
        <v/>
      </c>
      <c r="J862">
        <f>IFERROR(_xlfn.IFNA(INDEX(Sensors_MANU!$D$2:$D$4692,MATCH($D862,Sensors_MANU!$B$2:$B$4692,0)),INDEX(Sensors_MANU!$D$2:$D$4692,MATCH($P862,Sensors_MANU!$A$2:$A$4692,0))),"")</f>
        <v/>
      </c>
      <c r="O862" s="6" t="inlineStr">
        <is>
          <t>V24</t>
        </is>
      </c>
    </row>
    <row r="863">
      <c r="B863" s="24">
        <f>IFERROR(INDEX(Companies!$A$3:$A$101,MATCH(A863,Companies!$B$3:$B$101,0)),"")</f>
        <v/>
      </c>
      <c r="C863">
        <f>IFERROR(_xlfn.IFNA(INDEX(Sensors_MANU!$F$2:$F$4692,MATCH($D863,Sensors_MANU!$B$2:$B$4692,0)),INDEX(Sensors_MANU!$F$2:$F$4692,MATCH($P863,Sensors_MANU!$A$2:$A$4692,0))),"")</f>
        <v/>
      </c>
      <c r="D863" t="inlineStr">
        <is>
          <t>CD1609A8BEA3</t>
        </is>
      </c>
      <c r="E863" s="24">
        <f>LEFT(D863,2)&amp;":"&amp;MID(D863,3,2)&amp;":"&amp;MID(D863,5,2)&amp;":"&amp;MID(D863,7,2)&amp;":"&amp;MID(D863,9,2)&amp;":"&amp;RIGHT(D863,2)</f>
        <v/>
      </c>
      <c r="H863" t="inlineStr">
        <is>
          <t>D37B9A7C1464B4C7</t>
        </is>
      </c>
      <c r="I863">
        <f>IFERROR(_xlfn.IFNA(INDEX(Sensors_MANU!$C$2:$C$4692,MATCH($D863,Sensors_MANU!$B$2:$B$4692,0)),INDEX(Sensors_MANU!$C$2:$C$4692,MATCH($P863,Sensors_MANU!$A$2:$A$4692,0))),"")</f>
        <v/>
      </c>
      <c r="J863">
        <f>IFERROR(_xlfn.IFNA(INDEX(Sensors_MANU!$D$2:$D$4692,MATCH($D863,Sensors_MANU!$B$2:$B$4692,0)),INDEX(Sensors_MANU!$D$2:$D$4692,MATCH($P863,Sensors_MANU!$A$2:$A$4692,0))),"")</f>
        <v/>
      </c>
      <c r="O863" s="6" t="inlineStr">
        <is>
          <t>V23</t>
        </is>
      </c>
    </row>
    <row r="864">
      <c r="A864" s="32">
        <f>IFERROR(_xlfn.IFNA(INDEX(Sensors_MANU!$E$2:$E$4692,MATCH($D864,Sensors_MANU!$B$2:$B$4692,0)),INDEX(Sensors_MANU!$E$2:$E$4692,MATCH($P864,Sensors_MANU!$A$2:$A$4692,0))),"")</f>
        <v/>
      </c>
      <c r="B864" s="24">
        <f>IFERROR(INDEX(Companies!$A$3:$A$101,MATCH(A864,Companies!$B$3:$B$101,0)),"")</f>
        <v/>
      </c>
      <c r="C864">
        <f>IFERROR(_xlfn.IFNA(INDEX(Sensors_MANU!$F$2:$F$4692,MATCH($D864,Sensors_MANU!$B$2:$B$4692,0)),INDEX(Sensors_MANU!$F$2:$F$4692,MATCH($P864,Sensors_MANU!$A$2:$A$4692,0))),"")</f>
        <v/>
      </c>
      <c r="D864" t="inlineStr">
        <is>
          <t>F894C3C83728</t>
        </is>
      </c>
      <c r="E864" s="24">
        <f>LEFT(D864,2)&amp;":"&amp;MID(D864,3,2)&amp;":"&amp;MID(D864,5,2)&amp;":"&amp;MID(D864,7,2)&amp;":"&amp;MID(D864,9,2)&amp;":"&amp;RIGHT(D864,2)</f>
        <v/>
      </c>
      <c r="F864" s="29" t="n">
        <v>44832</v>
      </c>
      <c r="G864" s="29" t="inlineStr">
        <is>
          <t>Hupac</t>
        </is>
      </c>
      <c r="H864" t="inlineStr">
        <is>
          <t>BF8AF96C32F718CC</t>
        </is>
      </c>
      <c r="I864">
        <f>IFERROR(_xlfn.IFNA(INDEX(Sensors_MANU!$C$2:$C$4692,MATCH($D864,Sensors_MANU!$B$2:$B$4692,0)),INDEX(Sensors_MANU!$C$2:$C$4692,MATCH($P864,Sensors_MANU!$A$2:$A$4692,0))),"")</f>
        <v/>
      </c>
      <c r="J864">
        <f>IFERROR(_xlfn.IFNA(INDEX(Sensors_MANU!$D$2:$D$4692,MATCH($D864,Sensors_MANU!$B$2:$B$4692,0)),INDEX(Sensors_MANU!$D$2:$D$4692,MATCH($P864,Sensors_MANU!$A$2:$A$4692,0))),"")</f>
        <v/>
      </c>
      <c r="K864" s="27" t="inlineStr">
        <is>
          <t>33-85-4511-082-1</t>
        </is>
      </c>
      <c r="L864" s="27" t="inlineStr">
        <is>
          <t>3a</t>
        </is>
      </c>
      <c r="M864" s="61" t="inlineStr">
        <is>
          <t>88111297</t>
        </is>
      </c>
      <c r="O864" s="6" t="inlineStr">
        <is>
          <t>V24</t>
        </is>
      </c>
    </row>
    <row r="865">
      <c r="A865" s="32">
        <f>IFERROR(_xlfn.IFNA(INDEX(Sensors_MANU!$E$2:$E$4692,MATCH($D865,Sensors_MANU!$B$2:$B$4692,0)),INDEX(Sensors_MANU!$E$2:$E$4692,MATCH($P865,Sensors_MANU!$A$2:$A$4692,0))),"")</f>
        <v/>
      </c>
      <c r="B865" s="24">
        <f>IFERROR(INDEX(Companies!$A$3:$A$101,MATCH(A865,Companies!$B$3:$B$101,0)),"")</f>
        <v/>
      </c>
      <c r="C865" t="inlineStr">
        <is>
          <t>cargo</t>
        </is>
      </c>
      <c r="D865" t="inlineStr">
        <is>
          <t>E07CF769F984</t>
        </is>
      </c>
      <c r="E865">
        <f>LEFT(D865,2)&amp;":"&amp;MID(D865,3,2)&amp;":"&amp;MID(D865,5,2)&amp;":"&amp;MID(D865,7,2)&amp;":"&amp;MID(D865,9,2)&amp;":"&amp;RIGHT(D865,2)</f>
        <v/>
      </c>
      <c r="F865" s="29" t="n">
        <v>44880</v>
      </c>
      <c r="G865" s="29" t="inlineStr">
        <is>
          <t>Viezo</t>
        </is>
      </c>
      <c r="H865" t="inlineStr">
        <is>
          <t>A3AC1D07280EBA16</t>
        </is>
      </c>
      <c r="I865">
        <f>IFERROR(_xlfn.IFNA(INDEX(Sensors_MANU!$C$2:$C$4692,MATCH($D865,Sensors_MANU!$B$2:$B$4692,0)),INDEX(Sensors_MANU!$C$2:$C$4692,MATCH($P865,Sensors_MANU!$A$2:$A$4692,0))),"")</f>
        <v/>
      </c>
      <c r="J865">
        <f>IFERROR(_xlfn.IFNA(INDEX(Sensors_MANU!$D$2:$D$4692,MATCH($D865,Sensors_MANU!$B$2:$B$4692,0)),INDEX(Sensors_MANU!$D$2:$D$4692,MATCH($P865,Sensors_MANU!$A$2:$A$4692,0))),"")</f>
        <v/>
      </c>
      <c r="K865" s="27" t="inlineStr">
        <is>
          <t>83546985095-1</t>
        </is>
      </c>
      <c r="L865" s="27" t="inlineStr">
        <is>
          <t>1R</t>
        </is>
      </c>
      <c r="M865" s="27" t="n"/>
      <c r="N865" s="99">
        <f>IFERROR(INDEX(Sensors_MANU!$G$2:$G$4692,MATCH($P865,Sensors_MANU!$A$2:$A$4692,0)),)</f>
        <v/>
      </c>
      <c r="O865" s="6" t="inlineStr">
        <is>
          <t>v17</t>
        </is>
      </c>
      <c r="P865" t="n">
        <v>4978599</v>
      </c>
    </row>
    <row r="866">
      <c r="A866" s="32" t="inlineStr">
        <is>
          <t>RSA</t>
        </is>
      </c>
      <c r="B866" s="24">
        <f>IFERROR(INDEX(Companies!$A$3:$A$101,MATCH(A866,Companies!$B$3:$B$101,0)),"")</f>
        <v/>
      </c>
      <c r="C866">
        <f>IFERROR(_xlfn.IFNA(INDEX(Sensors_MANU!$F$2:$F$4692,MATCH($D866,Sensors_MANU!$B$2:$B$4692,0)),INDEX(Sensors_MANU!$F$2:$F$4692,MATCH($P866,Sensors_MANU!$A$2:$A$4692,0))),"")</f>
        <v/>
      </c>
      <c r="D866" t="inlineStr">
        <is>
          <t>EF3DCC149473</t>
        </is>
      </c>
      <c r="E866">
        <f>LEFT(D866,2)&amp;":"&amp;MID(D866,3,2)&amp;":"&amp;MID(D866,5,2)&amp;":"&amp;MID(D866,7,2)&amp;":"&amp;MID(D866,9,2)&amp;":"&amp;RIGHT(D866,2)</f>
        <v/>
      </c>
      <c r="H866" t="inlineStr">
        <is>
          <t>7DC5897F1F7543B9</t>
        </is>
      </c>
      <c r="J866" s="65" t="inlineStr">
        <is>
          <t>PR2206-296</t>
        </is>
      </c>
      <c r="M866" s="27" t="n"/>
      <c r="O866" s="6" t="inlineStr">
        <is>
          <t>v16</t>
        </is>
      </c>
      <c r="P866" t="n">
        <v>4978877</v>
      </c>
    </row>
    <row r="867">
      <c r="A867" s="32" t="inlineStr">
        <is>
          <t>RSA</t>
        </is>
      </c>
      <c r="B867" s="24">
        <f>IFERROR(INDEX(Companies!$A$3:$A$101,MATCH(A867,Companies!$B$3:$B$101,0)),"")</f>
        <v/>
      </c>
      <c r="C867">
        <f>IFERROR(_xlfn.IFNA(INDEX(Sensors_MANU!$F$2:$F$4692,MATCH($D867,Sensors_MANU!$B$2:$B$4692,0)),INDEX(Sensors_MANU!$F$2:$F$4692,MATCH($P867,Sensors_MANU!$A$2:$A$4692,0))),"")</f>
        <v/>
      </c>
      <c r="D867" t="inlineStr">
        <is>
          <t>E05FFC13826D</t>
        </is>
      </c>
      <c r="E867" s="24">
        <f>LEFT(D867,2)&amp;":"&amp;MID(D867,3,2)&amp;":"&amp;MID(D867,5,2)&amp;":"&amp;MID(D867,7,2)&amp;":"&amp;MID(D867,9,2)&amp;":"&amp;RIGHT(D867,2)</f>
        <v/>
      </c>
      <c r="H867" t="inlineStr">
        <is>
          <t>4ADBD11AA2B98A40</t>
        </is>
      </c>
      <c r="I867">
        <f>IFERROR(_xlfn.IFNA(INDEX(Sensors_MANU!$C$2:$C$4692,MATCH($D867,Sensors_MANU!$B$2:$B$4692,0)),INDEX(Sensors_MANU!$C$2:$C$4692,MATCH($P867,Sensors_MANU!$A$2:$A$4692,0))),"")</f>
        <v/>
      </c>
      <c r="J867" s="65" t="inlineStr">
        <is>
          <t>PR2206-297</t>
        </is>
      </c>
      <c r="O867" s="6" t="inlineStr">
        <is>
          <t>V25</t>
        </is>
      </c>
    </row>
    <row r="868">
      <c r="B868" s="24">
        <f>IFERROR(INDEX(Companies!$A$3:$A$101,MATCH(A868,Companies!$B$3:$B$101,0)),"")</f>
        <v/>
      </c>
      <c r="C868">
        <f>IFERROR(_xlfn.IFNA(INDEX(Sensors_MANU!$F$2:$F$4692,MATCH($D868,Sensors_MANU!$B$2:$B$4692,0)),INDEX(Sensors_MANU!$F$2:$F$4692,MATCH($P868,Sensors_MANU!$A$2:$A$4692,0))),"")</f>
        <v/>
      </c>
      <c r="D868" s="50" t="inlineStr">
        <is>
          <t>EB980D099964</t>
        </is>
      </c>
      <c r="E868" s="24">
        <f>LEFT(D868,2)&amp;":"&amp;MID(D868,3,2)&amp;":"&amp;MID(D868,5,2)&amp;":"&amp;MID(D868,7,2)&amp;":"&amp;MID(D868,9,2)&amp;":"&amp;RIGHT(D868,2)</f>
        <v/>
      </c>
      <c r="H868" s="26" t="inlineStr">
        <is>
          <t>3E9D2EDA0C57F812</t>
        </is>
      </c>
      <c r="I868">
        <f>IFERROR(_xlfn.IFNA(INDEX(Sensors_MANU!$C$2:$C$4692,MATCH($D868,Sensors_MANU!$B$2:$B$4692,0)),INDEX(Sensors_MANU!$C$2:$C$4692,MATCH($P868,Sensors_MANU!$A$2:$A$4692,0))),"")</f>
        <v/>
      </c>
      <c r="J868">
        <f>IFERROR(_xlfn.IFNA(INDEX(Sensors_MANU!$D$2:$D$4692,MATCH($D868,Sensors_MANU!$B$2:$B$4692,0)),INDEX(Sensors_MANU!$D$2:$D$4692,MATCH($P868,Sensors_MANU!$A$2:$A$4692,0))),"")</f>
        <v/>
      </c>
      <c r="O868" s="6" t="inlineStr">
        <is>
          <t>V23</t>
        </is>
      </c>
    </row>
    <row r="869">
      <c r="A869" s="32">
        <f>IFERROR(_xlfn.IFNA(INDEX(Sensors_MANU!$E$2:$E$4692,MATCH($D869,Sensors_MANU!$B$2:$B$4692,0)),INDEX(Sensors_MANU!$E$2:$E$4692,MATCH($P869,Sensors_MANU!$A$2:$A$4692,0))),"")</f>
        <v/>
      </c>
      <c r="B869" s="24">
        <f>IFERROR(INDEX(Companies!$A$3:$A$101,MATCH(A869,Companies!$B$3:$B$101,0)),"")</f>
        <v/>
      </c>
      <c r="C869">
        <f>IFERROR(_xlfn.IFNA(INDEX(Sensors_MANU!$F$2:$F$4692,MATCH($D869,Sensors_MANU!$B$2:$B$4692,0)),INDEX(Sensors_MANU!$F$2:$F$4692,MATCH($P869,Sensors_MANU!$A$2:$A$4692,0))),"")</f>
        <v/>
      </c>
      <c r="D869" t="inlineStr">
        <is>
          <t>D15E9ECB3DFB</t>
        </is>
      </c>
      <c r="E869" s="24">
        <f>LEFT(D869,2)&amp;":"&amp;MID(D869,3,2)&amp;":"&amp;MID(D869,5,2)&amp;":"&amp;MID(D869,7,2)&amp;":"&amp;MID(D869,9,2)&amp;":"&amp;RIGHT(D869,2)</f>
        <v/>
      </c>
      <c r="F869" s="29" t="n">
        <v>44880</v>
      </c>
      <c r="G869" s="29" t="inlineStr">
        <is>
          <t>Viezo</t>
        </is>
      </c>
      <c r="H869" t="inlineStr">
        <is>
          <t>817D264E31D3E364</t>
        </is>
      </c>
      <c r="I869">
        <f>IFERROR(_xlfn.IFNA(INDEX(Sensors_MANU!$C$2:$C$4692,MATCH($D869,Sensors_MANU!$B$2:$B$4692,0)),INDEX(Sensors_MANU!$C$2:$C$4692,MATCH($P869,Sensors_MANU!$A$2:$A$4692,0))),"")</f>
        <v/>
      </c>
      <c r="J869">
        <f>IFERROR(_xlfn.IFNA(INDEX(Sensors_MANU!$D$2:$D$4692,MATCH($D869,Sensors_MANU!$B$2:$B$4692,0)),INDEX(Sensors_MANU!$D$2:$D$4692,MATCH($P869,Sensors_MANU!$A$2:$A$4692,0))),"")</f>
        <v/>
      </c>
      <c r="K869" s="27" t="inlineStr">
        <is>
          <t>83546985030-8</t>
        </is>
      </c>
      <c r="L869" s="27" t="inlineStr">
        <is>
          <t>1L</t>
        </is>
      </c>
      <c r="O869" s="6" t="inlineStr">
        <is>
          <t>V24</t>
        </is>
      </c>
    </row>
    <row r="870">
      <c r="A870" s="32">
        <f>IFERROR(_xlfn.IFNA(INDEX(Sensors_MANU!$E$2:$E$4692,MATCH($D870,Sensors_MANU!$B$2:$B$4692,0)),INDEX(Sensors_MANU!$E$2:$E$4692,MATCH($P870,Sensors_MANU!$A$2:$A$4692,0))),"")</f>
        <v/>
      </c>
      <c r="B870" s="24">
        <f>IFERROR(INDEX(Companies!$A$3:$A$101,MATCH(A870,Companies!$B$3:$B$101,0)),"")</f>
        <v/>
      </c>
      <c r="C870">
        <f>IFERROR(_xlfn.IFNA(INDEX(Sensors_MANU!$F$2:$F$4692,MATCH($D870,Sensors_MANU!$B$2:$B$4692,0)),INDEX(Sensors_MANU!$F$2:$F$4692,MATCH($P870,Sensors_MANU!$A$2:$A$4692,0))),"")</f>
        <v/>
      </c>
      <c r="D870" t="inlineStr">
        <is>
          <t>E518B773B503</t>
        </is>
      </c>
      <c r="E870" s="24">
        <f>LEFT(D870,2)&amp;":"&amp;MID(D870,3,2)&amp;":"&amp;MID(D870,5,2)&amp;":"&amp;MID(D870,7,2)&amp;":"&amp;MID(D870,9,2)&amp;":"&amp;RIGHT(D870,2)</f>
        <v/>
      </c>
      <c r="F870" s="29" t="n">
        <v>44832</v>
      </c>
      <c r="G870" s="29" t="inlineStr">
        <is>
          <t>Hupac</t>
        </is>
      </c>
      <c r="H870" t="inlineStr">
        <is>
          <t>1835D997814BF8AB</t>
        </is>
      </c>
      <c r="I870">
        <f>IFERROR(_xlfn.IFNA(INDEX(Sensors_MANU!$C$2:$C$4692,MATCH($D870,Sensors_MANU!$B$2:$B$4692,0)),INDEX(Sensors_MANU!$C$2:$C$4692,MATCH($P870,Sensors_MANU!$A$2:$A$4692,0))),"")</f>
        <v/>
      </c>
      <c r="J870">
        <f>IFERROR(_xlfn.IFNA(INDEX(Sensors_MANU!$D$2:$D$4692,MATCH($D870,Sensors_MANU!$B$2:$B$4692,0)),INDEX(Sensors_MANU!$D$2:$D$4692,MATCH($P870,Sensors_MANU!$A$2:$A$4692,0))),"")</f>
        <v/>
      </c>
      <c r="K870" s="27" t="inlineStr">
        <is>
          <t>33-85-4511-082-1</t>
        </is>
      </c>
      <c r="L870" s="27" t="inlineStr">
        <is>
          <t>2b</t>
        </is>
      </c>
      <c r="M870" s="61" t="inlineStr">
        <is>
          <t>20042080</t>
        </is>
      </c>
      <c r="O870" s="6" t="inlineStr">
        <is>
          <t>V24</t>
        </is>
      </c>
    </row>
    <row r="871">
      <c r="A871" s="32">
        <f>IFERROR(_xlfn.IFNA(INDEX(Sensors_MANU!$E$2:$E$4692,MATCH($D871,Sensors_MANU!$B$2:$B$4692,0)),INDEX(Sensors_MANU!$E$2:$E$4692,MATCH($P871,Sensors_MANU!$A$2:$A$4692,0))),"")</f>
        <v/>
      </c>
      <c r="B871" s="24">
        <f>IFERROR(INDEX(Companies!$A$3:$A$101,MATCH(A871,Companies!$B$3:$B$101,0)),"")</f>
        <v/>
      </c>
      <c r="C871">
        <f>IFERROR(_xlfn.IFNA(INDEX(Sensors_MANU!$F$2:$F$4692,MATCH($D871,Sensors_MANU!$B$2:$B$4692,0)),INDEX(Sensors_MANU!$F$2:$F$4692,MATCH($P871,Sensors_MANU!$A$2:$A$4692,0))),"")</f>
        <v/>
      </c>
      <c r="D871" t="inlineStr">
        <is>
          <t>F3EDDE5297EB</t>
        </is>
      </c>
      <c r="E871">
        <f>LEFT(D871,2)&amp;":"&amp;MID(D871,3,2)&amp;":"&amp;MID(D871,5,2)&amp;":"&amp;MID(D871,7,2)&amp;":"&amp;MID(D871,9,2)&amp;":"&amp;RIGHT(D871,2)</f>
        <v/>
      </c>
      <c r="F871" s="29" t="n">
        <v>44880</v>
      </c>
      <c r="G871" s="29" t="inlineStr">
        <is>
          <t>Viezo</t>
        </is>
      </c>
      <c r="H871" t="inlineStr">
        <is>
          <t>654232405B212B4E</t>
        </is>
      </c>
      <c r="I871">
        <f>IFERROR(_xlfn.IFNA(INDEX(Sensors_MANU!$C$2:$C$4692,MATCH($D871,Sensors_MANU!$B$2:$B$4692,0)),INDEX(Sensors_MANU!$C$2:$C$4692,MATCH($P871,Sensors_MANU!$A$2:$A$4692,0))),"")</f>
        <v/>
      </c>
      <c r="J871" s="7">
        <f>IFERROR(_xlfn.IFNA(INDEX(Sensors_MANU!$D$2:$D$4692,MATCH($D871,Sensors_MANU!$B$2:$B$4692,0)),INDEX(Sensors_MANU!$D$2:$D$4692,MATCH($P871,Sensors_MANU!$A$2:$A$4692,0))),"")</f>
        <v/>
      </c>
      <c r="K871" s="27" t="inlineStr">
        <is>
          <t>83546985095-1</t>
        </is>
      </c>
      <c r="L871" s="27" t="inlineStr">
        <is>
          <t>3L</t>
        </is>
      </c>
      <c r="M871" s="27" t="n"/>
      <c r="N871" s="99">
        <f>IFERROR(INDEX(Sensors_MANU!$G$2:$G$4692,MATCH($P871,Sensors_MANU!$A$2:$A$4692,0)),)</f>
        <v/>
      </c>
      <c r="O871" s="6" t="inlineStr">
        <is>
          <t>v16</t>
        </is>
      </c>
      <c r="P871" t="n">
        <v>4978876</v>
      </c>
    </row>
    <row r="872">
      <c r="A872" s="32">
        <f>IFERROR(_xlfn.IFNA(INDEX(Sensors_MANU!$E$2:$E$4692,MATCH($D872,Sensors_MANU!$B$2:$B$4692,0)),INDEX(Sensors_MANU!$E$2:$E$4692,MATCH($P872,Sensors_MANU!$A$2:$A$4692,0))),"")</f>
        <v/>
      </c>
      <c r="B872" s="24">
        <f>IFERROR(INDEX(Companies!$A$3:$A$101,MATCH(A872,Companies!$B$3:$B$101,0)),"")</f>
        <v/>
      </c>
      <c r="C872">
        <f>IFERROR(_xlfn.IFNA(INDEX(Sensors_MANU!$F$2:$F$4692,MATCH($D872,Sensors_MANU!$B$2:$B$4692,0)),INDEX(Sensors_MANU!$F$2:$F$4692,MATCH($P872,Sensors_MANU!$A$2:$A$4692,0))),"")</f>
        <v/>
      </c>
      <c r="D872" t="inlineStr">
        <is>
          <t>C580C3630362</t>
        </is>
      </c>
      <c r="E872" s="24">
        <f>LEFT(D872,2)&amp;":"&amp;MID(D872,3,2)&amp;":"&amp;MID(D872,5,2)&amp;":"&amp;MID(D872,7,2)&amp;":"&amp;MID(D872,9,2)&amp;":"&amp;RIGHT(D872,2)</f>
        <v/>
      </c>
      <c r="F872" s="29" t="n">
        <v>44880</v>
      </c>
      <c r="G872" s="29" t="inlineStr">
        <is>
          <t>Viezo</t>
        </is>
      </c>
      <c r="H872" t="inlineStr">
        <is>
          <t>EA5BB9CF8377B9EF</t>
        </is>
      </c>
      <c r="I872">
        <f>IFERROR(_xlfn.IFNA(INDEX(Sensors_MANU!$C$2:$C$4692,MATCH($D872,Sensors_MANU!$B$2:$B$4692,0)),INDEX(Sensors_MANU!$C$2:$C$4692,MATCH($P872,Sensors_MANU!$A$2:$A$4692,0))),"")</f>
        <v/>
      </c>
      <c r="J872">
        <f>IFERROR(_xlfn.IFNA(INDEX(Sensors_MANU!$D$2:$D$4692,MATCH($D872,Sensors_MANU!$B$2:$B$4692,0)),INDEX(Sensors_MANU!$D$2:$D$4692,MATCH($P872,Sensors_MANU!$A$2:$A$4692,0))),"")</f>
        <v/>
      </c>
      <c r="K872" s="27" t="inlineStr">
        <is>
          <t>83546985095-1</t>
        </is>
      </c>
      <c r="L872" s="27" t="inlineStr">
        <is>
          <t>3R</t>
        </is>
      </c>
      <c r="O872" s="6" t="inlineStr">
        <is>
          <t>V25</t>
        </is>
      </c>
    </row>
    <row r="873">
      <c r="A873" s="32">
        <f>IFERROR(_xlfn.IFNA(INDEX(Sensors_MANU!$E$2:$E$4692,MATCH($D873,Sensors_MANU!$B$2:$B$4692,0)),INDEX(Sensors_MANU!$E$2:$E$4692,MATCH($P873,Sensors_MANU!$A$2:$A$4692,0))),"")</f>
        <v/>
      </c>
      <c r="B873" s="24">
        <f>IFERROR(INDEX(Companies!$A$3:$A$101,MATCH(A873,Companies!$B$3:$B$101,0)),"")</f>
        <v/>
      </c>
      <c r="C873">
        <f>IFERROR(_xlfn.IFNA(INDEX(Sensors_MANU!$F$2:$F$4692,MATCH($D873,Sensors_MANU!$B$2:$B$4692,0)),INDEX(Sensors_MANU!$F$2:$F$4692,MATCH($P873,Sensors_MANU!$A$2:$A$4692,0))),"")</f>
        <v/>
      </c>
      <c r="D873" t="inlineStr">
        <is>
          <t>F0898119C2E0</t>
        </is>
      </c>
      <c r="E873">
        <f>LEFT(D873,2)&amp;":"&amp;MID(D873,3,2)&amp;":"&amp;MID(D873,5,2)&amp;":"&amp;MID(D873,7,2)&amp;":"&amp;MID(D873,9,2)&amp;":"&amp;RIGHT(D873,2)</f>
        <v/>
      </c>
      <c r="F873" s="29" t="n">
        <v>44872</v>
      </c>
      <c r="G873" s="29" t="inlineStr">
        <is>
          <t>Viezo</t>
        </is>
      </c>
      <c r="H873" t="inlineStr">
        <is>
          <t>BFB0E0B35187EE0C</t>
        </is>
      </c>
      <c r="I873">
        <f>IFERROR(_xlfn.IFNA(INDEX(Sensors_MANU!$C$2:$C$4692,MATCH($D873,Sensors_MANU!$B$2:$B$4692,0)),INDEX(Sensors_MANU!$C$2:$C$4692,MATCH($P873,Sensors_MANU!$A$2:$A$4692,0))),"")</f>
        <v/>
      </c>
      <c r="J873">
        <f>IFERROR(_xlfn.IFNA(INDEX(Sensors_MANU!$D$2:$D$4692,MATCH($D873,Sensors_MANU!$B$2:$B$4692,0)),INDEX(Sensors_MANU!$D$2:$D$4692,MATCH($P873,Sensors_MANU!$A$2:$A$4692,0))),"")</f>
        <v/>
      </c>
      <c r="K873" s="27" t="inlineStr">
        <is>
          <t>84515332773-7</t>
        </is>
      </c>
      <c r="L873" s="27" t="inlineStr">
        <is>
          <t>2R</t>
        </is>
      </c>
      <c r="M873" s="27" t="n"/>
      <c r="N873" s="99" t="inlineStr">
        <is>
          <t>The operator has the device or its lost (they got it for free), but we dont monitor it on Ubidots anymore.</t>
        </is>
      </c>
      <c r="O873" s="6" t="inlineStr">
        <is>
          <t>v16</t>
        </is>
      </c>
      <c r="P873" t="n">
        <v>4978896</v>
      </c>
    </row>
    <row r="874">
      <c r="A874" s="32">
        <f>IFERROR(_xlfn.IFNA(INDEX(Sensors_MANU!$E$2:$E$4692,MATCH($D874,Sensors_MANU!$B$2:$B$4692,0)),INDEX(Sensors_MANU!$E$2:$E$4692,MATCH($P874,Sensors_MANU!$A$2:$A$4692,0))),"")</f>
        <v/>
      </c>
      <c r="B874" s="24">
        <f>IFERROR(INDEX(Companies!$A$3:$A$101,MATCH(A874,Companies!$B$3:$B$101,0)),"")</f>
        <v/>
      </c>
      <c r="C874">
        <f>IFERROR(_xlfn.IFNA(INDEX(Sensors_MANU!$F$2:$F$4692,MATCH($D874,Sensors_MANU!$B$2:$B$4692,0)),INDEX(Sensors_MANU!$F$2:$F$4692,MATCH($P874,Sensors_MANU!$A$2:$A$4692,0))),"")</f>
        <v/>
      </c>
      <c r="D874" t="inlineStr">
        <is>
          <t>C47F9DB36358</t>
        </is>
      </c>
      <c r="E874" s="24">
        <f>LEFT(D874,2)&amp;":"&amp;MID(D874,3,2)&amp;":"&amp;MID(D874,5,2)&amp;":"&amp;MID(D874,7,2)&amp;":"&amp;MID(D874,9,2)&amp;":"&amp;RIGHT(D874,2)</f>
        <v/>
      </c>
      <c r="F874" s="29" t="n">
        <v>44880</v>
      </c>
      <c r="G874" s="29" t="inlineStr">
        <is>
          <t>Viezo</t>
        </is>
      </c>
      <c r="H874" t="inlineStr">
        <is>
          <t>8D9031BEA5946C70</t>
        </is>
      </c>
      <c r="I874">
        <f>IFERROR(_xlfn.IFNA(INDEX(Sensors_MANU!$C$2:$C$4692,MATCH($D874,Sensors_MANU!$B$2:$B$4692,0)),INDEX(Sensors_MANU!$C$2:$C$4692,MATCH($P874,Sensors_MANU!$A$2:$A$4692,0))),"")</f>
        <v/>
      </c>
      <c r="J874">
        <f>IFERROR(_xlfn.IFNA(INDEX(Sensors_MANU!$D$2:$D$4692,MATCH($D874,Sensors_MANU!$B$2:$B$4692,0)),INDEX(Sensors_MANU!$D$2:$D$4692,MATCH($P874,Sensors_MANU!$A$2:$A$4692,0))),"")</f>
        <v/>
      </c>
      <c r="K874" s="27" t="inlineStr">
        <is>
          <t>83546985012-6</t>
        </is>
      </c>
      <c r="L874" s="27" t="inlineStr">
        <is>
          <t>4L</t>
        </is>
      </c>
      <c r="O874" s="6" t="inlineStr">
        <is>
          <t>V25</t>
        </is>
      </c>
    </row>
    <row r="875">
      <c r="A875" s="32">
        <f>IFERROR(_xlfn.IFNA(INDEX(Sensors_MANU!$E$2:$E$4692,MATCH($D875,Sensors_MANU!$B$2:$B$4692,0)),INDEX(Sensors_MANU!$E$2:$E$4692,MATCH($P875,Sensors_MANU!$A$2:$A$4692,0))),"")</f>
        <v/>
      </c>
      <c r="B875" s="24">
        <f>IFERROR(INDEX(Companies!$A$3:$A$101,MATCH(A875,Companies!$B$3:$B$101,0)),"")</f>
        <v/>
      </c>
      <c r="C875">
        <f>IFERROR(_xlfn.IFNA(INDEX(Sensors_MANU!$F$2:$F$4692,MATCH($D875,Sensors_MANU!$B$2:$B$4692,0)),INDEX(Sensors_MANU!$F$2:$F$4692,MATCH($P875,Sensors_MANU!$A$2:$A$4692,0))),"")</f>
        <v/>
      </c>
      <c r="D875" t="inlineStr">
        <is>
          <t>D7217329F541</t>
        </is>
      </c>
      <c r="E875">
        <f>LEFT(D875,2)&amp;":"&amp;MID(D875,3,2)&amp;":"&amp;MID(D875,5,2)&amp;":"&amp;MID(D875,7,2)&amp;":"&amp;MID(D875,9,2)&amp;":"&amp;RIGHT(D875,2)</f>
        <v/>
      </c>
      <c r="F875" s="29" t="n">
        <v>44880</v>
      </c>
      <c r="G875" s="29" t="inlineStr">
        <is>
          <t>Viezo</t>
        </is>
      </c>
      <c r="H875" t="inlineStr">
        <is>
          <t>DF9AEC4D248F312D</t>
        </is>
      </c>
      <c r="I875">
        <f>IFERROR(_xlfn.IFNA(INDEX(Sensors_MANU!$C$2:$C$4692,MATCH($D875,Sensors_MANU!$B$2:$B$4692,0)),INDEX(Sensors_MANU!$C$2:$C$4692,MATCH($P875,Sensors_MANU!$A$2:$A$4692,0))),"")</f>
        <v/>
      </c>
      <c r="J875" s="7">
        <f>IFERROR(_xlfn.IFNA(INDEX(Sensors_MANU!$D$2:$D$4692,MATCH($D875,Sensors_MANU!$B$2:$B$4692,0)),INDEX(Sensors_MANU!$D$2:$D$4692,MATCH($P875,Sensors_MANU!$A$2:$A$4692,0))),"")</f>
        <v/>
      </c>
      <c r="K875" s="27" t="inlineStr">
        <is>
          <t>83546985072-0</t>
        </is>
      </c>
      <c r="L875" s="27" t="inlineStr">
        <is>
          <t>4L</t>
        </is>
      </c>
      <c r="M875" s="27" t="n"/>
      <c r="N875" s="99">
        <f>IFERROR(INDEX(Sensors_MANU!$G$2:$G$4692,MATCH($P875,Sensors_MANU!$A$2:$A$4692,0)),)</f>
        <v/>
      </c>
      <c r="O875" s="6" t="inlineStr">
        <is>
          <t>v16</t>
        </is>
      </c>
      <c r="P875" t="n">
        <v>4978739</v>
      </c>
    </row>
    <row r="876">
      <c r="A876" s="32">
        <f>IFERROR(_xlfn.IFNA(INDEX(Sensors_MANU!$E$2:$E$4692,MATCH($D876,Sensors_MANU!$B$2:$B$4692,0)),INDEX(Sensors_MANU!$E$2:$E$4692,MATCH($P876,Sensors_MANU!$A$2:$A$4692,0))),"")</f>
        <v/>
      </c>
      <c r="B876" s="24">
        <f>IFERROR(INDEX(Companies!$A$3:$A$101,MATCH(A876,Companies!$B$3:$B$101,0)),"")</f>
        <v/>
      </c>
      <c r="C876">
        <f>IFERROR(_xlfn.IFNA(INDEX(Sensors_MANU!$F$2:$F$4692,MATCH($D876,Sensors_MANU!$B$2:$B$4692,0)),INDEX(Sensors_MANU!$F$2:$F$4692,MATCH($P876,Sensors_MANU!$A$2:$A$4692,0))),"")</f>
        <v/>
      </c>
      <c r="D876" t="inlineStr">
        <is>
          <t>F0D03C1416C9</t>
        </is>
      </c>
      <c r="E876" s="24">
        <f>LEFT(D876,2)&amp;":"&amp;MID(D876,3,2)&amp;":"&amp;MID(D876,5,2)&amp;":"&amp;MID(D876,7,2)&amp;":"&amp;MID(D876,9,2)&amp;":"&amp;RIGHT(D876,2)</f>
        <v/>
      </c>
      <c r="F876" s="29" t="n">
        <v>44880</v>
      </c>
      <c r="G876" s="29" t="inlineStr">
        <is>
          <t>Viezo</t>
        </is>
      </c>
      <c r="H876" t="inlineStr">
        <is>
          <t>85C8B8C93606C4D3</t>
        </is>
      </c>
      <c r="I876">
        <f>IFERROR(_xlfn.IFNA(INDEX(Sensors_MANU!$C$2:$C$4692,MATCH($D876,Sensors_MANU!$B$2:$B$4692,0)),INDEX(Sensors_MANU!$C$2:$C$4692,MATCH($P876,Sensors_MANU!$A$2:$A$4692,0))),"")</f>
        <v/>
      </c>
      <c r="J876">
        <f>IFERROR(_xlfn.IFNA(INDEX(Sensors_MANU!$D$2:$D$4692,MATCH($D876,Sensors_MANU!$B$2:$B$4692,0)),INDEX(Sensors_MANU!$D$2:$D$4692,MATCH($P876,Sensors_MANU!$A$2:$A$4692,0))),"")</f>
        <v/>
      </c>
      <c r="K876" s="27" t="inlineStr">
        <is>
          <t>83546985030-8</t>
        </is>
      </c>
      <c r="L876" s="27" t="inlineStr">
        <is>
          <t>4L</t>
        </is>
      </c>
      <c r="O876" s="6" t="inlineStr">
        <is>
          <t>V25</t>
        </is>
      </c>
    </row>
    <row r="877">
      <c r="B877" s="24">
        <f>IFERROR(INDEX(Companies!$A$3:$A$101,MATCH(A877,Companies!$B$3:$B$101,0)),"")</f>
        <v/>
      </c>
      <c r="C877">
        <f>IFERROR(_xlfn.IFNA(INDEX(Sensors_MANU!$F$2:$F$4692,MATCH($D877,Sensors_MANU!$B$2:$B$4692,0)),INDEX(Sensors_MANU!$F$2:$F$4692,MATCH($P877,Sensors_MANU!$A$2:$A$4692,0))),"")</f>
        <v/>
      </c>
      <c r="D877" t="inlineStr">
        <is>
          <t>C99C6CCC521C</t>
        </is>
      </c>
      <c r="E877" s="24">
        <f>LEFT(D877,2)&amp;":"&amp;MID(D877,3,2)&amp;":"&amp;MID(D877,5,2)&amp;":"&amp;MID(D877,7,2)&amp;":"&amp;MID(D877,9,2)&amp;":"&amp;RIGHT(D877,2)</f>
        <v/>
      </c>
      <c r="H877" t="inlineStr">
        <is>
          <t>38FE851B6BB61B95</t>
        </is>
      </c>
      <c r="I877">
        <f>IFERROR(_xlfn.IFNA(INDEX(Sensors_MANU!$C$2:$C$4692,MATCH($D877,Sensors_MANU!$B$2:$B$4692,0)),INDEX(Sensors_MANU!$C$2:$C$4692,MATCH($P877,Sensors_MANU!$A$2:$A$4692,0))),"")</f>
        <v/>
      </c>
      <c r="J877">
        <f>IFERROR(_xlfn.IFNA(INDEX(Sensors_MANU!$D$2:$D$4692,MATCH($D877,Sensors_MANU!$B$2:$B$4692,0)),INDEX(Sensors_MANU!$D$2:$D$4692,MATCH($P877,Sensors_MANU!$A$2:$A$4692,0))),"")</f>
        <v/>
      </c>
      <c r="O877" s="6" t="inlineStr">
        <is>
          <t>V24</t>
        </is>
      </c>
    </row>
    <row r="878">
      <c r="A878" s="32">
        <f>IFERROR(_xlfn.IFNA(INDEX(Sensors_MANU!$E$2:$E$4692,MATCH($D878,Sensors_MANU!$B$2:$B$4692,0)),INDEX(Sensors_MANU!$E$2:$E$4692,MATCH($P878,Sensors_MANU!$A$2:$A$4692,0))),"")</f>
        <v/>
      </c>
      <c r="B878" s="24">
        <f>IFERROR(INDEX(Companies!$A$3:$A$101,MATCH(A878,Companies!$B$3:$B$101,0)),"")</f>
        <v/>
      </c>
      <c r="C878">
        <f>IFERROR(_xlfn.IFNA(INDEX(Sensors_MANU!$F$2:$F$4692,MATCH($D878,Sensors_MANU!$B$2:$B$4692,0)),INDEX(Sensors_MANU!$F$2:$F$4692,MATCH($P878,Sensors_MANU!$A$2:$A$4692,0))),"")</f>
        <v/>
      </c>
      <c r="D878" t="inlineStr">
        <is>
          <t>D11BA7AB5269</t>
        </is>
      </c>
      <c r="E878" s="24">
        <f>LEFT(D878,2)&amp;":"&amp;MID(D878,3,2)&amp;":"&amp;MID(D878,5,2)&amp;":"&amp;MID(D878,7,2)&amp;":"&amp;MID(D878,9,2)&amp;":"&amp;RIGHT(D878,2)</f>
        <v/>
      </c>
      <c r="F878" s="29" t="n">
        <v>44880</v>
      </c>
      <c r="G878" s="29" t="inlineStr">
        <is>
          <t>Viezo</t>
        </is>
      </c>
      <c r="H878" s="18" t="inlineStr">
        <is>
          <t>2983E0508162F6B6</t>
        </is>
      </c>
      <c r="I878">
        <f>IFERROR(_xlfn.IFNA(INDEX(Sensors_MANU!$C$2:$C$4692,MATCH($D878,Sensors_MANU!$B$2:$B$4692,0)),INDEX(Sensors_MANU!$C$2:$C$4692,MATCH($P878,Sensors_MANU!$A$2:$A$4692,0))),"")</f>
        <v/>
      </c>
      <c r="J878">
        <f>IFERROR(_xlfn.IFNA(INDEX(Sensors_MANU!$D$2:$D$4692,MATCH($D878,Sensors_MANU!$B$2:$B$4692,0)),INDEX(Sensors_MANU!$D$2:$D$4692,MATCH($P878,Sensors_MANU!$A$2:$A$4692,0))),"")</f>
        <v/>
      </c>
      <c r="K878" s="27" t="inlineStr">
        <is>
          <t>83546985030-8</t>
        </is>
      </c>
      <c r="L878" s="27" t="inlineStr">
        <is>
          <t>2R</t>
        </is>
      </c>
      <c r="O878" s="6" t="inlineStr">
        <is>
          <t>V25</t>
        </is>
      </c>
    </row>
    <row r="879">
      <c r="A879" s="32">
        <f>IFERROR(_xlfn.IFNA(INDEX(Sensors_MANU!$E$2:$E$4692,MATCH($D879,Sensors_MANU!$B$2:$B$4692,0)),INDEX(Sensors_MANU!$E$2:$E$4692,MATCH($P879,Sensors_MANU!$A$2:$A$4692,0))),"")</f>
        <v/>
      </c>
      <c r="B879" s="24">
        <f>IFERROR(INDEX(Companies!$A$3:$A$101,MATCH(A879,Companies!$B$3:$B$101,0)),"")</f>
        <v/>
      </c>
      <c r="C879">
        <f>IFERROR(_xlfn.IFNA(INDEX(Sensors_MANU!$F$2:$F$4692,MATCH($D879,Sensors_MANU!$B$2:$B$4692,0)),INDEX(Sensors_MANU!$F$2:$F$4692,MATCH($P879,Sensors_MANU!$A$2:$A$4692,0))),"")</f>
        <v/>
      </c>
      <c r="D879" t="inlineStr">
        <is>
          <t>F91B6A23699F</t>
        </is>
      </c>
      <c r="E879">
        <f>LEFT(D879,2)&amp;":"&amp;MID(D879,3,2)&amp;":"&amp;MID(D879,5,2)&amp;":"&amp;MID(D879,7,2)&amp;":"&amp;MID(D879,9,2)&amp;":"&amp;RIGHT(D879,2)</f>
        <v/>
      </c>
      <c r="F879" s="29" t="n">
        <v>44909</v>
      </c>
      <c r="G879" s="29" t="inlineStr">
        <is>
          <t>HVLE</t>
        </is>
      </c>
      <c r="H879" t="inlineStr">
        <is>
          <t>769ED1CE149377C3</t>
        </is>
      </c>
      <c r="I879">
        <f>IFERROR(_xlfn.IFNA(INDEX(Sensors_MANU!$C$2:$C$4692,MATCH($D879,Sensors_MANU!$B$2:$B$4692,0)),INDEX(Sensors_MANU!$C$2:$C$4692,MATCH($P879,Sensors_MANU!$A$2:$A$4692,0))),"")</f>
        <v/>
      </c>
      <c r="J879">
        <f>IFERROR(_xlfn.IFNA(INDEX(Sensors_MANU!$D$2:$D$4692,MATCH($D879,Sensors_MANU!$B$2:$B$4692,0)),INDEX(Sensors_MANU!$D$2:$D$4692,MATCH($P879,Sensors_MANU!$A$2:$A$4692,0))),"")</f>
        <v/>
      </c>
      <c r="K879" s="27" t="inlineStr">
        <is>
          <t>83546985088-6</t>
        </is>
      </c>
      <c r="L879" s="27" t="inlineStr">
        <is>
          <t>1R</t>
        </is>
      </c>
      <c r="M879" s="27" t="n"/>
      <c r="N879" s="99">
        <f>IFERROR(INDEX(Sensors_MANU!$G$2:$G$4692,MATCH($P879,Sensors_MANU!$A$2:$A$4692,0)),)</f>
        <v/>
      </c>
      <c r="O879" s="6" t="inlineStr">
        <is>
          <t>v16</t>
        </is>
      </c>
      <c r="P879" t="n">
        <v>4978722</v>
      </c>
    </row>
    <row r="880">
      <c r="B880" s="24">
        <f>IFERROR(INDEX(Companies!$A$3:$A$101,MATCH(A880,Companies!$B$3:$B$101,0)),"")</f>
        <v/>
      </c>
      <c r="C880">
        <f>IFERROR(_xlfn.IFNA(INDEX(Sensors_MANU!$F$2:$F$4692,MATCH($D880,Sensors_MANU!$B$2:$B$4692,0)),INDEX(Sensors_MANU!$F$2:$F$4692,MATCH($P880,Sensors_MANU!$A$2:$A$4692,0))),"")</f>
        <v/>
      </c>
      <c r="D880" s="25" t="inlineStr">
        <is>
          <t>F426FC1E1741</t>
        </is>
      </c>
      <c r="E880" s="24">
        <f>LEFT(D880,2)&amp;":"&amp;MID(D880,3,2)&amp;":"&amp;MID(D880,5,2)&amp;":"&amp;MID(D880,7,2)&amp;":"&amp;MID(D880,9,2)&amp;":"&amp;RIGHT(D880,2)</f>
        <v/>
      </c>
      <c r="H880" t="inlineStr">
        <is>
          <t>D5140B357ED5B230</t>
        </is>
      </c>
      <c r="I880">
        <f>IFERROR(_xlfn.IFNA(INDEX(Sensors_MANU!$C$2:$C$4692,MATCH($D880,Sensors_MANU!$B$2:$B$4692,0)),INDEX(Sensors_MANU!$C$2:$C$4692,MATCH($P880,Sensors_MANU!$A$2:$A$4692,0))),"")</f>
        <v/>
      </c>
      <c r="J880">
        <f>IFERROR(_xlfn.IFNA(INDEX(Sensors_MANU!$D$2:$D$4692,MATCH($D880,Sensors_MANU!$B$2:$B$4692,0)),INDEX(Sensors_MANU!$D$2:$D$4692,MATCH($P880,Sensors_MANU!$A$2:$A$4692,0))),"")</f>
        <v/>
      </c>
      <c r="O880" s="6" t="inlineStr">
        <is>
          <t>V23</t>
        </is>
      </c>
    </row>
    <row r="881">
      <c r="B881" s="24">
        <f>IFERROR(INDEX(Companies!$A$3:$A$101,MATCH(A881,Companies!$B$3:$B$101,0)),"")</f>
        <v/>
      </c>
      <c r="C881">
        <f>IFERROR(_xlfn.IFNA(INDEX(Sensors_MANU!$F$2:$F$4692,MATCH($D881,Sensors_MANU!$B$2:$B$4692,0)),INDEX(Sensors_MANU!$F$2:$F$4692,MATCH($P881,Sensors_MANU!$A$2:$A$4692,0))),"")</f>
        <v/>
      </c>
      <c r="D881" t="inlineStr">
        <is>
          <t>D5C43EF16CA1</t>
        </is>
      </c>
      <c r="E881" s="24">
        <f>LEFT(D881,2)&amp;":"&amp;MID(D881,3,2)&amp;":"&amp;MID(D881,5,2)&amp;":"&amp;MID(D881,7,2)&amp;":"&amp;MID(D881,9,2)&amp;":"&amp;RIGHT(D881,2)</f>
        <v/>
      </c>
      <c r="H881" t="inlineStr">
        <is>
          <t>2F082D0CB4749025</t>
        </is>
      </c>
      <c r="I881">
        <f>IFERROR(_xlfn.IFNA(INDEX(Sensors_MANU!$C$2:$C$4692,MATCH($D881,Sensors_MANU!$B$2:$B$4692,0)),INDEX(Sensors_MANU!$C$2:$C$4692,MATCH($P881,Sensors_MANU!$A$2:$A$4692,0))),"")</f>
        <v/>
      </c>
      <c r="J881">
        <f>IFERROR(_xlfn.IFNA(INDEX(Sensors_MANU!$D$2:$D$4692,MATCH($D881,Sensors_MANU!$B$2:$B$4692,0)),INDEX(Sensors_MANU!$D$2:$D$4692,MATCH($P881,Sensors_MANU!$A$2:$A$4692,0))),"")</f>
        <v/>
      </c>
      <c r="O881" s="6" t="inlineStr">
        <is>
          <t>V24</t>
        </is>
      </c>
    </row>
    <row r="882">
      <c r="A882" s="32">
        <f>IFERROR(_xlfn.IFNA(INDEX(Sensors_MANU!$E$2:$E$4692,MATCH($D882,Sensors_MANU!$B$2:$B$4692,0)),INDEX(Sensors_MANU!$E$2:$E$4692,MATCH($P882,Sensors_MANU!$A$2:$A$4692,0))),"")</f>
        <v/>
      </c>
      <c r="B882" s="24">
        <f>IFERROR(INDEX(Companies!$A$3:$A$101,MATCH(A882,Companies!$B$3:$B$101,0)),"")</f>
        <v/>
      </c>
      <c r="C882">
        <f>IFERROR(_xlfn.IFNA(INDEX(Sensors_MANU!$F$2:$F$4692,MATCH($D882,Sensors_MANU!$B$2:$B$4692,0)),INDEX(Sensors_MANU!$F$2:$F$4692,MATCH($P882,Sensors_MANU!$A$2:$A$4692,0))),"")</f>
        <v/>
      </c>
      <c r="D882" s="25" t="inlineStr">
        <is>
          <t>C52324A49EBE</t>
        </is>
      </c>
      <c r="E882" s="24">
        <f>LEFT(D882,2)&amp;":"&amp;MID(D882,3,2)&amp;":"&amp;MID(D882,5,2)&amp;":"&amp;MID(D882,7,2)&amp;":"&amp;MID(D882,9,2)&amp;":"&amp;RIGHT(D882,2)</f>
        <v/>
      </c>
      <c r="F882" s="29" t="n">
        <v>44754</v>
      </c>
      <c r="G882" s="29" t="inlineStr">
        <is>
          <t>Viezo</t>
        </is>
      </c>
      <c r="H882" t="inlineStr">
        <is>
          <t>8CA553A6D7ADC8A8</t>
        </is>
      </c>
      <c r="I882">
        <f>IFERROR(_xlfn.IFNA(INDEX(Sensors_MANU!$C$2:$C$4692,MATCH($D882,Sensors_MANU!$B$2:$B$4692,0)),INDEX(Sensors_MANU!$C$2:$C$4692,MATCH($P882,Sensors_MANU!$A$2:$A$4692,0))),"")</f>
        <v/>
      </c>
      <c r="J882">
        <f>IFERROR(_xlfn.IFNA(INDEX(Sensors_MANU!$D$2:$D$4692,MATCH($D882,Sensors_MANU!$B$2:$B$4692,0)),INDEX(Sensors_MANU!$D$2:$D$4692,MATCH($P882,Sensors_MANU!$A$2:$A$4692,0))),"")</f>
        <v/>
      </c>
      <c r="K882" s="27" t="inlineStr">
        <is>
          <t>31834789278-4</t>
        </is>
      </c>
      <c r="L882" s="27" t="inlineStr">
        <is>
          <t>1R</t>
        </is>
      </c>
      <c r="O882" s="6" t="inlineStr">
        <is>
          <t>V23</t>
        </is>
      </c>
    </row>
    <row r="883">
      <c r="B883" s="24">
        <f>IFERROR(INDEX(Companies!$A$3:$A$101,MATCH(A883,Companies!$B$3:$B$101,0)),"")</f>
        <v/>
      </c>
      <c r="C883">
        <f>IFERROR(_xlfn.IFNA(INDEX(Sensors_MANU!$F$2:$F$4692,MATCH($D883,Sensors_MANU!$B$2:$B$4692,0)),INDEX(Sensors_MANU!$F$2:$F$4692,MATCH($P883,Sensors_MANU!$A$2:$A$4692,0))),"")</f>
        <v/>
      </c>
      <c r="D883" t="inlineStr">
        <is>
          <t>D3E384EBD041</t>
        </is>
      </c>
      <c r="E883" s="24">
        <f>LEFT(D883,2)&amp;":"&amp;MID(D883,3,2)&amp;":"&amp;MID(D883,5,2)&amp;":"&amp;MID(D883,7,2)&amp;":"&amp;MID(D883,9,2)&amp;":"&amp;RIGHT(D883,2)</f>
        <v/>
      </c>
      <c r="H883" t="inlineStr">
        <is>
          <t>F4185EE6F46AD857</t>
        </is>
      </c>
      <c r="I883">
        <f>IFERROR(_xlfn.IFNA(INDEX(Sensors_MANU!$C$2:$C$4692,MATCH($D883,Sensors_MANU!$B$2:$B$4692,0)),INDEX(Sensors_MANU!$C$2:$C$4692,MATCH($P883,Sensors_MANU!$A$2:$A$4692,0))),"")</f>
        <v/>
      </c>
      <c r="J883">
        <f>IFERROR(_xlfn.IFNA(INDEX(Sensors_MANU!$D$2:$D$4692,MATCH($D883,Sensors_MANU!$B$2:$B$4692,0)),INDEX(Sensors_MANU!$D$2:$D$4692,MATCH($P883,Sensors_MANU!$A$2:$A$4692,0))),"")</f>
        <v/>
      </c>
      <c r="O883" s="6" t="inlineStr">
        <is>
          <t>V24</t>
        </is>
      </c>
    </row>
    <row r="884">
      <c r="B884" s="24">
        <f>IFERROR(INDEX(Companies!$A$3:$A$101,MATCH(A884,Companies!$B$3:$B$101,0)),"")</f>
        <v/>
      </c>
      <c r="C884">
        <f>IFERROR(_xlfn.IFNA(INDEX(Sensors_MANU!$F$2:$F$4692,MATCH($D884,Sensors_MANU!$B$2:$B$4692,0)),INDEX(Sensors_MANU!$F$2:$F$4692,MATCH($P884,Sensors_MANU!$A$2:$A$4692,0))),"")</f>
        <v/>
      </c>
      <c r="D884" t="inlineStr">
        <is>
          <t>CAB673176E7D</t>
        </is>
      </c>
      <c r="E884" s="24">
        <f>LEFT(D884,2)&amp;":"&amp;MID(D884,3,2)&amp;":"&amp;MID(D884,5,2)&amp;":"&amp;MID(D884,7,2)&amp;":"&amp;MID(D884,9,2)&amp;":"&amp;RIGHT(D884,2)</f>
        <v/>
      </c>
      <c r="H884" t="inlineStr">
        <is>
          <t>D9443CD969DDF8D1</t>
        </is>
      </c>
      <c r="I884">
        <f>IFERROR(_xlfn.IFNA(INDEX(Sensors_MANU!$C$2:$C$4692,MATCH($D884,Sensors_MANU!$B$2:$B$4692,0)),INDEX(Sensors_MANU!$C$2:$C$4692,MATCH($P884,Sensors_MANU!$A$2:$A$4692,0))),"")</f>
        <v/>
      </c>
      <c r="J884">
        <f>IFERROR(_xlfn.IFNA(INDEX(Sensors_MANU!$D$2:$D$4692,MATCH($D884,Sensors_MANU!$B$2:$B$4692,0)),INDEX(Sensors_MANU!$D$2:$D$4692,MATCH($P884,Sensors_MANU!$A$2:$A$4692,0))),"")</f>
        <v/>
      </c>
      <c r="O884" s="6" t="inlineStr">
        <is>
          <t>V24</t>
        </is>
      </c>
    </row>
    <row r="885">
      <c r="A885" s="32">
        <f>IFERROR(_xlfn.IFNA(INDEX(Sensors_MANU!$E$2:$E$4692,MATCH($D885,Sensors_MANU!$B$2:$B$4692,0)),INDEX(Sensors_MANU!$E$2:$E$4692,MATCH($P885,Sensors_MANU!$A$2:$A$4692,0))),"")</f>
        <v/>
      </c>
      <c r="B885" s="24">
        <f>IFERROR(INDEX(Companies!$A$3:$A$101,MATCH(A885,Companies!$B$3:$B$101,0)),"")</f>
        <v/>
      </c>
      <c r="C885">
        <f>IFERROR(_xlfn.IFNA(INDEX(Sensors_MANU!$F$2:$F$4692,MATCH($D885,Sensors_MANU!$B$2:$B$4692,0)),INDEX(Sensors_MANU!$F$2:$F$4692,MATCH($P885,Sensors_MANU!$A$2:$A$4692,0))),"")</f>
        <v/>
      </c>
      <c r="D885" t="inlineStr">
        <is>
          <t>D0C8D3E3DA7B</t>
        </is>
      </c>
      <c r="E885" s="24">
        <f>LEFT(D885,2)&amp;":"&amp;MID(D885,3,2)&amp;":"&amp;MID(D885,5,2)&amp;":"&amp;MID(D885,7,2)&amp;":"&amp;MID(D885,9,2)&amp;":"&amp;RIGHT(D885,2)</f>
        <v/>
      </c>
      <c r="F885" s="29" t="n">
        <v>44880</v>
      </c>
      <c r="G885" s="29" t="inlineStr">
        <is>
          <t>Viezo</t>
        </is>
      </c>
      <c r="H885" t="inlineStr">
        <is>
          <t>4320192297EC2D20</t>
        </is>
      </c>
      <c r="I885">
        <f>IFERROR(_xlfn.IFNA(INDEX(Sensors_MANU!$C$2:$C$4692,MATCH($D885,Sensors_MANU!$B$2:$B$4692,0)),INDEX(Sensors_MANU!$C$2:$C$4692,MATCH($P885,Sensors_MANU!$A$2:$A$4692,0))),"")</f>
        <v/>
      </c>
      <c r="J885">
        <f>IFERROR(_xlfn.IFNA(INDEX(Sensors_MANU!$D$2:$D$4692,MATCH($D885,Sensors_MANU!$B$2:$B$4692,0)),INDEX(Sensors_MANU!$D$2:$D$4692,MATCH($P885,Sensors_MANU!$A$2:$A$4692,0))),"")</f>
        <v/>
      </c>
      <c r="K885" s="27" t="inlineStr">
        <is>
          <t>83546985012-6</t>
        </is>
      </c>
      <c r="L885" s="27" t="inlineStr">
        <is>
          <t>1R</t>
        </is>
      </c>
      <c r="O885" s="6" t="inlineStr">
        <is>
          <t>V25</t>
        </is>
      </c>
    </row>
    <row r="886">
      <c r="B886" s="24">
        <f>IFERROR(INDEX(Companies!$A$3:$A$101,MATCH(A886,Companies!$B$3:$B$101,0)),"")</f>
        <v/>
      </c>
      <c r="C886">
        <f>IFERROR(_xlfn.IFNA(INDEX(Sensors_MANU!$F$2:$F$4692,MATCH($D886,Sensors_MANU!$B$2:$B$4692,0)),INDEX(Sensors_MANU!$F$2:$F$4692,MATCH($P886,Sensors_MANU!$A$2:$A$4692,0))),"")</f>
        <v/>
      </c>
      <c r="D886" t="inlineStr">
        <is>
          <t>C0E99A5C56FB</t>
        </is>
      </c>
      <c r="E886" s="24">
        <f>LEFT(D886,2)&amp;":"&amp;MID(D886,3,2)&amp;":"&amp;MID(D886,5,2)&amp;":"&amp;MID(D886,7,2)&amp;":"&amp;MID(D886,9,2)&amp;":"&amp;RIGHT(D886,2)</f>
        <v/>
      </c>
      <c r="H886" t="inlineStr">
        <is>
          <t>55585198A6ABCCE6</t>
        </is>
      </c>
      <c r="I886">
        <f>IFERROR(_xlfn.IFNA(INDEX(Sensors_MANU!$C$2:$C$4692,MATCH($D886,Sensors_MANU!$B$2:$B$4692,0)),INDEX(Sensors_MANU!$C$2:$C$4692,MATCH($P886,Sensors_MANU!$A$2:$A$4692,0))),"")</f>
        <v/>
      </c>
      <c r="J886">
        <f>IFERROR(_xlfn.IFNA(INDEX(Sensors_MANU!$D$2:$D$4692,MATCH($D886,Sensors_MANU!$B$2:$B$4692,0)),INDEX(Sensors_MANU!$D$2:$D$4692,MATCH($P886,Sensors_MANU!$A$2:$A$4692,0))),"")</f>
        <v/>
      </c>
      <c r="O886" s="6" t="inlineStr">
        <is>
          <t>V24</t>
        </is>
      </c>
    </row>
    <row r="887">
      <c r="A887" s="32">
        <f>IFERROR(_xlfn.IFNA(INDEX(Sensors_MANU!$E$2:$E$4692,MATCH($D887,Sensors_MANU!$B$2:$B$4692,0)),INDEX(Sensors_MANU!$E$2:$E$4692,MATCH($P887,Sensors_MANU!$A$2:$A$4692,0))),"")</f>
        <v/>
      </c>
      <c r="B887" s="24">
        <f>IFERROR(INDEX(Companies!$A$3:$A$101,MATCH(A887,Companies!$B$3:$B$101,0)),"")</f>
        <v/>
      </c>
      <c r="C887">
        <f>IFERROR(_xlfn.IFNA(INDEX(Sensors_MANU!$F$2:$F$4692,MATCH($D887,Sensors_MANU!$B$2:$B$4692,0)),INDEX(Sensors_MANU!$F$2:$F$4692,MATCH($P887,Sensors_MANU!$A$2:$A$4692,0))),"")</f>
        <v/>
      </c>
      <c r="D887" t="inlineStr">
        <is>
          <t>ED88D8B63B26</t>
        </is>
      </c>
      <c r="E887" s="24">
        <f>LEFT(D887,2)&amp;":"&amp;MID(D887,3,2)&amp;":"&amp;MID(D887,5,2)&amp;":"&amp;MID(D887,7,2)&amp;":"&amp;MID(D887,9,2)&amp;":"&amp;RIGHT(D887,2)</f>
        <v/>
      </c>
      <c r="F887" s="29" t="n">
        <v>44880</v>
      </c>
      <c r="G887" s="29" t="inlineStr">
        <is>
          <t>Viezo</t>
        </is>
      </c>
      <c r="H887" t="inlineStr">
        <is>
          <t>57F3F728D2C32FFD</t>
        </is>
      </c>
      <c r="I887">
        <f>IFERROR(_xlfn.IFNA(INDEX(Sensors_MANU!$C$2:$C$4692,MATCH($D887,Sensors_MANU!$B$2:$B$4692,0)),INDEX(Sensors_MANU!$C$2:$C$4692,MATCH($P887,Sensors_MANU!$A$2:$A$4692,0))),"")</f>
        <v/>
      </c>
      <c r="J887">
        <f>IFERROR(_xlfn.IFNA(INDEX(Sensors_MANU!$D$2:$D$4692,MATCH($D887,Sensors_MANU!$B$2:$B$4692,0)),INDEX(Sensors_MANU!$D$2:$D$4692,MATCH($P887,Sensors_MANU!$A$2:$A$4692,0))),"")</f>
        <v/>
      </c>
      <c r="K887" s="27" t="inlineStr">
        <is>
          <t>83546985012-6</t>
        </is>
      </c>
      <c r="L887" s="27" t="inlineStr">
        <is>
          <t>1L</t>
        </is>
      </c>
      <c r="O887" s="6" t="inlineStr">
        <is>
          <t>V25</t>
        </is>
      </c>
    </row>
    <row r="888">
      <c r="A888" s="32">
        <f>IFERROR(_xlfn.IFNA(INDEX(Sensors_MANU!$E$2:$E$4692,MATCH($D888,Sensors_MANU!$B$2:$B$4692,0)),INDEX(Sensors_MANU!$E$2:$E$4692,MATCH($P888,Sensors_MANU!$A$2:$A$4692,0))),"")</f>
        <v/>
      </c>
      <c r="B888" s="24">
        <f>IFERROR(INDEX(Companies!$A$3:$A$101,MATCH(A888,Companies!$B$3:$B$101,0)),"")</f>
        <v/>
      </c>
      <c r="C888">
        <f>IFERROR(_xlfn.IFNA(INDEX(Sensors_MANU!$F$2:$F$4692,MATCH($D888,Sensors_MANU!$B$2:$B$4692,0)),INDEX(Sensors_MANU!$F$2:$F$4692,MATCH($P888,Sensors_MANU!$A$2:$A$4692,0))),"")</f>
        <v/>
      </c>
      <c r="D888" t="inlineStr">
        <is>
          <t>E6E5066E25EF</t>
        </is>
      </c>
      <c r="E888">
        <f>LEFT(D888,2)&amp;":"&amp;MID(D888,3,2)&amp;":"&amp;MID(D888,5,2)&amp;":"&amp;MID(D888,7,2)&amp;":"&amp;MID(D888,9,2)&amp;":"&amp;RIGHT(D888,2)</f>
        <v/>
      </c>
      <c r="F888" s="29" t="n">
        <v>44880</v>
      </c>
      <c r="G888" s="29" t="inlineStr">
        <is>
          <t>Viezo</t>
        </is>
      </c>
      <c r="H888" t="inlineStr">
        <is>
          <t>991182F59959B61C</t>
        </is>
      </c>
      <c r="I888">
        <f>IFERROR(_xlfn.IFNA(INDEX(Sensors_MANU!$C$2:$C$4692,MATCH($D888,Sensors_MANU!$B$2:$B$4692,0)),INDEX(Sensors_MANU!$C$2:$C$4692,MATCH($P888,Sensors_MANU!$A$2:$A$4692,0))),"")</f>
        <v/>
      </c>
      <c r="J888">
        <f>IFERROR(_xlfn.IFNA(INDEX(Sensors_MANU!$D$2:$D$4692,MATCH($D888,Sensors_MANU!$B$2:$B$4692,0)),INDEX(Sensors_MANU!$D$2:$D$4692,MATCH($P888,Sensors_MANU!$A$2:$A$4692,0))),"")</f>
        <v/>
      </c>
      <c r="K888" s="27" t="inlineStr">
        <is>
          <t>83546985085-2</t>
        </is>
      </c>
      <c r="L888" s="27" t="inlineStr">
        <is>
          <t>3R</t>
        </is>
      </c>
      <c r="N888" s="99">
        <f>IFERROR(INDEX(Sensors_MANU!$G$2:$G$4692,MATCH($P888,Sensors_MANU!$A$2:$A$4692,0)),)</f>
        <v/>
      </c>
      <c r="O888" s="6" t="inlineStr">
        <is>
          <t>v17</t>
        </is>
      </c>
      <c r="P888" t="n">
        <v>4978808</v>
      </c>
    </row>
    <row r="889">
      <c r="A889" s="32">
        <f>IFERROR(_xlfn.IFNA(INDEX(Sensors_MANU!$E$2:$E$4692,MATCH($D889,Sensors_MANU!$B$2:$B$4692,0)),INDEX(Sensors_MANU!$E$2:$E$4692,MATCH($P889,Sensors_MANU!$A$2:$A$4692,0))),"")</f>
        <v/>
      </c>
      <c r="B889" s="24">
        <f>IFERROR(INDEX(Companies!$A$3:$A$101,MATCH(A889,Companies!$B$3:$B$101,0)),"")</f>
        <v/>
      </c>
      <c r="C889">
        <f>IFERROR(_xlfn.IFNA(INDEX(Sensors_MANU!$F$2:$F$4692,MATCH($D889,Sensors_MANU!$B$2:$B$4692,0)),INDEX(Sensors_MANU!$F$2:$F$4692,MATCH($P889,Sensors_MANU!$A$2:$A$4692,0))),"")</f>
        <v/>
      </c>
      <c r="D889" t="inlineStr">
        <is>
          <t>E7C9BF92848B</t>
        </is>
      </c>
      <c r="E889" s="24">
        <f>LEFT(D889,2)&amp;":"&amp;MID(D889,3,2)&amp;":"&amp;MID(D889,5,2)&amp;":"&amp;MID(D889,7,2)&amp;":"&amp;MID(D889,9,2)&amp;":"&amp;RIGHT(D889,2)</f>
        <v/>
      </c>
      <c r="F889" s="29" t="n">
        <v>44880</v>
      </c>
      <c r="G889" s="29" t="inlineStr">
        <is>
          <t>Viezo</t>
        </is>
      </c>
      <c r="H889" t="inlineStr">
        <is>
          <t>A97F27DB01ED1E7A</t>
        </is>
      </c>
      <c r="I889">
        <f>IFERROR(_xlfn.IFNA(INDEX(Sensors_MANU!$C$2:$C$4692,MATCH($D889,Sensors_MANU!$B$2:$B$4692,0)),INDEX(Sensors_MANU!$C$2:$C$4692,MATCH($P889,Sensors_MANU!$A$2:$A$4692,0))),"")</f>
        <v/>
      </c>
      <c r="J889">
        <f>IFERROR(_xlfn.IFNA(INDEX(Sensors_MANU!$D$2:$D$4692,MATCH($D889,Sensors_MANU!$B$2:$B$4692,0)),INDEX(Sensors_MANU!$D$2:$D$4692,MATCH($P889,Sensors_MANU!$A$2:$A$4692,0))),"")</f>
        <v/>
      </c>
      <c r="K889" s="27" t="inlineStr">
        <is>
          <t>83546985012-6</t>
        </is>
      </c>
      <c r="L889" s="27" t="inlineStr">
        <is>
          <t>2L</t>
        </is>
      </c>
      <c r="O889" s="6" t="inlineStr">
        <is>
          <t>V25</t>
        </is>
      </c>
    </row>
    <row r="890">
      <c r="A890" s="32">
        <f>IFERROR(_xlfn.IFNA(INDEX(Sensors_MANU!$E$2:$E$4692,MATCH($D890,Sensors_MANU!$B$2:$B$4692,0)),INDEX(Sensors_MANU!$E$2:$E$4692,MATCH($P890,Sensors_MANU!$A$2:$A$4692,0))),"")</f>
        <v/>
      </c>
      <c r="B890" s="24">
        <f>IFERROR(INDEX(Companies!$A$3:$A$101,MATCH(A890,Companies!$B$3:$B$101,0)),"")</f>
        <v/>
      </c>
      <c r="C890">
        <f>IFERROR(_xlfn.IFNA(INDEX(Sensors_MANU!$F$2:$F$4692,MATCH($D890,Sensors_MANU!$B$2:$B$4692,0)),INDEX(Sensors_MANU!$F$2:$F$4692,MATCH($P890,Sensors_MANU!$A$2:$A$4692,0))),"")</f>
        <v/>
      </c>
      <c r="D890" t="inlineStr">
        <is>
          <t>F79883DA7F5D</t>
        </is>
      </c>
      <c r="E890">
        <f>LEFT(D890,2)&amp;":"&amp;MID(D890,3,2)&amp;":"&amp;MID(D890,5,2)&amp;":"&amp;MID(D890,7,2)&amp;":"&amp;MID(D890,9,2)&amp;":"&amp;RIGHT(D890,2)</f>
        <v/>
      </c>
      <c r="F890" s="29" t="n">
        <v>44880</v>
      </c>
      <c r="G890" s="29" t="inlineStr">
        <is>
          <t>Viezo</t>
        </is>
      </c>
      <c r="H890" t="inlineStr">
        <is>
          <t>447923720A8CD860</t>
        </is>
      </c>
      <c r="I890">
        <f>IFERROR(_xlfn.IFNA(INDEX(Sensors_MANU!$C$2:$C$4692,MATCH($D890,Sensors_MANU!$B$2:$B$4692,0)),INDEX(Sensors_MANU!$C$2:$C$4692,MATCH($P890,Sensors_MANU!$A$2:$A$4692,0))),"")</f>
        <v/>
      </c>
      <c r="J890">
        <f>IFERROR(_xlfn.IFNA(INDEX(Sensors_MANU!$D$2:$D$4692,MATCH($D890,Sensors_MANU!$B$2:$B$4692,0)),INDEX(Sensors_MANU!$D$2:$D$4692,MATCH($P890,Sensors_MANU!$A$2:$A$4692,0))),"")</f>
        <v/>
      </c>
      <c r="K890" s="27" t="inlineStr">
        <is>
          <t>83546985095-1</t>
        </is>
      </c>
      <c r="L890" s="27" t="inlineStr">
        <is>
          <t>4L</t>
        </is>
      </c>
      <c r="M890" s="27" t="n"/>
      <c r="N890" s="99">
        <f>IFERROR(INDEX(Sensors_MANU!$G$2:$G$4692,MATCH($P890,Sensors_MANU!$A$2:$A$4692,0)),)</f>
        <v/>
      </c>
      <c r="O890" s="6" t="inlineStr">
        <is>
          <t>v16</t>
        </is>
      </c>
      <c r="P890" t="n">
        <v>4978567</v>
      </c>
    </row>
    <row r="891">
      <c r="A891" s="32">
        <f>IFERROR(_xlfn.IFNA(INDEX(Sensors_MANU!$E$2:$E$4692,MATCH($D891,Sensors_MANU!$B$2:$B$4692,0)),INDEX(Sensors_MANU!$E$2:$E$4692,MATCH($P891,Sensors_MANU!$A$2:$A$4692,0))),"")</f>
        <v/>
      </c>
      <c r="B891" s="24">
        <f>IFERROR(INDEX(Companies!$A$3:$A$101,MATCH(A891,Companies!$B$3:$B$101,0)),"")</f>
        <v/>
      </c>
      <c r="C891">
        <f>IFERROR(_xlfn.IFNA(INDEX(Sensors_MANU!$F$2:$F$4692,MATCH($D891,Sensors_MANU!$B$2:$B$4692,0)),INDEX(Sensors_MANU!$F$2:$F$4692,MATCH($P891,Sensors_MANU!$A$2:$A$4692,0))),"")</f>
        <v/>
      </c>
      <c r="D891" s="25" t="inlineStr">
        <is>
          <t>E48F868F5678</t>
        </is>
      </c>
      <c r="E891" s="24">
        <f>LEFT(D891,2)&amp;":"&amp;MID(D891,3,2)&amp;":"&amp;MID(D891,5,2)&amp;":"&amp;MID(D891,7,2)&amp;":"&amp;MID(D891,9,2)&amp;":"&amp;RIGHT(D891,2)</f>
        <v/>
      </c>
      <c r="F891" s="29" t="n">
        <v>44880</v>
      </c>
      <c r="G891" s="29" t="inlineStr">
        <is>
          <t>Viezo</t>
        </is>
      </c>
      <c r="H891" t="inlineStr">
        <is>
          <t>1B0ABE5B1D617965</t>
        </is>
      </c>
      <c r="I891">
        <f>IFERROR(_xlfn.IFNA(INDEX(Sensors_MANU!$C$2:$C$4692,MATCH($D891,Sensors_MANU!$B$2:$B$4692,0)),INDEX(Sensors_MANU!$C$2:$C$4692,MATCH($P891,Sensors_MANU!$A$2:$A$4692,0))),"")</f>
        <v/>
      </c>
      <c r="J891">
        <f>IFERROR(_xlfn.IFNA(INDEX(Sensors_MANU!$D$2:$D$4692,MATCH($D891,Sensors_MANU!$B$2:$B$4692,0)),INDEX(Sensors_MANU!$D$2:$D$4692,MATCH($P891,Sensors_MANU!$A$2:$A$4692,0))),"")</f>
        <v/>
      </c>
      <c r="K891" s="27" t="inlineStr">
        <is>
          <t>83546985030-8</t>
        </is>
      </c>
      <c r="L891" s="27" t="inlineStr">
        <is>
          <t>3L</t>
        </is>
      </c>
      <c r="O891" s="6" t="inlineStr">
        <is>
          <t>V23</t>
        </is>
      </c>
    </row>
    <row r="892">
      <c r="B892" s="24">
        <f>IFERROR(INDEX(Companies!$A$3:$A$101,MATCH(A892,Companies!$B$3:$B$101,0)),"")</f>
        <v/>
      </c>
      <c r="C892">
        <f>IFERROR(_xlfn.IFNA(INDEX(Sensors_MANU!$F$2:$F$4692,MATCH($D892,Sensors_MANU!$B$2:$B$4692,0)),INDEX(Sensors_MANU!$F$2:$F$4692,MATCH($P892,Sensors_MANU!$A$2:$A$4692,0))),"")</f>
        <v/>
      </c>
      <c r="D892" t="inlineStr">
        <is>
          <t>CB67ABED3B74</t>
        </is>
      </c>
      <c r="E892" s="24">
        <f>LEFT(D892,2)&amp;":"&amp;MID(D892,3,2)&amp;":"&amp;MID(D892,5,2)&amp;":"&amp;MID(D892,7,2)&amp;":"&amp;MID(D892,9,2)&amp;":"&amp;RIGHT(D892,2)</f>
        <v/>
      </c>
      <c r="H892" t="inlineStr">
        <is>
          <t>D9171E4DD6F4CE5E</t>
        </is>
      </c>
      <c r="J892" s="65" t="inlineStr">
        <is>
          <t>PR2206-325</t>
        </is>
      </c>
      <c r="O892" s="6" t="inlineStr">
        <is>
          <t>V24</t>
        </is>
      </c>
    </row>
    <row r="893">
      <c r="A893" s="32">
        <f>IFERROR(_xlfn.IFNA(INDEX(Sensors_MANU!$E$2:$E$4692,MATCH($D893,Sensors_MANU!$B$2:$B$4692,0)),INDEX(Sensors_MANU!$E$2:$E$4692,MATCH($P893,Sensors_MANU!$A$2:$A$4692,0))),"")</f>
        <v/>
      </c>
      <c r="B893" s="24">
        <f>IFERROR(INDEX(Companies!$A$3:$A$101,MATCH(A893,Companies!$B$3:$B$101,0)),"")</f>
        <v/>
      </c>
      <c r="C893">
        <f>IFERROR(_xlfn.IFNA(INDEX(Sensors_MANU!$F$2:$F$4692,MATCH($D893,Sensors_MANU!$B$2:$B$4692,0)),INDEX(Sensors_MANU!$F$2:$F$4692,MATCH($P893,Sensors_MANU!$A$2:$A$4692,0))),"")</f>
        <v/>
      </c>
      <c r="D893" t="inlineStr">
        <is>
          <t>FC74431AC320</t>
        </is>
      </c>
      <c r="E893" s="24">
        <f>LEFT(D893,2)&amp;":"&amp;MID(D893,3,2)&amp;":"&amp;MID(D893,5,2)&amp;":"&amp;MID(D893,7,2)&amp;":"&amp;MID(D893,9,2)&amp;":"&amp;RIGHT(D893,2)</f>
        <v/>
      </c>
      <c r="F893" s="29" t="n">
        <v>44880</v>
      </c>
      <c r="G893" s="29" t="inlineStr">
        <is>
          <t>Viezo</t>
        </is>
      </c>
      <c r="H893" t="inlineStr">
        <is>
          <t>0BD007DEB82C251D</t>
        </is>
      </c>
      <c r="I893">
        <f>IFERROR(_xlfn.IFNA(INDEX(Sensors_MANU!$C$2:$C$4692,MATCH($D893,Sensors_MANU!$B$2:$B$4692,0)),INDEX(Sensors_MANU!$C$2:$C$4692,MATCH($P893,Sensors_MANU!$A$2:$A$4692,0))),"")</f>
        <v/>
      </c>
      <c r="J893">
        <f>IFERROR(_xlfn.IFNA(INDEX(Sensors_MANU!$D$2:$D$4692,MATCH($D893,Sensors_MANU!$B$2:$B$4692,0)),INDEX(Sensors_MANU!$D$2:$D$4692,MATCH($P893,Sensors_MANU!$A$2:$A$4692,0))),"")</f>
        <v/>
      </c>
      <c r="K893" s="27" t="inlineStr">
        <is>
          <t>83546985084-5</t>
        </is>
      </c>
      <c r="L893" s="27" t="inlineStr">
        <is>
          <t>4L</t>
        </is>
      </c>
      <c r="O893" s="6" t="inlineStr">
        <is>
          <t>V25</t>
        </is>
      </c>
    </row>
    <row r="894">
      <c r="A894" s="32">
        <f>IFERROR(_xlfn.IFNA(INDEX(Sensors_MANU!$E$2:$E$4692,MATCH($D894,Sensors_MANU!$B$2:$B$4692,0)),INDEX(Sensors_MANU!$E$2:$E$4692,MATCH($P894,Sensors_MANU!$A$2:$A$4692,0))),"")</f>
        <v/>
      </c>
      <c r="B894" s="24">
        <f>IFERROR(INDEX(Companies!$A$3:$A$101,MATCH(A894,Companies!$B$3:$B$101,0)),"")</f>
        <v/>
      </c>
      <c r="C894">
        <f>IFERROR(_xlfn.IFNA(INDEX(Sensors_MANU!$F$2:$F$4692,MATCH($D894,Sensors_MANU!$B$2:$B$4692,0)),INDEX(Sensors_MANU!$F$2:$F$4692,MATCH($P894,Sensors_MANU!$A$2:$A$4692,0))),"")</f>
        <v/>
      </c>
      <c r="D894" t="inlineStr">
        <is>
          <t>D44E3B83C097</t>
        </is>
      </c>
      <c r="E894">
        <f>LEFT(D894,2)&amp;":"&amp;MID(D894,3,2)&amp;":"&amp;MID(D894,5,2)&amp;":"&amp;MID(D894,7,2)&amp;":"&amp;MID(D894,9,2)&amp;":"&amp;RIGHT(D894,2)</f>
        <v/>
      </c>
      <c r="F894" s="29" t="n">
        <v>44880</v>
      </c>
      <c r="G894" s="29" t="inlineStr">
        <is>
          <t>Viezo</t>
        </is>
      </c>
      <c r="H894" t="inlineStr">
        <is>
          <t>034207539BAEBB0C</t>
        </is>
      </c>
      <c r="I894">
        <f>IFERROR(_xlfn.IFNA(INDEX(Sensors_MANU!$C$2:$C$4692,MATCH($D894,Sensors_MANU!$B$2:$B$4692,0)),INDEX(Sensors_MANU!$C$2:$C$4692,MATCH($P894,Sensors_MANU!$A$2:$A$4692,0))),"")</f>
        <v/>
      </c>
      <c r="J894">
        <f>IFERROR(_xlfn.IFNA(INDEX(Sensors_MANU!$D$2:$D$4692,MATCH($D894,Sensors_MANU!$B$2:$B$4692,0)),INDEX(Sensors_MANU!$D$2:$D$4692,MATCH($P894,Sensors_MANU!$A$2:$A$4692,0))),"")</f>
        <v/>
      </c>
      <c r="K894" s="27" t="inlineStr">
        <is>
          <t>83546985015-9</t>
        </is>
      </c>
      <c r="L894" s="27" t="inlineStr">
        <is>
          <t>1L</t>
        </is>
      </c>
      <c r="M894" s="27" t="n"/>
      <c r="N894" s="99">
        <f>IFERROR(INDEX(Sensors_MANU!$G$2:$G$4692,MATCH($P894,Sensors_MANU!$A$2:$A$4692,0)),)</f>
        <v/>
      </c>
      <c r="O894" s="6" t="inlineStr">
        <is>
          <t>v16</t>
        </is>
      </c>
      <c r="P894" t="n">
        <v>4978565</v>
      </c>
    </row>
    <row r="895">
      <c r="A895" s="32">
        <f>IFERROR(_xlfn.IFNA(INDEX(Sensors_MANU!$E$2:$E$4692,MATCH($D895,Sensors_MANU!$B$2:$B$4692,0)),INDEX(Sensors_MANU!$E$2:$E$4692,MATCH($P895,Sensors_MANU!$A$2:$A$4692,0))),"")</f>
        <v/>
      </c>
      <c r="B895" s="24">
        <f>IFERROR(INDEX(Companies!$A$3:$A$101,MATCH(A895,Companies!$B$3:$B$101,0)),"")</f>
        <v/>
      </c>
      <c r="C895">
        <f>IFERROR(_xlfn.IFNA(INDEX(Sensors_MANU!$F$2:$F$4692,MATCH($D895,Sensors_MANU!$B$2:$B$4692,0)),INDEX(Sensors_MANU!$F$2:$F$4692,MATCH($P895,Sensors_MANU!$A$2:$A$4692,0))),"")</f>
        <v/>
      </c>
      <c r="D895" t="inlineStr">
        <is>
          <t>D3CB48F8FDB2</t>
        </is>
      </c>
      <c r="E895">
        <f>LEFT(D895,2)&amp;":"&amp;MID(D895,3,2)&amp;":"&amp;MID(D895,5,2)&amp;":"&amp;MID(D895,7,2)&amp;":"&amp;MID(D895,9,2)&amp;":"&amp;RIGHT(D895,2)</f>
        <v/>
      </c>
      <c r="F895" s="29" t="n">
        <v>44872</v>
      </c>
      <c r="G895" s="29" t="inlineStr">
        <is>
          <t>Viezo</t>
        </is>
      </c>
      <c r="H895" t="inlineStr">
        <is>
          <t>74E8E68EB34966F6</t>
        </is>
      </c>
      <c r="I895">
        <f>IFERROR(_xlfn.IFNA(INDEX(Sensors_MANU!$C$2:$C$4692,MATCH($D895,Sensors_MANU!$B$2:$B$4692,0)),INDEX(Sensors_MANU!$C$2:$C$4692,MATCH($P895,Sensors_MANU!$A$2:$A$4692,0))),"")</f>
        <v/>
      </c>
      <c r="J895">
        <f>IFERROR(_xlfn.IFNA(INDEX(Sensors_MANU!$D$2:$D$4692,MATCH($D895,Sensors_MANU!$B$2:$B$4692,0)),INDEX(Sensors_MANU!$D$2:$D$4692,MATCH($P895,Sensors_MANU!$A$2:$A$4692,0))),"")</f>
        <v/>
      </c>
      <c r="K895" s="27" t="inlineStr">
        <is>
          <t>84515332773-7</t>
        </is>
      </c>
      <c r="L895" s="27" t="inlineStr">
        <is>
          <t>1R</t>
        </is>
      </c>
      <c r="M895" s="27" t="n"/>
      <c r="N895" s="99" t="inlineStr">
        <is>
          <t>The operator has the device or its lost (they got it for free), but we dont monitor it on Ubidots anymore.</t>
        </is>
      </c>
      <c r="O895" s="6" t="inlineStr">
        <is>
          <t>v16</t>
        </is>
      </c>
      <c r="P895" t="n">
        <v>4978839</v>
      </c>
    </row>
    <row r="896">
      <c r="A896" s="32">
        <f>IFERROR(_xlfn.IFNA(INDEX(Sensors_MANU!$E$2:$E$4692,MATCH($D896,Sensors_MANU!$B$2:$B$4692,0)),INDEX(Sensors_MANU!$E$2:$E$4692,MATCH($P896,Sensors_MANU!$A$2:$A$4692,0))),"")</f>
        <v/>
      </c>
      <c r="B896" s="24">
        <f>IFERROR(INDEX(Companies!$A$3:$A$101,MATCH(A896,Companies!$B$3:$B$101,0)),"")</f>
        <v/>
      </c>
      <c r="C896">
        <f>IFERROR(_xlfn.IFNA(INDEX(Sensors_MANU!$F$2:$F$4692,MATCH($D896,Sensors_MANU!$B$2:$B$4692,0)),INDEX(Sensors_MANU!$F$2:$F$4692,MATCH($P896,Sensors_MANU!$A$2:$A$4692,0))),"")</f>
        <v/>
      </c>
      <c r="D896" t="inlineStr">
        <is>
          <t>DF4D456ADBB2</t>
        </is>
      </c>
      <c r="E896" s="24">
        <f>LEFT(D896,2)&amp;":"&amp;MID(D896,3,2)&amp;":"&amp;MID(D896,5,2)&amp;":"&amp;MID(D896,7,2)&amp;":"&amp;MID(D896,9,2)&amp;":"&amp;RIGHT(D896,2)</f>
        <v/>
      </c>
      <c r="F896" s="29" t="n">
        <v>44880</v>
      </c>
      <c r="G896" s="29" t="inlineStr">
        <is>
          <t>Viezo</t>
        </is>
      </c>
      <c r="H896" t="inlineStr">
        <is>
          <t>73B9CCB2AC5E33B8</t>
        </is>
      </c>
      <c r="I896">
        <f>IFERROR(_xlfn.IFNA(INDEX(Sensors_MANU!$C$2:$C$4692,MATCH($D896,Sensors_MANU!$B$2:$B$4692,0)),INDEX(Sensors_MANU!$C$2:$C$4692,MATCH($P896,Sensors_MANU!$A$2:$A$4692,0))),"")</f>
        <v/>
      </c>
      <c r="J896">
        <f>IFERROR(_xlfn.IFNA(INDEX(Sensors_MANU!$D$2:$D$4692,MATCH($D896,Sensors_MANU!$B$2:$B$4692,0)),INDEX(Sensors_MANU!$D$2:$D$4692,MATCH($P896,Sensors_MANU!$A$2:$A$4692,0))),"")</f>
        <v/>
      </c>
      <c r="K896" s="27" t="inlineStr">
        <is>
          <t>83546985085-2</t>
        </is>
      </c>
      <c r="L896" s="27" t="inlineStr">
        <is>
          <t>2R</t>
        </is>
      </c>
      <c r="O896" s="6" t="inlineStr">
        <is>
          <t>V25</t>
        </is>
      </c>
    </row>
    <row r="897">
      <c r="A897" s="32">
        <f>IFERROR(_xlfn.IFNA(INDEX(Sensors_MANU!$E$2:$E$4692,MATCH($D897,Sensors_MANU!$B$2:$B$4692,0)),INDEX(Sensors_MANU!$E$2:$E$4692,MATCH($P897,Sensors_MANU!$A$2:$A$4692,0))),"")</f>
        <v/>
      </c>
      <c r="B897" s="24">
        <f>IFERROR(INDEX(Companies!$A$3:$A$101,MATCH(A897,Companies!$B$3:$B$101,0)),"")</f>
        <v/>
      </c>
      <c r="C897">
        <f>IFERROR(_xlfn.IFNA(INDEX(Sensors_MANU!$F$2:$F$4692,MATCH($D897,Sensors_MANU!$B$2:$B$4692,0)),INDEX(Sensors_MANU!$F$2:$F$4692,MATCH($P897,Sensors_MANU!$A$2:$A$4692,0))),"")</f>
        <v/>
      </c>
      <c r="D897" s="25" t="inlineStr">
        <is>
          <t>D0549961014B</t>
        </is>
      </c>
      <c r="E897" s="24">
        <f>LEFT(D897,2)&amp;":"&amp;MID(D897,3,2)&amp;":"&amp;MID(D897,5,2)&amp;":"&amp;MID(D897,7,2)&amp;":"&amp;MID(D897,9,2)&amp;":"&amp;RIGHT(D897,2)</f>
        <v/>
      </c>
      <c r="F897" s="29" t="n">
        <v>44754</v>
      </c>
      <c r="G897" s="29" t="inlineStr">
        <is>
          <t>Viezo</t>
        </is>
      </c>
      <c r="H897" t="inlineStr">
        <is>
          <t>D23011281A447948</t>
        </is>
      </c>
      <c r="I897">
        <f>IFERROR(_xlfn.IFNA(INDEX(Sensors_MANU!$C$2:$C$4692,MATCH($D897,Sensors_MANU!$B$2:$B$4692,0)),INDEX(Sensors_MANU!$C$2:$C$4692,MATCH($P897,Sensors_MANU!$A$2:$A$4692,0))),"")</f>
        <v/>
      </c>
      <c r="J897">
        <f>IFERROR(_xlfn.IFNA(INDEX(Sensors_MANU!$D$2:$D$4692,MATCH($D897,Sensors_MANU!$B$2:$B$4692,0)),INDEX(Sensors_MANU!$D$2:$D$4692,MATCH($P897,Sensors_MANU!$A$2:$A$4692,0))),"")</f>
        <v/>
      </c>
      <c r="K897" s="27" t="inlineStr">
        <is>
          <t>31834668448-9</t>
        </is>
      </c>
      <c r="L897" s="27" t="inlineStr">
        <is>
          <t>2R</t>
        </is>
      </c>
      <c r="O897" s="6" t="inlineStr">
        <is>
          <t>V23</t>
        </is>
      </c>
    </row>
    <row r="898">
      <c r="A898" s="32" t="inlineStr">
        <is>
          <t>RENFE</t>
        </is>
      </c>
      <c r="B898" s="24">
        <f>IFERROR(INDEX(Companies!$A$3:$A$101,MATCH(A898,Companies!$B$3:$B$101,0)),"")</f>
        <v/>
      </c>
      <c r="C898">
        <f>IFERROR(_xlfn.IFNA(INDEX(Sensors_MANU!$F$2:$F$4692,MATCH($D898,Sensors_MANU!$B$2:$B$4692,0)),INDEX(Sensors_MANU!$F$2:$F$4692,MATCH($P898,Sensors_MANU!$A$2:$A$4692,0))),"")</f>
        <v/>
      </c>
      <c r="D898" t="inlineStr">
        <is>
          <t>E5BD7136106C</t>
        </is>
      </c>
      <c r="E898">
        <f>LEFT(D898,2)&amp;":"&amp;MID(D898,3,2)&amp;":"&amp;MID(D898,5,2)&amp;":"&amp;MID(D898,7,2)&amp;":"&amp;MID(D898,9,2)&amp;":"&amp;RIGHT(D898,2)</f>
        <v/>
      </c>
      <c r="F898" s="29" t="n">
        <v>45083</v>
      </c>
      <c r="G898" s="29" t="inlineStr">
        <is>
          <t>Renfe</t>
        </is>
      </c>
      <c r="H898" t="inlineStr">
        <is>
          <t>8DE426F77AB6593D</t>
        </is>
      </c>
      <c r="I898">
        <f>IFERROR(_xlfn.IFNA(INDEX(Sensors_MANU!$C$2:$C$4692,MATCH($D898,Sensors_MANU!$B$2:$B$4692,0)),INDEX(Sensors_MANU!$C$2:$C$4692,MATCH($P898,Sensors_MANU!$A$2:$A$4692,0))),"")</f>
        <v/>
      </c>
      <c r="J898" s="64" t="inlineStr">
        <is>
          <t>PR2206-333</t>
        </is>
      </c>
      <c r="K898" s="27" t="n">
        <v>527015</v>
      </c>
      <c r="L898" s="27" t="inlineStr">
        <is>
          <t>4R</t>
        </is>
      </c>
      <c r="M898" s="27" t="n"/>
      <c r="N898" s="99">
        <f>IFERROR(INDEX(Sensors_MANU!$G$2:$G$4692,MATCH($P898,Sensors_MANU!$A$2:$A$4692,0)),)</f>
        <v/>
      </c>
      <c r="O898" s="6" t="inlineStr">
        <is>
          <t>v16</t>
        </is>
      </c>
      <c r="P898" t="n">
        <v>4978505</v>
      </c>
    </row>
    <row r="899">
      <c r="B899" s="24">
        <f>IFERROR(INDEX(Companies!$A$3:$A$101,MATCH(A899,Companies!$B$3:$B$101,0)),"")</f>
        <v/>
      </c>
      <c r="C899">
        <f>IFERROR(_xlfn.IFNA(INDEX(Sensors_MANU!$F$2:$F$4692,MATCH($D899,Sensors_MANU!$B$2:$B$4692,0)),INDEX(Sensors_MANU!$F$2:$F$4692,MATCH($P899,Sensors_MANU!$A$2:$A$4692,0))),"")</f>
        <v/>
      </c>
      <c r="D899" t="inlineStr">
        <is>
          <t>D4E2096CA210</t>
        </is>
      </c>
      <c r="E899" s="24">
        <f>LEFT(D899,2)&amp;":"&amp;MID(D899,3,2)&amp;":"&amp;MID(D899,5,2)&amp;":"&amp;MID(D899,7,2)&amp;":"&amp;MID(D899,9,2)&amp;":"&amp;RIGHT(D899,2)</f>
        <v/>
      </c>
      <c r="H899" t="inlineStr">
        <is>
          <t>A232361116C5A591</t>
        </is>
      </c>
      <c r="I899">
        <f>IFERROR(_xlfn.IFNA(INDEX(Sensors_MANU!$C$2:$C$4692,MATCH($D899,Sensors_MANU!$B$2:$B$4692,0)),INDEX(Sensors_MANU!$C$2:$C$4692,MATCH($P899,Sensors_MANU!$A$2:$A$4692,0))),"")</f>
        <v/>
      </c>
      <c r="J899">
        <f>IFERROR(_xlfn.IFNA(INDEX(Sensors_MANU!$D$2:$D$4692,MATCH($D899,Sensors_MANU!$B$2:$B$4692,0)),INDEX(Sensors_MANU!$D$2:$D$4692,MATCH($P899,Sensors_MANU!$A$2:$A$4692,0))),"")</f>
        <v/>
      </c>
      <c r="O899" s="6" t="inlineStr">
        <is>
          <t>V24</t>
        </is>
      </c>
    </row>
    <row r="900">
      <c r="B900" s="24">
        <f>IFERROR(INDEX(Companies!$A$3:$A$101,MATCH(A900,Companies!$B$3:$B$101,0)),"")</f>
        <v/>
      </c>
      <c r="C900">
        <f>IFERROR(_xlfn.IFNA(INDEX(Sensors_MANU!$F$2:$F$4692,MATCH($D900,Sensors_MANU!$B$2:$B$4692,0)),INDEX(Sensors_MANU!$F$2:$F$4692,MATCH($P900,Sensors_MANU!$A$2:$A$4692,0))),"")</f>
        <v/>
      </c>
      <c r="D900" t="inlineStr">
        <is>
          <t>D2BA42298DB1</t>
        </is>
      </c>
      <c r="E900" s="24">
        <f>LEFT(D900,2)&amp;":"&amp;MID(D900,3,2)&amp;":"&amp;MID(D900,5,2)&amp;":"&amp;MID(D900,7,2)&amp;":"&amp;MID(D900,9,2)&amp;":"&amp;RIGHT(D900,2)</f>
        <v/>
      </c>
      <c r="H900" t="inlineStr">
        <is>
          <t>CB7BF6D72BA9F1EF</t>
        </is>
      </c>
      <c r="I900">
        <f>IFERROR(_xlfn.IFNA(INDEX(Sensors_MANU!$C$2:$C$4692,MATCH($D900,Sensors_MANU!$B$2:$B$4692,0)),INDEX(Sensors_MANU!$C$2:$C$4692,MATCH($P900,Sensors_MANU!$A$2:$A$4692,0))),"")</f>
        <v/>
      </c>
      <c r="J900">
        <f>IFERROR(_xlfn.IFNA(INDEX(Sensors_MANU!$D$2:$D$4692,MATCH($D900,Sensors_MANU!$B$2:$B$4692,0)),INDEX(Sensors_MANU!$D$2:$D$4692,MATCH($P900,Sensors_MANU!$A$2:$A$4692,0))),"")</f>
        <v/>
      </c>
      <c r="O900" s="6" t="inlineStr">
        <is>
          <t>V24</t>
        </is>
      </c>
    </row>
    <row r="901">
      <c r="A901" s="32">
        <f>IFERROR(_xlfn.IFNA(INDEX(Sensors_MANU!$E$2:$E$4692,MATCH($D901,Sensors_MANU!$B$2:$B$4692,0)),INDEX(Sensors_MANU!$E$2:$E$4692,MATCH($P901,Sensors_MANU!$A$2:$A$4692,0))),"")</f>
        <v/>
      </c>
      <c r="B901" s="24">
        <f>IFERROR(INDEX(Companies!$A$3:$A$101,MATCH(A901,Companies!$B$3:$B$101,0)),"")</f>
        <v/>
      </c>
      <c r="C901">
        <f>IFERROR(_xlfn.IFNA(INDEX(Sensors_MANU!$F$2:$F$4692,MATCH($D901,Sensors_MANU!$B$2:$B$4692,0)),INDEX(Sensors_MANU!$F$2:$F$4692,MATCH($P901,Sensors_MANU!$A$2:$A$4692,0))),"")</f>
        <v/>
      </c>
      <c r="D901" s="50" t="inlineStr">
        <is>
          <t>EF59EC8DF09C</t>
        </is>
      </c>
      <c r="E901" s="24">
        <f>LEFT(D901,2)&amp;":"&amp;MID(D901,3,2)&amp;":"&amp;MID(D901,5,2)&amp;":"&amp;MID(D901,7,2)&amp;":"&amp;MID(D901,9,2)&amp;":"&amp;RIGHT(D901,2)</f>
        <v/>
      </c>
      <c r="F901" s="29" t="n">
        <v>44754</v>
      </c>
      <c r="G901" s="29" t="inlineStr">
        <is>
          <t>Viezo</t>
        </is>
      </c>
      <c r="H901" s="48" t="inlineStr">
        <is>
          <t>505E4525CBB851F9</t>
        </is>
      </c>
      <c r="I901">
        <f>IFERROR(_xlfn.IFNA(INDEX(Sensors_MANU!$C$2:$C$4692,MATCH($D901,Sensors_MANU!$B$2:$B$4692,0)),INDEX(Sensors_MANU!$C$2:$C$4692,MATCH($P901,Sensors_MANU!$A$2:$A$4692,0))),"")</f>
        <v/>
      </c>
      <c r="J901">
        <f>IFERROR(_xlfn.IFNA(INDEX(Sensors_MANU!$D$2:$D$4692,MATCH($D901,Sensors_MANU!$B$2:$B$4692,0)),INDEX(Sensors_MANU!$D$2:$D$4692,MATCH($P901,Sensors_MANU!$A$2:$A$4692,0))),"")</f>
        <v/>
      </c>
      <c r="K901" s="27" t="inlineStr">
        <is>
          <t>31834785082-4</t>
        </is>
      </c>
      <c r="L901" s="27" t="inlineStr">
        <is>
          <t>4L</t>
        </is>
      </c>
      <c r="O901" s="6" t="inlineStr">
        <is>
          <t>V23</t>
        </is>
      </c>
    </row>
    <row r="902">
      <c r="A902" s="32">
        <f>IFERROR(_xlfn.IFNA(INDEX(Sensors_MANU!$E$2:$E$4692,MATCH($D902,Sensors_MANU!$B$2:$B$4692,0)),INDEX(Sensors_MANU!$E$2:$E$4692,MATCH($P902,Sensors_MANU!$A$2:$A$4692,0))),"")</f>
        <v/>
      </c>
      <c r="B902" s="24">
        <f>IFERROR(INDEX(Companies!$A$3:$A$101,MATCH(A902,Companies!$B$3:$B$101,0)),"")</f>
        <v/>
      </c>
      <c r="C902">
        <f>IFERROR(_xlfn.IFNA(INDEX(Sensors_MANU!$F$2:$F$4692,MATCH($D902,Sensors_MANU!$B$2:$B$4692,0)),INDEX(Sensors_MANU!$F$2:$F$4692,MATCH($P902,Sensors_MANU!$A$2:$A$4692,0))),"")</f>
        <v/>
      </c>
      <c r="D902" t="inlineStr">
        <is>
          <t>EC12E7CACCF2</t>
        </is>
      </c>
      <c r="E902" s="24">
        <f>LEFT(D902,2)&amp;":"&amp;MID(D902,3,2)&amp;":"&amp;MID(D902,5,2)&amp;":"&amp;MID(D902,7,2)&amp;":"&amp;MID(D902,9,2)&amp;":"&amp;RIGHT(D902,2)</f>
        <v/>
      </c>
      <c r="F902" s="29" t="n">
        <v>44880</v>
      </c>
      <c r="G902" s="29" t="inlineStr">
        <is>
          <t>Viezo</t>
        </is>
      </c>
      <c r="H902" t="inlineStr">
        <is>
          <t>0172D1B0B2B917ED</t>
        </is>
      </c>
      <c r="I902">
        <f>IFERROR(_xlfn.IFNA(INDEX(Sensors_MANU!$C$2:$C$4692,MATCH($D902,Sensors_MANU!$B$2:$B$4692,0)),INDEX(Sensors_MANU!$C$2:$C$4692,MATCH($P902,Sensors_MANU!$A$2:$A$4692,0))),"")</f>
        <v/>
      </c>
      <c r="J902">
        <f>IFERROR(_xlfn.IFNA(INDEX(Sensors_MANU!$D$2:$D$4692,MATCH($D902,Sensors_MANU!$B$2:$B$4692,0)),INDEX(Sensors_MANU!$D$2:$D$4692,MATCH($P902,Sensors_MANU!$A$2:$A$4692,0))),"")</f>
        <v/>
      </c>
      <c r="K902" s="27" t="inlineStr">
        <is>
          <t>83546985084-5</t>
        </is>
      </c>
      <c r="L902" s="27" t="inlineStr">
        <is>
          <t>3R</t>
        </is>
      </c>
      <c r="O902" s="6" t="inlineStr">
        <is>
          <t>V25</t>
        </is>
      </c>
    </row>
    <row r="903">
      <c r="B903" s="24">
        <f>IFERROR(INDEX(Companies!$A$3:$A$101,MATCH(A903,Companies!$B$3:$B$101,0)),"")</f>
        <v/>
      </c>
      <c r="C903">
        <f>IFERROR(_xlfn.IFNA(INDEX(Sensors_MANU!$F$2:$F$4692,MATCH($D903,Sensors_MANU!$B$2:$B$4692,0)),INDEX(Sensors_MANU!$F$2:$F$4692,MATCH($P903,Sensors_MANU!$A$2:$A$4692,0))),"")</f>
        <v/>
      </c>
      <c r="D903" s="25" t="inlineStr">
        <is>
          <t>C905C79087E7</t>
        </is>
      </c>
      <c r="E903" s="24">
        <f>LEFT(D903,2)&amp;":"&amp;MID(D903,3,2)&amp;":"&amp;MID(D903,5,2)&amp;":"&amp;MID(D903,7,2)&amp;":"&amp;MID(D903,9,2)&amp;":"&amp;RIGHT(D903,2)</f>
        <v/>
      </c>
      <c r="H903" t="inlineStr">
        <is>
          <t>2FE58C645D0B65B9</t>
        </is>
      </c>
      <c r="I903">
        <f>IFERROR(_xlfn.IFNA(INDEX(Sensors_MANU!$C$2:$C$4692,MATCH($D903,Sensors_MANU!$B$2:$B$4692,0)),INDEX(Sensors_MANU!$C$2:$C$4692,MATCH($P903,Sensors_MANU!$A$2:$A$4692,0))),"")</f>
        <v/>
      </c>
      <c r="J903">
        <f>IFERROR(_xlfn.IFNA(INDEX(Sensors_MANU!$D$2:$D$4692,MATCH($D903,Sensors_MANU!$B$2:$B$4692,0)),INDEX(Sensors_MANU!$D$2:$D$4692,MATCH($P903,Sensors_MANU!$A$2:$A$4692,0))),"")</f>
        <v/>
      </c>
      <c r="O903" s="6" t="inlineStr">
        <is>
          <t>V23</t>
        </is>
      </c>
    </row>
    <row r="904">
      <c r="A904" s="32">
        <f>IFERROR(_xlfn.IFNA(INDEX(Sensors_MANU!$E$2:$E$4692,MATCH($D904,Sensors_MANU!$B$2:$B$4692,0)),INDEX(Sensors_MANU!$E$2:$E$4692,MATCH($P904,Sensors_MANU!$A$2:$A$4692,0))),"")</f>
        <v/>
      </c>
      <c r="B904" s="24">
        <f>IFERROR(INDEX(Companies!$A$3:$A$101,MATCH(A904,Companies!$B$3:$B$101,0)),"")</f>
        <v/>
      </c>
      <c r="C904">
        <f>IFERROR(_xlfn.IFNA(INDEX(Sensors_MANU!$F$2:$F$4692,MATCH($D904,Sensors_MANU!$B$2:$B$4692,0)),INDEX(Sensors_MANU!$F$2:$F$4692,MATCH($P904,Sensors_MANU!$A$2:$A$4692,0))),"")</f>
        <v/>
      </c>
      <c r="D904" t="inlineStr">
        <is>
          <t>EB14F2291B9F</t>
        </is>
      </c>
      <c r="E904" s="24">
        <f>LEFT(D904,2)&amp;":"&amp;MID(D904,3,2)&amp;":"&amp;MID(D904,5,2)&amp;":"&amp;MID(D904,7,2)&amp;":"&amp;MID(D904,9,2)&amp;":"&amp;RIGHT(D904,2)</f>
        <v/>
      </c>
      <c r="F904" s="29" t="n">
        <v>44880</v>
      </c>
      <c r="G904" s="29" t="inlineStr">
        <is>
          <t>Viezo</t>
        </is>
      </c>
      <c r="H904" t="inlineStr">
        <is>
          <t>4642EE445EBEBBB2</t>
        </is>
      </c>
      <c r="I904">
        <f>IFERROR(_xlfn.IFNA(INDEX(Sensors_MANU!$C$2:$C$4692,MATCH($D904,Sensors_MANU!$B$2:$B$4692,0)),INDEX(Sensors_MANU!$C$2:$C$4692,MATCH($P904,Sensors_MANU!$A$2:$A$4692,0))),"")</f>
        <v/>
      </c>
      <c r="J904">
        <f>IFERROR(_xlfn.IFNA(INDEX(Sensors_MANU!$D$2:$D$4692,MATCH($D904,Sensors_MANU!$B$2:$B$4692,0)),INDEX(Sensors_MANU!$D$2:$D$4692,MATCH($P904,Sensors_MANU!$A$2:$A$4692,0))),"")</f>
        <v/>
      </c>
      <c r="K904" s="27" t="inlineStr">
        <is>
          <t>83546985084-5</t>
        </is>
      </c>
      <c r="L904" s="27" t="inlineStr">
        <is>
          <t>1R</t>
        </is>
      </c>
      <c r="O904" s="6" t="inlineStr">
        <is>
          <t>V25</t>
        </is>
      </c>
    </row>
    <row r="905">
      <c r="A905" s="32">
        <f>IFERROR(_xlfn.IFNA(INDEX(Sensors_MANU!$E$2:$E$4692,MATCH($D905,Sensors_MANU!$B$2:$B$4692,0)),INDEX(Sensors_MANU!$E$2:$E$4692,MATCH($P905,Sensors_MANU!$A$2:$A$4692,0))),"")</f>
        <v/>
      </c>
      <c r="B905" s="24">
        <f>IFERROR(INDEX(Companies!$A$3:$A$101,MATCH(A905,Companies!$B$3:$B$101,0)),"")</f>
        <v/>
      </c>
      <c r="C905">
        <f>IFERROR(_xlfn.IFNA(INDEX(Sensors_MANU!$F$2:$F$4692,MATCH($D905,Sensors_MANU!$B$2:$B$4692,0)),INDEX(Sensors_MANU!$F$2:$F$4692,MATCH($P905,Sensors_MANU!$A$2:$A$4692,0))),"")</f>
        <v/>
      </c>
      <c r="D905" s="25" t="inlineStr">
        <is>
          <t>F3E340B15551</t>
        </is>
      </c>
      <c r="E905" s="24">
        <f>LEFT(D905,2)&amp;":"&amp;MID(D905,3,2)&amp;":"&amp;MID(D905,5,2)&amp;":"&amp;MID(D905,7,2)&amp;":"&amp;MID(D905,9,2)&amp;":"&amp;RIGHT(D905,2)</f>
        <v/>
      </c>
      <c r="F905" s="29" t="n">
        <v>44754</v>
      </c>
      <c r="G905" s="29" t="inlineStr">
        <is>
          <t>Viezo</t>
        </is>
      </c>
      <c r="H905" t="inlineStr">
        <is>
          <t>C101B37CFC42676D</t>
        </is>
      </c>
      <c r="I905">
        <f>IFERROR(_xlfn.IFNA(INDEX(Sensors_MANU!$C$2:$C$4692,MATCH($D905,Sensors_MANU!$B$2:$B$4692,0)),INDEX(Sensors_MANU!$C$2:$C$4692,MATCH($P905,Sensors_MANU!$A$2:$A$4692,0))),"")</f>
        <v/>
      </c>
      <c r="J905">
        <f>IFERROR(_xlfn.IFNA(INDEX(Sensors_MANU!$D$2:$D$4692,MATCH($D905,Sensors_MANU!$B$2:$B$4692,0)),INDEX(Sensors_MANU!$D$2:$D$4692,MATCH($P905,Sensors_MANU!$A$2:$A$4692,0))),"")</f>
        <v/>
      </c>
      <c r="K905" s="27" t="inlineStr">
        <is>
          <t>31834557682-7</t>
        </is>
      </c>
      <c r="L905" s="27" t="inlineStr">
        <is>
          <t>2R</t>
        </is>
      </c>
      <c r="O905" s="6" t="inlineStr">
        <is>
          <t>V23</t>
        </is>
      </c>
    </row>
    <row r="906">
      <c r="B906" s="24">
        <f>IFERROR(INDEX(Companies!$A$3:$A$101,MATCH(A906,Companies!$B$3:$B$101,0)),"")</f>
        <v/>
      </c>
      <c r="C906">
        <f>IFERROR(_xlfn.IFNA(INDEX(Sensors_MANU!$F$2:$F$4692,MATCH($D906,Sensors_MANU!$B$2:$B$4692,0)),INDEX(Sensors_MANU!$F$2:$F$4692,MATCH($P906,Sensors_MANU!$A$2:$A$4692,0))),"")</f>
        <v/>
      </c>
      <c r="D906" s="25" t="inlineStr">
        <is>
          <t>E440183D11FC</t>
        </is>
      </c>
      <c r="E906" s="24">
        <f>LEFT(D906,2)&amp;":"&amp;MID(D906,3,2)&amp;":"&amp;MID(D906,5,2)&amp;":"&amp;MID(D906,7,2)&amp;":"&amp;MID(D906,9,2)&amp;":"&amp;RIGHT(D906,2)</f>
        <v/>
      </c>
      <c r="H906" t="inlineStr">
        <is>
          <t>FE2E1F64BF185AB1</t>
        </is>
      </c>
      <c r="I906">
        <f>IFERROR(_xlfn.IFNA(INDEX(Sensors_MANU!$C$2:$C$4692,MATCH($D906,Sensors_MANU!$B$2:$B$4692,0)),INDEX(Sensors_MANU!$C$2:$C$4692,MATCH($P906,Sensors_MANU!$A$2:$A$4692,0))),"")</f>
        <v/>
      </c>
      <c r="J906">
        <f>IFERROR(_xlfn.IFNA(INDEX(Sensors_MANU!$D$2:$D$4692,MATCH($D906,Sensors_MANU!$B$2:$B$4692,0)),INDEX(Sensors_MANU!$D$2:$D$4692,MATCH($P906,Sensors_MANU!$A$2:$A$4692,0))),"")</f>
        <v/>
      </c>
      <c r="O906" s="6" t="inlineStr">
        <is>
          <t>V23</t>
        </is>
      </c>
    </row>
    <row r="907">
      <c r="A907" s="32">
        <f>IFERROR(_xlfn.IFNA(INDEX(Sensors_MANU!$E$2:$E$4692,MATCH($D907,Sensors_MANU!$B$2:$B$4692,0)),INDEX(Sensors_MANU!$E$2:$E$4692,MATCH($P907,Sensors_MANU!$A$2:$A$4692,0))),"")</f>
        <v/>
      </c>
      <c r="B907" s="24">
        <f>IFERROR(INDEX(Companies!$A$3:$A$101,MATCH(A907,Companies!$B$3:$B$101,0)),"")</f>
        <v/>
      </c>
      <c r="C907">
        <f>IFERROR(_xlfn.IFNA(INDEX(Sensors_MANU!$F$2:$F$4692,MATCH($D907,Sensors_MANU!$B$2:$B$4692,0)),INDEX(Sensors_MANU!$F$2:$F$4692,MATCH($P907,Sensors_MANU!$A$2:$A$4692,0))),"")</f>
        <v/>
      </c>
      <c r="D907" s="25" t="inlineStr">
        <is>
          <t>FA819D28D759</t>
        </is>
      </c>
      <c r="E907" s="24">
        <f>LEFT(D907,2)&amp;":"&amp;MID(D907,3,2)&amp;":"&amp;MID(D907,5,2)&amp;":"&amp;MID(D907,7,2)&amp;":"&amp;MID(D907,9,2)&amp;":"&amp;RIGHT(D907,2)</f>
        <v/>
      </c>
      <c r="F907" s="29" t="n">
        <v>44754</v>
      </c>
      <c r="G907" s="29" t="inlineStr">
        <is>
          <t>Viezo</t>
        </is>
      </c>
      <c r="H907" t="inlineStr">
        <is>
          <t>8E174C19A0670F33</t>
        </is>
      </c>
      <c r="I907">
        <f>IFERROR(_xlfn.IFNA(INDEX(Sensors_MANU!$C$2:$C$4692,MATCH($D907,Sensors_MANU!$B$2:$B$4692,0)),INDEX(Sensors_MANU!$C$2:$C$4692,MATCH($P907,Sensors_MANU!$A$2:$A$4692,0))),"")</f>
        <v/>
      </c>
      <c r="J907">
        <f>IFERROR(_xlfn.IFNA(INDEX(Sensors_MANU!$D$2:$D$4692,MATCH($D907,Sensors_MANU!$B$2:$B$4692,0)),INDEX(Sensors_MANU!$D$2:$D$4692,MATCH($P907,Sensors_MANU!$A$2:$A$4692,0))),"")</f>
        <v/>
      </c>
      <c r="K907" s="27" t="inlineStr">
        <is>
          <t>31834789193-5</t>
        </is>
      </c>
      <c r="L907" s="27" t="inlineStr">
        <is>
          <t>4L</t>
        </is>
      </c>
      <c r="O907" s="6" t="inlineStr">
        <is>
          <t>V23</t>
        </is>
      </c>
    </row>
    <row r="908">
      <c r="A908" s="32">
        <f>IFERROR(_xlfn.IFNA(INDEX(Sensors_MANU!$E$2:$E$4692,MATCH($D908,Sensors_MANU!$B$2:$B$4692,0)),INDEX(Sensors_MANU!$E$2:$E$4692,MATCH($P908,Sensors_MANU!$A$2:$A$4692,0))),"")</f>
        <v/>
      </c>
      <c r="B908" s="24">
        <f>IFERROR(INDEX(Companies!$A$3:$A$101,MATCH(A908,Companies!$B$3:$B$101,0)),"")</f>
        <v/>
      </c>
      <c r="C908">
        <f>IFERROR(_xlfn.IFNA(INDEX(Sensors_MANU!$F$2:$F$4692,MATCH($D908,Sensors_MANU!$B$2:$B$4692,0)),INDEX(Sensors_MANU!$F$2:$F$4692,MATCH($P908,Sensors_MANU!$A$2:$A$4692,0))),"")</f>
        <v/>
      </c>
      <c r="D908" t="inlineStr">
        <is>
          <t>FC2D556BCA67</t>
        </is>
      </c>
      <c r="E908" s="24">
        <f>LEFT(D908,2)&amp;":"&amp;MID(D908,3,2)&amp;":"&amp;MID(D908,5,2)&amp;":"&amp;MID(D908,7,2)&amp;":"&amp;MID(D908,9,2)&amp;":"&amp;RIGHT(D908,2)</f>
        <v/>
      </c>
      <c r="F908" s="29" t="n">
        <v>44754</v>
      </c>
      <c r="G908" s="29" t="inlineStr">
        <is>
          <t>Viezo</t>
        </is>
      </c>
      <c r="H908" t="inlineStr">
        <is>
          <t>E8300CFAAC1266F4</t>
        </is>
      </c>
      <c r="I908">
        <f>IFERROR(_xlfn.IFNA(INDEX(Sensors_MANU!$C$2:$C$4692,MATCH($D908,Sensors_MANU!$B$2:$B$4692,0)),INDEX(Sensors_MANU!$C$2:$C$4692,MATCH($P908,Sensors_MANU!$A$2:$A$4692,0))),"")</f>
        <v/>
      </c>
      <c r="J908">
        <f>IFERROR(_xlfn.IFNA(INDEX(Sensors_MANU!$D$2:$D$4692,MATCH($D908,Sensors_MANU!$B$2:$B$4692,0)),INDEX(Sensors_MANU!$D$2:$D$4692,MATCH($P908,Sensors_MANU!$A$2:$A$4692,0))),"")</f>
        <v/>
      </c>
      <c r="K908" s="27" t="inlineStr">
        <is>
          <t>31834557682-7</t>
        </is>
      </c>
      <c r="L908" s="27" t="inlineStr">
        <is>
          <t>2L</t>
        </is>
      </c>
      <c r="O908" s="6" t="inlineStr">
        <is>
          <t>V24</t>
        </is>
      </c>
    </row>
    <row r="909">
      <c r="A909" s="32">
        <f>IFERROR(_xlfn.IFNA(INDEX(Sensors_MANU!$E$2:$E$4692,MATCH($D909,Sensors_MANU!$B$2:$B$4692,0)),INDEX(Sensors_MANU!$E$2:$E$4692,MATCH($P909,Sensors_MANU!$A$2:$A$4692,0))),"")</f>
        <v/>
      </c>
      <c r="B909" s="24">
        <f>IFERROR(INDEX(Companies!$A$3:$A$101,MATCH(A909,Companies!$B$3:$B$101,0)),"")</f>
        <v/>
      </c>
      <c r="C909">
        <f>IFERROR(_xlfn.IFNA(INDEX(Sensors_MANU!$F$2:$F$4692,MATCH($D909,Sensors_MANU!$B$2:$B$4692,0)),INDEX(Sensors_MANU!$F$2:$F$4692,MATCH($P909,Sensors_MANU!$A$2:$A$4692,0))),"")</f>
        <v/>
      </c>
      <c r="D909" s="25" t="inlineStr">
        <is>
          <t>C4912512D8C8</t>
        </is>
      </c>
      <c r="E909" s="24">
        <f>LEFT(D909,2)&amp;":"&amp;MID(D909,3,2)&amp;":"&amp;MID(D909,5,2)&amp;":"&amp;MID(D909,7,2)&amp;":"&amp;MID(D909,9,2)&amp;":"&amp;RIGHT(D909,2)</f>
        <v/>
      </c>
      <c r="F909" s="29" t="n">
        <v>44754</v>
      </c>
      <c r="G909" s="29" t="inlineStr">
        <is>
          <t>Viezo</t>
        </is>
      </c>
      <c r="H909" t="inlineStr">
        <is>
          <t>5A3CC8A0D4CA979F</t>
        </is>
      </c>
      <c r="I909">
        <f>IFERROR(_xlfn.IFNA(INDEX(Sensors_MANU!$C$2:$C$4692,MATCH($D909,Sensors_MANU!$B$2:$B$4692,0)),INDEX(Sensors_MANU!$C$2:$C$4692,MATCH($P909,Sensors_MANU!$A$2:$A$4692,0))),"")</f>
        <v/>
      </c>
      <c r="J909">
        <f>IFERROR(_xlfn.IFNA(INDEX(Sensors_MANU!$D$2:$D$4692,MATCH($D909,Sensors_MANU!$B$2:$B$4692,0)),INDEX(Sensors_MANU!$D$2:$D$4692,MATCH($P909,Sensors_MANU!$A$2:$A$4692,0))),"")</f>
        <v/>
      </c>
      <c r="K909" s="27" t="inlineStr">
        <is>
          <t>31834789278-4</t>
        </is>
      </c>
      <c r="L909" s="27" t="inlineStr">
        <is>
          <t>3R</t>
        </is>
      </c>
      <c r="O909" s="6" t="inlineStr">
        <is>
          <t>V23</t>
        </is>
      </c>
    </row>
    <row r="910">
      <c r="B910" s="24">
        <f>IFERROR(INDEX(Companies!$A$3:$A$101,MATCH(A910,Companies!$B$3:$B$101,0)),"")</f>
        <v/>
      </c>
      <c r="C910">
        <f>IFERROR(_xlfn.IFNA(INDEX(Sensors_MANU!$F$2:$F$4692,MATCH($D910,Sensors_MANU!$B$2:$B$4692,0)),INDEX(Sensors_MANU!$F$2:$F$4692,MATCH($P910,Sensors_MANU!$A$2:$A$4692,0))),"")</f>
        <v/>
      </c>
      <c r="D910" s="25" t="inlineStr">
        <is>
          <t>FEB92BE79CEE</t>
        </is>
      </c>
      <c r="E910" s="24">
        <f>LEFT(D910,2)&amp;":"&amp;MID(D910,3,2)&amp;":"&amp;MID(D910,5,2)&amp;":"&amp;MID(D910,7,2)&amp;":"&amp;MID(D910,9,2)&amp;":"&amp;RIGHT(D910,2)</f>
        <v/>
      </c>
      <c r="H910" t="inlineStr">
        <is>
          <t>6922A02EE9C2A313</t>
        </is>
      </c>
      <c r="I910">
        <f>IFERROR(_xlfn.IFNA(INDEX(Sensors_MANU!$C$2:$C$4692,MATCH($D910,Sensors_MANU!$B$2:$B$4692,0)),INDEX(Sensors_MANU!$C$2:$C$4692,MATCH($P910,Sensors_MANU!$A$2:$A$4692,0))),"")</f>
        <v/>
      </c>
      <c r="J910">
        <f>IFERROR(_xlfn.IFNA(INDEX(Sensors_MANU!$D$2:$D$4692,MATCH($D910,Sensors_MANU!$B$2:$B$4692,0)),INDEX(Sensors_MANU!$D$2:$D$4692,MATCH($P910,Sensors_MANU!$A$2:$A$4692,0))),"")</f>
        <v/>
      </c>
      <c r="O910" s="6" t="inlineStr">
        <is>
          <t>V23</t>
        </is>
      </c>
    </row>
    <row r="911">
      <c r="A911" s="32">
        <f>IFERROR(_xlfn.IFNA(INDEX(Sensors_MANU!$E$2:$E$4692,MATCH($D911,Sensors_MANU!$B$2:$B$4692,0)),INDEX(Sensors_MANU!$E$2:$E$4692,MATCH($P911,Sensors_MANU!$A$2:$A$4692,0))),"")</f>
        <v/>
      </c>
      <c r="B911" s="24">
        <f>IFERROR(INDEX(Companies!$A$3:$A$101,MATCH(A911,Companies!$B$3:$B$101,0)),"")</f>
        <v/>
      </c>
      <c r="C911">
        <f>IFERROR(_xlfn.IFNA(INDEX(Sensors_MANU!$F$2:$F$4692,MATCH($D911,Sensors_MANU!$B$2:$B$4692,0)),INDEX(Sensors_MANU!$F$2:$F$4692,MATCH($P911,Sensors_MANU!$A$2:$A$4692,0))),"")</f>
        <v/>
      </c>
      <c r="D911" s="25" t="inlineStr">
        <is>
          <t>DD7E990752B3</t>
        </is>
      </c>
      <c r="E911" s="24">
        <f>LEFT(D911,2)&amp;":"&amp;MID(D911,3,2)&amp;":"&amp;MID(D911,5,2)&amp;":"&amp;MID(D911,7,2)&amp;":"&amp;MID(D911,9,2)&amp;":"&amp;RIGHT(D911,2)</f>
        <v/>
      </c>
      <c r="F911" s="29" t="n">
        <v>44909</v>
      </c>
      <c r="G911" s="29" t="inlineStr">
        <is>
          <t>HVLE</t>
        </is>
      </c>
      <c r="H911" t="inlineStr">
        <is>
          <t>E87D921235AB1105</t>
        </is>
      </c>
      <c r="I911">
        <f>IFERROR(_xlfn.IFNA(INDEX(Sensors_MANU!$C$2:$C$4692,MATCH($D911,Sensors_MANU!$B$2:$B$4692,0)),INDEX(Sensors_MANU!$C$2:$C$4692,MATCH($P911,Sensors_MANU!$A$2:$A$4692,0))),"")</f>
        <v/>
      </c>
      <c r="J911">
        <f>IFERROR(_xlfn.IFNA(INDEX(Sensors_MANU!$D$2:$D$4692,MATCH($D911,Sensors_MANU!$B$2:$B$4692,0)),INDEX(Sensors_MANU!$D$2:$D$4692,MATCH($P911,Sensors_MANU!$A$2:$A$4692,0))),"")</f>
        <v/>
      </c>
      <c r="K911" s="27" t="inlineStr">
        <is>
          <t>83546985088-6</t>
        </is>
      </c>
      <c r="L911" s="27" t="inlineStr">
        <is>
          <t>4L</t>
        </is>
      </c>
      <c r="O911" s="6" t="inlineStr">
        <is>
          <t>V23</t>
        </is>
      </c>
    </row>
    <row r="912">
      <c r="B912" s="24">
        <f>IFERROR(INDEX(Companies!$A$3:$A$101,MATCH(A912,Companies!$B$3:$B$101,0)),"")</f>
        <v/>
      </c>
      <c r="C912">
        <f>IFERROR(_xlfn.IFNA(INDEX(Sensors_MANU!$F$2:$F$4692,MATCH($D912,Sensors_MANU!$B$2:$B$4692,0)),INDEX(Sensors_MANU!$F$2:$F$4692,MATCH($P912,Sensors_MANU!$A$2:$A$4692,0))),"")</f>
        <v/>
      </c>
      <c r="D912" t="inlineStr">
        <is>
          <t>D2B2CC8F1A9E</t>
        </is>
      </c>
      <c r="E912" s="24">
        <f>LEFT(D912,2)&amp;":"&amp;MID(D912,3,2)&amp;":"&amp;MID(D912,5,2)&amp;":"&amp;MID(D912,7,2)&amp;":"&amp;MID(D912,9,2)&amp;":"&amp;RIGHT(D912,2)</f>
        <v/>
      </c>
      <c r="H912" s="18" t="inlineStr">
        <is>
          <t>901E6208CF161FEF</t>
        </is>
      </c>
      <c r="I912">
        <f>IFERROR(_xlfn.IFNA(INDEX(Sensors_MANU!$C$2:$C$4692,MATCH($D912,Sensors_MANU!$B$2:$B$4692,0)),INDEX(Sensors_MANU!$C$2:$C$4692,MATCH($P912,Sensors_MANU!$A$2:$A$4692,0))),"")</f>
        <v/>
      </c>
      <c r="J912">
        <f>IFERROR(_xlfn.IFNA(INDEX(Sensors_MANU!$D$2:$D$4692,MATCH($D912,Sensors_MANU!$B$2:$B$4692,0)),INDEX(Sensors_MANU!$D$2:$D$4692,MATCH($P912,Sensors_MANU!$A$2:$A$4692,0))),"")</f>
        <v/>
      </c>
      <c r="O912" s="6" t="inlineStr">
        <is>
          <t>V24</t>
        </is>
      </c>
    </row>
    <row r="913">
      <c r="A913" s="32">
        <f>IFERROR(_xlfn.IFNA(INDEX(Sensors_MANU!$E$2:$E$4692,MATCH($D913,Sensors_MANU!$B$2:$B$4692,0)),INDEX(Sensors_MANU!$E$2:$E$4692,MATCH($P913,Sensors_MANU!$A$2:$A$4692,0))),"")</f>
        <v/>
      </c>
      <c r="B913" s="24">
        <f>IFERROR(INDEX(Companies!$A$3:$A$101,MATCH(A913,Companies!$B$3:$B$101,0)),"")</f>
        <v/>
      </c>
      <c r="C913">
        <f>IFERROR(_xlfn.IFNA(INDEX(Sensors_MANU!$F$2:$F$4692,MATCH($D913,Sensors_MANU!$B$2:$B$4692,0)),INDEX(Sensors_MANU!$F$2:$F$4692,MATCH($P913,Sensors_MANU!$A$2:$A$4692,0))),"")</f>
        <v/>
      </c>
      <c r="D913" s="25" t="inlineStr">
        <is>
          <t>DDC997B66F48</t>
        </is>
      </c>
      <c r="E913" s="24">
        <f>LEFT(D913,2)&amp;":"&amp;MID(D913,3,2)&amp;":"&amp;MID(D913,5,2)&amp;":"&amp;MID(D913,7,2)&amp;":"&amp;MID(D913,9,2)&amp;":"&amp;RIGHT(D913,2)</f>
        <v/>
      </c>
      <c r="F913" s="29" t="n">
        <v>44754</v>
      </c>
      <c r="G913" s="29" t="inlineStr">
        <is>
          <t>Viezo</t>
        </is>
      </c>
      <c r="H913" t="inlineStr">
        <is>
          <t>1D324270DB42F6FE</t>
        </is>
      </c>
      <c r="I913">
        <f>IFERROR(_xlfn.IFNA(INDEX(Sensors_MANU!$C$2:$C$4692,MATCH($D913,Sensors_MANU!$B$2:$B$4692,0)),INDEX(Sensors_MANU!$C$2:$C$4692,MATCH($P913,Sensors_MANU!$A$2:$A$4692,0))),"")</f>
        <v/>
      </c>
      <c r="J913">
        <f>IFERROR(_xlfn.IFNA(INDEX(Sensors_MANU!$D$2:$D$4692,MATCH($D913,Sensors_MANU!$B$2:$B$4692,0)),INDEX(Sensors_MANU!$D$2:$D$4692,MATCH($P913,Sensors_MANU!$A$2:$A$4692,0))),"")</f>
        <v/>
      </c>
      <c r="K913" s="27" t="inlineStr">
        <is>
          <t>31834789278-4</t>
        </is>
      </c>
      <c r="L913" s="27" t="inlineStr">
        <is>
          <t>3L</t>
        </is>
      </c>
      <c r="O913" s="6" t="inlineStr">
        <is>
          <t>V23</t>
        </is>
      </c>
    </row>
    <row r="914">
      <c r="A914" s="32">
        <f>IFERROR(_xlfn.IFNA(INDEX(Sensors_MANU!$E$2:$E$4692,MATCH($D914,Sensors_MANU!$B$2:$B$4692,0)),INDEX(Sensors_MANU!$E$2:$E$4692,MATCH($P914,Sensors_MANU!$A$2:$A$4692,0))),"")</f>
        <v/>
      </c>
      <c r="B914" s="24">
        <f>IFERROR(INDEX(Companies!$A$3:$A$101,MATCH(A914,Companies!$B$3:$B$101,0)),"")</f>
        <v/>
      </c>
      <c r="C914">
        <f>IFERROR(_xlfn.IFNA(INDEX(Sensors_MANU!$F$2:$F$4692,MATCH($D914,Sensors_MANU!$B$2:$B$4692,0)),INDEX(Sensors_MANU!$F$2:$F$4692,MATCH($P914,Sensors_MANU!$A$2:$A$4692,0))),"")</f>
        <v/>
      </c>
      <c r="D914" t="inlineStr">
        <is>
          <t>DEC219DE1EE2</t>
        </is>
      </c>
      <c r="E914" s="24">
        <f>LEFT(D914,2)&amp;":"&amp;MID(D914,3,2)&amp;":"&amp;MID(D914,5,2)&amp;":"&amp;MID(D914,7,2)&amp;":"&amp;MID(D914,9,2)&amp;":"&amp;RIGHT(D914,2)</f>
        <v/>
      </c>
      <c r="F914" s="29" t="n">
        <v>44880</v>
      </c>
      <c r="G914" s="29" t="inlineStr">
        <is>
          <t>Viezo</t>
        </is>
      </c>
      <c r="H914" t="inlineStr">
        <is>
          <t>25D9F9EEA2093CAF</t>
        </is>
      </c>
      <c r="I914">
        <f>IFERROR(_xlfn.IFNA(INDEX(Sensors_MANU!$C$2:$C$4692,MATCH($D914,Sensors_MANU!$B$2:$B$4692,0)),INDEX(Sensors_MANU!$C$2:$C$4692,MATCH($P914,Sensors_MANU!$A$2:$A$4692,0))),"")</f>
        <v/>
      </c>
      <c r="J914">
        <f>IFERROR(_xlfn.IFNA(INDEX(Sensors_MANU!$D$2:$D$4692,MATCH($D914,Sensors_MANU!$B$2:$B$4692,0)),INDEX(Sensors_MANU!$D$2:$D$4692,MATCH($P914,Sensors_MANU!$A$2:$A$4692,0))),"")</f>
        <v/>
      </c>
      <c r="K914" s="27" t="inlineStr">
        <is>
          <t>83546985030-8</t>
        </is>
      </c>
      <c r="L914" s="27" t="inlineStr">
        <is>
          <t>1R</t>
        </is>
      </c>
      <c r="O914" s="6" t="inlineStr">
        <is>
          <t>V25</t>
        </is>
      </c>
    </row>
    <row r="915">
      <c r="A915" s="32">
        <f>IFERROR(_xlfn.IFNA(INDEX(Sensors_MANU!$E$2:$E$4692,MATCH($D915,Sensors_MANU!$B$2:$B$4692,0)),INDEX(Sensors_MANU!$E$2:$E$4692,MATCH($P915,Sensors_MANU!$A$2:$A$4692,0))),"")</f>
        <v/>
      </c>
      <c r="B915" s="24">
        <f>IFERROR(INDEX(Companies!$A$3:$A$101,MATCH(A915,Companies!$B$3:$B$101,0)),"")</f>
        <v/>
      </c>
      <c r="C915">
        <f>IFERROR(_xlfn.IFNA(INDEX(Sensors_MANU!$F$2:$F$4692,MATCH($D915,Sensors_MANU!$B$2:$B$4692,0)),INDEX(Sensors_MANU!$F$2:$F$4692,MATCH($P915,Sensors_MANU!$A$2:$A$4692,0))),"")</f>
        <v/>
      </c>
      <c r="D915" t="inlineStr">
        <is>
          <t>ED26EF2201DD</t>
        </is>
      </c>
      <c r="E915" s="24">
        <f>LEFT(D915,2)&amp;":"&amp;MID(D915,3,2)&amp;":"&amp;MID(D915,5,2)&amp;":"&amp;MID(D915,7,2)&amp;":"&amp;MID(D915,9,2)&amp;":"&amp;RIGHT(D915,2)</f>
        <v/>
      </c>
      <c r="F915" s="29" t="n">
        <v>44880</v>
      </c>
      <c r="G915" s="29" t="inlineStr">
        <is>
          <t>Viezo</t>
        </is>
      </c>
      <c r="H915" t="inlineStr">
        <is>
          <t>7B5F0F074B1AE0EA</t>
        </is>
      </c>
      <c r="I915">
        <f>IFERROR(_xlfn.IFNA(INDEX(Sensors_MANU!$C$2:$C$4692,MATCH($D915,Sensors_MANU!$B$2:$B$4692,0)),INDEX(Sensors_MANU!$C$2:$C$4692,MATCH($P915,Sensors_MANU!$A$2:$A$4692,0))),"")</f>
        <v/>
      </c>
      <c r="J915">
        <f>IFERROR(_xlfn.IFNA(INDEX(Sensors_MANU!$D$2:$D$4692,MATCH($D915,Sensors_MANU!$B$2:$B$4692,0)),INDEX(Sensors_MANU!$D$2:$D$4692,MATCH($P915,Sensors_MANU!$A$2:$A$4692,0))),"")</f>
        <v/>
      </c>
      <c r="K915" s="27" t="inlineStr">
        <is>
          <t>83546985012-6</t>
        </is>
      </c>
      <c r="L915" s="27" t="inlineStr">
        <is>
          <t>3R</t>
        </is>
      </c>
      <c r="O915" s="6" t="inlineStr">
        <is>
          <t>V25</t>
        </is>
      </c>
    </row>
    <row r="916">
      <c r="A916" s="32">
        <f>IFERROR(_xlfn.IFNA(INDEX(Sensors_MANU!$E$2:$E$4692,MATCH($D916,Sensors_MANU!$B$2:$B$4692,0)),INDEX(Sensors_MANU!$E$2:$E$4692,MATCH($P916,Sensors_MANU!$A$2:$A$4692,0))),"")</f>
        <v/>
      </c>
      <c r="B916" s="24">
        <f>IFERROR(INDEX(Companies!$A$3:$A$101,MATCH(A916,Companies!$B$3:$B$101,0)),"")</f>
        <v/>
      </c>
      <c r="C916">
        <f>IFERROR(_xlfn.IFNA(INDEX(Sensors_MANU!$F$2:$F$4692,MATCH($D916,Sensors_MANU!$B$2:$B$4692,0)),INDEX(Sensors_MANU!$F$2:$F$4692,MATCH($P916,Sensors_MANU!$A$2:$A$4692,0))),"")</f>
        <v/>
      </c>
      <c r="D916" s="25" t="inlineStr">
        <is>
          <t>C5555DADF4CE</t>
        </is>
      </c>
      <c r="E916" s="24">
        <f>LEFT(D916,2)&amp;":"&amp;MID(D916,3,2)&amp;":"&amp;MID(D916,5,2)&amp;":"&amp;MID(D916,7,2)&amp;":"&amp;MID(D916,9,2)&amp;":"&amp;RIGHT(D916,2)</f>
        <v/>
      </c>
      <c r="F916" s="29" t="n">
        <v>44754</v>
      </c>
      <c r="G916" s="29" t="inlineStr">
        <is>
          <t>Viezo</t>
        </is>
      </c>
      <c r="H916" t="inlineStr">
        <is>
          <t>9C6ACB5BCF58EA09</t>
        </is>
      </c>
      <c r="I916">
        <f>IFERROR(_xlfn.IFNA(INDEX(Sensors_MANU!$C$2:$C$4692,MATCH($D916,Sensors_MANU!$B$2:$B$4692,0)),INDEX(Sensors_MANU!$C$2:$C$4692,MATCH($P916,Sensors_MANU!$A$2:$A$4692,0))),"")</f>
        <v/>
      </c>
      <c r="J916">
        <f>IFERROR(_xlfn.IFNA(INDEX(Sensors_MANU!$D$2:$D$4692,MATCH($D916,Sensors_MANU!$B$2:$B$4692,0)),INDEX(Sensors_MANU!$D$2:$D$4692,MATCH($P916,Sensors_MANU!$A$2:$A$4692,0))),"")</f>
        <v/>
      </c>
      <c r="K916" s="27" t="inlineStr">
        <is>
          <t>31833919095-7</t>
        </is>
      </c>
      <c r="L916" s="27" t="inlineStr">
        <is>
          <t>1L</t>
        </is>
      </c>
      <c r="O916" s="6" t="inlineStr">
        <is>
          <t>V23</t>
        </is>
      </c>
    </row>
    <row r="917">
      <c r="A917" s="32">
        <f>IFERROR(_xlfn.IFNA(INDEX(Sensors_MANU!$E$2:$E$4692,MATCH($D917,Sensors_MANU!$B$2:$B$4692,0)),INDEX(Sensors_MANU!$E$2:$E$4692,MATCH($P917,Sensors_MANU!$A$2:$A$4692,0))),"")</f>
        <v/>
      </c>
      <c r="B917" s="24">
        <f>IFERROR(INDEX(Companies!$A$3:$A$101,MATCH(A917,Companies!$B$3:$B$101,0)),"")</f>
        <v/>
      </c>
      <c r="C917">
        <f>IFERROR(_xlfn.IFNA(INDEX(Sensors_MANU!$F$2:$F$4692,MATCH($D917,Sensors_MANU!$B$2:$B$4692,0)),INDEX(Sensors_MANU!$F$2:$F$4692,MATCH($P917,Sensors_MANU!$A$2:$A$4692,0))),"")</f>
        <v/>
      </c>
      <c r="D917" s="25" t="inlineStr">
        <is>
          <t>CEB2553AC7A2</t>
        </is>
      </c>
      <c r="E917" s="24">
        <f>LEFT(D917,2)&amp;":"&amp;MID(D917,3,2)&amp;":"&amp;MID(D917,5,2)&amp;":"&amp;MID(D917,7,2)&amp;":"&amp;MID(D917,9,2)&amp;":"&amp;RIGHT(D917,2)</f>
        <v/>
      </c>
      <c r="F917" s="29" t="n">
        <v>44754</v>
      </c>
      <c r="G917" s="29" t="inlineStr">
        <is>
          <t>Viezo</t>
        </is>
      </c>
      <c r="H917" t="inlineStr">
        <is>
          <t>B154BD9BE30C2F6A</t>
        </is>
      </c>
      <c r="I917">
        <f>IFERROR(_xlfn.IFNA(INDEX(Sensors_MANU!$C$2:$C$4692,MATCH($D917,Sensors_MANU!$B$2:$B$4692,0)),INDEX(Sensors_MANU!$C$2:$C$4692,MATCH($P917,Sensors_MANU!$A$2:$A$4692,0))),"")</f>
        <v/>
      </c>
      <c r="J917">
        <f>IFERROR(_xlfn.IFNA(INDEX(Sensors_MANU!$D$2:$D$4692,MATCH($D917,Sensors_MANU!$B$2:$B$4692,0)),INDEX(Sensors_MANU!$D$2:$D$4692,MATCH($P917,Sensors_MANU!$A$2:$A$4692,0))),"")</f>
        <v/>
      </c>
      <c r="K917" s="27" t="inlineStr">
        <is>
          <t>31832852846-4</t>
        </is>
      </c>
      <c r="L917" s="27" t="inlineStr">
        <is>
          <t>4L</t>
        </is>
      </c>
      <c r="O917" s="6" t="inlineStr">
        <is>
          <t>V23</t>
        </is>
      </c>
    </row>
    <row r="918">
      <c r="B918" s="24">
        <f>IFERROR(INDEX(Companies!$A$3:$A$101,MATCH(A918,Companies!$B$3:$B$101,0)),"")</f>
        <v/>
      </c>
      <c r="C918">
        <f>IFERROR(_xlfn.IFNA(INDEX(Sensors_MANU!$F$2:$F$4692,MATCH($D918,Sensors_MANU!$B$2:$B$4692,0)),INDEX(Sensors_MANU!$F$2:$F$4692,MATCH($P918,Sensors_MANU!$A$2:$A$4692,0))),"")</f>
        <v/>
      </c>
      <c r="D918" s="25" t="inlineStr">
        <is>
          <t>D6BD589A8C16</t>
        </is>
      </c>
      <c r="E918" s="24">
        <f>LEFT(D918,2)&amp;":"&amp;MID(D918,3,2)&amp;":"&amp;MID(D918,5,2)&amp;":"&amp;MID(D918,7,2)&amp;":"&amp;MID(D918,9,2)&amp;":"&amp;RIGHT(D918,2)</f>
        <v/>
      </c>
      <c r="H918" t="inlineStr">
        <is>
          <t>CB2249182278621B</t>
        </is>
      </c>
      <c r="I918">
        <f>IFERROR(_xlfn.IFNA(INDEX(Sensors_MANU!$C$2:$C$4692,MATCH($D918,Sensors_MANU!$B$2:$B$4692,0)),INDEX(Sensors_MANU!$C$2:$C$4692,MATCH($P918,Sensors_MANU!$A$2:$A$4692,0))),"")</f>
        <v/>
      </c>
      <c r="J918">
        <f>IFERROR(_xlfn.IFNA(INDEX(Sensors_MANU!$D$2:$D$4692,MATCH($D918,Sensors_MANU!$B$2:$B$4692,0)),INDEX(Sensors_MANU!$D$2:$D$4692,MATCH($P918,Sensors_MANU!$A$2:$A$4692,0))),"")</f>
        <v/>
      </c>
      <c r="O918" s="6" t="inlineStr">
        <is>
          <t>V23</t>
        </is>
      </c>
    </row>
    <row r="919">
      <c r="B919" s="24">
        <f>IFERROR(INDEX(Companies!$A$3:$A$101,MATCH(A919,Companies!$B$3:$B$101,0)),"")</f>
        <v/>
      </c>
      <c r="C919">
        <f>IFERROR(_xlfn.IFNA(INDEX(Sensors_MANU!$F$2:$F$4692,MATCH($D919,Sensors_MANU!$B$2:$B$4692,0)),INDEX(Sensors_MANU!$F$2:$F$4692,MATCH($P919,Sensors_MANU!$A$2:$A$4692,0))),"")</f>
        <v/>
      </c>
      <c r="D919" s="25" t="inlineStr">
        <is>
          <t>C29CA9ABB5F6</t>
        </is>
      </c>
      <c r="E919" s="24">
        <f>LEFT(D919,2)&amp;":"&amp;MID(D919,3,2)&amp;":"&amp;MID(D919,5,2)&amp;":"&amp;MID(D919,7,2)&amp;":"&amp;MID(D919,9,2)&amp;":"&amp;RIGHT(D919,2)</f>
        <v/>
      </c>
      <c r="H919" t="inlineStr">
        <is>
          <t>4CA838C7102ED769</t>
        </is>
      </c>
      <c r="I919">
        <f>IFERROR(_xlfn.IFNA(INDEX(Sensors_MANU!$C$2:$C$4692,MATCH($D919,Sensors_MANU!$B$2:$B$4692,0)),INDEX(Sensors_MANU!$C$2:$C$4692,MATCH($P919,Sensors_MANU!$A$2:$A$4692,0))),"")</f>
        <v/>
      </c>
      <c r="J919">
        <f>IFERROR(_xlfn.IFNA(INDEX(Sensors_MANU!$D$2:$D$4692,MATCH($D919,Sensors_MANU!$B$2:$B$4692,0)),INDEX(Sensors_MANU!$D$2:$D$4692,MATCH($P919,Sensors_MANU!$A$2:$A$4692,0))),"")</f>
        <v/>
      </c>
      <c r="O919" s="6" t="inlineStr">
        <is>
          <t>V23</t>
        </is>
      </c>
    </row>
    <row r="920">
      <c r="A920" s="32">
        <f>IFERROR(_xlfn.IFNA(INDEX(Sensors_MANU!$E$2:$E$4692,MATCH($D920,Sensors_MANU!$B$2:$B$4692,0)),INDEX(Sensors_MANU!$E$2:$E$4692,MATCH($P920,Sensors_MANU!$A$2:$A$4692,0))),"")</f>
        <v/>
      </c>
      <c r="B920" s="24">
        <f>IFERROR(INDEX(Companies!$A$3:$A$101,MATCH(A920,Companies!$B$3:$B$101,0)),"")</f>
        <v/>
      </c>
      <c r="C920">
        <f>IFERROR(_xlfn.IFNA(INDEX(Sensors_MANU!$F$2:$F$4692,MATCH($D920,Sensors_MANU!$B$2:$B$4692,0)),INDEX(Sensors_MANU!$F$2:$F$4692,MATCH($P920,Sensors_MANU!$A$2:$A$4692,0))),"")</f>
        <v/>
      </c>
      <c r="D920" s="25" t="inlineStr">
        <is>
          <t>EE5BC5B431C8</t>
        </is>
      </c>
      <c r="E920" s="24">
        <f>LEFT(D920,2)&amp;":"&amp;MID(D920,3,2)&amp;":"&amp;MID(D920,5,2)&amp;":"&amp;MID(D920,7,2)&amp;":"&amp;MID(D920,9,2)&amp;":"&amp;RIGHT(D920,2)</f>
        <v/>
      </c>
      <c r="F920" s="29" t="n">
        <v>44880</v>
      </c>
      <c r="G920" s="29" t="inlineStr">
        <is>
          <t>Viezo</t>
        </is>
      </c>
      <c r="H920" t="inlineStr">
        <is>
          <t>1FF3913802375EAA</t>
        </is>
      </c>
      <c r="I920">
        <f>IFERROR(_xlfn.IFNA(INDEX(Sensors_MANU!$C$2:$C$4692,MATCH($D920,Sensors_MANU!$B$2:$B$4692,0)),INDEX(Sensors_MANU!$C$2:$C$4692,MATCH($P920,Sensors_MANU!$A$2:$A$4692,0))),"")</f>
        <v/>
      </c>
      <c r="J920">
        <f>IFERROR(_xlfn.IFNA(INDEX(Sensors_MANU!$D$2:$D$4692,MATCH($D920,Sensors_MANU!$B$2:$B$4692,0)),INDEX(Sensors_MANU!$D$2:$D$4692,MATCH($P920,Sensors_MANU!$A$2:$A$4692,0))),"")</f>
        <v/>
      </c>
      <c r="K920" s="27" t="inlineStr">
        <is>
          <t>83546985095-1</t>
        </is>
      </c>
      <c r="L920" s="27" t="inlineStr">
        <is>
          <t>2R</t>
        </is>
      </c>
      <c r="O920" s="6" t="inlineStr">
        <is>
          <t>V23</t>
        </is>
      </c>
    </row>
    <row r="921">
      <c r="B921" s="24">
        <f>IFERROR(INDEX(Companies!$A$3:$A$101,MATCH(A921,Companies!$B$3:$B$101,0)),"")</f>
        <v/>
      </c>
      <c r="C921">
        <f>IFERROR(_xlfn.IFNA(INDEX(Sensors_MANU!$F$2:$F$4692,MATCH($D921,Sensors_MANU!$B$2:$B$4692,0)),INDEX(Sensors_MANU!$F$2:$F$4692,MATCH($P921,Sensors_MANU!$A$2:$A$4692,0))),"")</f>
        <v/>
      </c>
      <c r="D921" t="inlineStr">
        <is>
          <t>EF3004157BFA</t>
        </is>
      </c>
      <c r="E921">
        <f>LEFT(D921,2)&amp;":"&amp;MID(D921,3,2)&amp;":"&amp;MID(D921,5,2)&amp;":"&amp;MID(D921,7,2)&amp;":"&amp;MID(D921,9,2)&amp;":"&amp;RIGHT(D921,2)</f>
        <v/>
      </c>
      <c r="H921" t="inlineStr">
        <is>
          <t>690FD535550A3F2A</t>
        </is>
      </c>
      <c r="J921" s="65" t="inlineStr">
        <is>
          <t>PR2206-366</t>
        </is>
      </c>
      <c r="M921" s="27" t="n"/>
      <c r="N921" s="99">
        <f>IFERROR(INDEX(Sensors_MANU!$G$2:$G$4692,MATCH($P921,Sensors_MANU!$A$2:$A$4692,0)),)</f>
        <v/>
      </c>
      <c r="O921" s="6" t="inlineStr">
        <is>
          <t>v16</t>
        </is>
      </c>
      <c r="P921" t="n">
        <v>4978421</v>
      </c>
    </row>
    <row r="922">
      <c r="A922" s="32">
        <f>IFERROR(_xlfn.IFNA(INDEX(Sensors_MANU!$E$2:$E$4692,MATCH($D922,Sensors_MANU!$B$2:$B$4692,0)),INDEX(Sensors_MANU!$E$2:$E$4692,MATCH($P922,Sensors_MANU!$A$2:$A$4692,0))),"")</f>
        <v/>
      </c>
      <c r="B922" s="24">
        <f>IFERROR(INDEX(Companies!$A$3:$A$101,MATCH(A922,Companies!$B$3:$B$101,0)),"")</f>
        <v/>
      </c>
      <c r="C922">
        <f>IFERROR(_xlfn.IFNA(INDEX(Sensors_MANU!$F$2:$F$4692,MATCH($D922,Sensors_MANU!$B$2:$B$4692,0)),INDEX(Sensors_MANU!$F$2:$F$4692,MATCH($P922,Sensors_MANU!$A$2:$A$4692,0))),"")</f>
        <v/>
      </c>
      <c r="D922" s="25" t="inlineStr">
        <is>
          <t>E0304FCCE79F</t>
        </is>
      </c>
      <c r="E922" s="24">
        <f>LEFT(D922,2)&amp;":"&amp;MID(D922,3,2)&amp;":"&amp;MID(D922,5,2)&amp;":"&amp;MID(D922,7,2)&amp;":"&amp;MID(D922,9,2)&amp;":"&amp;RIGHT(D922,2)</f>
        <v/>
      </c>
      <c r="F922" s="29" t="n">
        <v>44754</v>
      </c>
      <c r="G922" s="29" t="inlineStr">
        <is>
          <t>Viezo</t>
        </is>
      </c>
      <c r="H922" t="inlineStr">
        <is>
          <t>D4BF02715DE49104</t>
        </is>
      </c>
      <c r="I922">
        <f>IFERROR(_xlfn.IFNA(INDEX(Sensors_MANU!$C$2:$C$4692,MATCH($D922,Sensors_MANU!$B$2:$B$4692,0)),INDEX(Sensors_MANU!$C$2:$C$4692,MATCH($P922,Sensors_MANU!$A$2:$A$4692,0))),"")</f>
        <v/>
      </c>
      <c r="J922">
        <f>IFERROR(_xlfn.IFNA(INDEX(Sensors_MANU!$D$2:$D$4692,MATCH($D922,Sensors_MANU!$B$2:$B$4692,0)),INDEX(Sensors_MANU!$D$2:$D$4692,MATCH($P922,Sensors_MANU!$A$2:$A$4692,0))),"")</f>
        <v/>
      </c>
      <c r="K922" s="27" t="inlineStr">
        <is>
          <t>31833919467-8</t>
        </is>
      </c>
      <c r="L922" s="27" t="inlineStr">
        <is>
          <t>4L</t>
        </is>
      </c>
      <c r="O922" s="6" t="inlineStr">
        <is>
          <t>V23</t>
        </is>
      </c>
    </row>
    <row r="923">
      <c r="B923" s="24">
        <f>IFERROR(INDEX(Companies!$A$3:$A$101,MATCH(A923,Companies!$B$3:$B$101,0)),"")</f>
        <v/>
      </c>
      <c r="C923">
        <f>IFERROR(_xlfn.IFNA(INDEX(Sensors_MANU!$F$2:$F$4692,MATCH($D923,Sensors_MANU!$B$2:$B$4692,0)),INDEX(Sensors_MANU!$F$2:$F$4692,MATCH($P923,Sensors_MANU!$A$2:$A$4692,0))),"")</f>
        <v/>
      </c>
      <c r="D923" s="25" t="inlineStr">
        <is>
          <t>EE3BEC59EB69</t>
        </is>
      </c>
      <c r="E923" s="24">
        <f>LEFT(D923,2)&amp;":"&amp;MID(D923,3,2)&amp;":"&amp;MID(D923,5,2)&amp;":"&amp;MID(D923,7,2)&amp;":"&amp;MID(D923,9,2)&amp;":"&amp;RIGHT(D923,2)</f>
        <v/>
      </c>
      <c r="H923" t="inlineStr">
        <is>
          <t>90ADCE50C8E72381</t>
        </is>
      </c>
      <c r="I923">
        <f>IFERROR(_xlfn.IFNA(INDEX(Sensors_MANU!$C$2:$C$4692,MATCH($D923,Sensors_MANU!$B$2:$B$4692,0)),INDEX(Sensors_MANU!$C$2:$C$4692,MATCH($P923,Sensors_MANU!$A$2:$A$4692,0))),"")</f>
        <v/>
      </c>
      <c r="J923">
        <f>IFERROR(_xlfn.IFNA(INDEX(Sensors_MANU!$D$2:$D$4692,MATCH($D923,Sensors_MANU!$B$2:$B$4692,0)),INDEX(Sensors_MANU!$D$2:$D$4692,MATCH($P923,Sensors_MANU!$A$2:$A$4692,0))),"")</f>
        <v/>
      </c>
      <c r="O923" s="6" t="inlineStr">
        <is>
          <t>V23</t>
        </is>
      </c>
    </row>
    <row r="924">
      <c r="A924" s="32">
        <f>IFERROR(_xlfn.IFNA(INDEX(Sensors_MANU!$E$2:$E$4692,MATCH($D924,Sensors_MANU!$B$2:$B$4692,0)),INDEX(Sensors_MANU!$E$2:$E$4692,MATCH($P924,Sensors_MANU!$A$2:$A$4692,0))),"")</f>
        <v/>
      </c>
      <c r="B924" s="24">
        <f>IFERROR(INDEX(Companies!$A$3:$A$101,MATCH(A924,Companies!$B$3:$B$101,0)),"")</f>
        <v/>
      </c>
      <c r="C924">
        <f>IFERROR(_xlfn.IFNA(INDEX(Sensors_MANU!$F$2:$F$4692,MATCH($D924,Sensors_MANU!$B$2:$B$4692,0)),INDEX(Sensors_MANU!$F$2:$F$4692,MATCH($P924,Sensors_MANU!$A$2:$A$4692,0))),"")</f>
        <v/>
      </c>
      <c r="D924" s="25" t="inlineStr">
        <is>
          <t>C53CA03E13AD</t>
        </is>
      </c>
      <c r="E924" s="24">
        <f>LEFT(D924,2)&amp;":"&amp;MID(D924,3,2)&amp;":"&amp;MID(D924,5,2)&amp;":"&amp;MID(D924,7,2)&amp;":"&amp;MID(D924,9,2)&amp;":"&amp;RIGHT(D924,2)</f>
        <v/>
      </c>
      <c r="F924" s="29" t="n">
        <v>44754</v>
      </c>
      <c r="G924" s="29" t="inlineStr">
        <is>
          <t>Viezo</t>
        </is>
      </c>
      <c r="H924" t="inlineStr">
        <is>
          <t>1C759F8E58C7CBB2</t>
        </is>
      </c>
      <c r="I924">
        <f>IFERROR(_xlfn.IFNA(INDEX(Sensors_MANU!$C$2:$C$4692,MATCH($D924,Sensors_MANU!$B$2:$B$4692,0)),INDEX(Sensors_MANU!$C$2:$C$4692,MATCH($P924,Sensors_MANU!$A$2:$A$4692,0))),"")</f>
        <v/>
      </c>
      <c r="J924">
        <f>IFERROR(_xlfn.IFNA(INDEX(Sensors_MANU!$D$2:$D$4692,MATCH($D924,Sensors_MANU!$B$2:$B$4692,0)),INDEX(Sensors_MANU!$D$2:$D$4692,MATCH($P924,Sensors_MANU!$A$2:$A$4692,0))),"")</f>
        <v/>
      </c>
      <c r="K924" s="27" t="inlineStr">
        <is>
          <t>31834557682-7</t>
        </is>
      </c>
      <c r="L924" s="27" t="inlineStr">
        <is>
          <t>1L</t>
        </is>
      </c>
      <c r="O924" s="6" t="inlineStr">
        <is>
          <t>V23</t>
        </is>
      </c>
    </row>
    <row r="925">
      <c r="A925" s="32">
        <f>IFERROR(_xlfn.IFNA(INDEX(Sensors_MANU!$E$2:$E$4692,MATCH($D925,Sensors_MANU!$B$2:$B$4692,0)),INDEX(Sensors_MANU!$E$2:$E$4692,MATCH($P925,Sensors_MANU!$A$2:$A$4692,0))),"")</f>
        <v/>
      </c>
      <c r="B925" s="24">
        <f>IFERROR(INDEX(Companies!$A$3:$A$101,MATCH(A925,Companies!$B$3:$B$101,0)),"")</f>
        <v/>
      </c>
      <c r="C925">
        <f>IFERROR(_xlfn.IFNA(INDEX(Sensors_MANU!$F$2:$F$4692,MATCH($D925,Sensors_MANU!$B$2:$B$4692,0)),INDEX(Sensors_MANU!$F$2:$F$4692,MATCH($P925,Sensors_MANU!$A$2:$A$4692,0))),"")</f>
        <v/>
      </c>
      <c r="D925" s="25" t="inlineStr">
        <is>
          <t>D04CE5D3FC18</t>
        </is>
      </c>
      <c r="E925" s="24">
        <f>LEFT(D925,2)&amp;":"&amp;MID(D925,3,2)&amp;":"&amp;MID(D925,5,2)&amp;":"&amp;MID(D925,7,2)&amp;":"&amp;MID(D925,9,2)&amp;":"&amp;RIGHT(D925,2)</f>
        <v/>
      </c>
      <c r="F925" s="29" t="n">
        <v>44754</v>
      </c>
      <c r="G925" s="29" t="inlineStr">
        <is>
          <t>Viezo</t>
        </is>
      </c>
      <c r="H925" t="inlineStr">
        <is>
          <t>E7220C618E7853B7</t>
        </is>
      </c>
      <c r="I925">
        <f>IFERROR(_xlfn.IFNA(INDEX(Sensors_MANU!$C$2:$C$4692,MATCH($D925,Sensors_MANU!$B$2:$B$4692,0)),INDEX(Sensors_MANU!$C$2:$C$4692,MATCH($P925,Sensors_MANU!$A$2:$A$4692,0))),"")</f>
        <v/>
      </c>
      <c r="J925">
        <f>IFERROR(_xlfn.IFNA(INDEX(Sensors_MANU!$D$2:$D$4692,MATCH($D925,Sensors_MANU!$B$2:$B$4692,0)),INDEX(Sensors_MANU!$D$2:$D$4692,MATCH($P925,Sensors_MANU!$A$2:$A$4692,0))),"")</f>
        <v/>
      </c>
      <c r="K925" s="27" t="inlineStr">
        <is>
          <t>31834557682-7</t>
        </is>
      </c>
      <c r="L925" s="27" t="inlineStr">
        <is>
          <t>3L</t>
        </is>
      </c>
      <c r="O925" s="6" t="inlineStr">
        <is>
          <t>V23</t>
        </is>
      </c>
    </row>
    <row r="926">
      <c r="A926" s="32">
        <f>IFERROR(_xlfn.IFNA(INDEX(Sensors_MANU!$E$2:$E$4692,MATCH($D926,Sensors_MANU!$B$2:$B$4692,0)),INDEX(Sensors_MANU!$E$2:$E$4692,MATCH($P926,Sensors_MANU!$A$2:$A$4692,0))),"")</f>
        <v/>
      </c>
      <c r="B926" s="24">
        <f>IFERROR(INDEX(Companies!$A$3:$A$101,MATCH(A926,Companies!$B$3:$B$101,0)),"")</f>
        <v/>
      </c>
      <c r="C926">
        <f>IFERROR(_xlfn.IFNA(INDEX(Sensors_MANU!$F$2:$F$4692,MATCH($D926,Sensors_MANU!$B$2:$B$4692,0)),INDEX(Sensors_MANU!$F$2:$F$4692,MATCH($P926,Sensors_MANU!$A$2:$A$4692,0))),"")</f>
        <v/>
      </c>
      <c r="D926" s="25" t="inlineStr">
        <is>
          <t>D289DBFC198A</t>
        </is>
      </c>
      <c r="E926" s="24">
        <f>LEFT(D926,2)&amp;":"&amp;MID(D926,3,2)&amp;":"&amp;MID(D926,5,2)&amp;":"&amp;MID(D926,7,2)&amp;":"&amp;MID(D926,9,2)&amp;":"&amp;RIGHT(D926,2)</f>
        <v/>
      </c>
      <c r="F926" s="29" t="n">
        <v>44909</v>
      </c>
      <c r="G926" s="29" t="inlineStr">
        <is>
          <t>HVLE</t>
        </is>
      </c>
      <c r="H926" t="inlineStr">
        <is>
          <t>48B479CC7FFBC692</t>
        </is>
      </c>
      <c r="I926">
        <f>IFERROR(_xlfn.IFNA(INDEX(Sensors_MANU!$C$2:$C$4692,MATCH($D926,Sensors_MANU!$B$2:$B$4692,0)),INDEX(Sensors_MANU!$C$2:$C$4692,MATCH($P926,Sensors_MANU!$A$2:$A$4692,0))),"")</f>
        <v/>
      </c>
      <c r="J926">
        <f>IFERROR(_xlfn.IFNA(INDEX(Sensors_MANU!$D$2:$D$4692,MATCH($D926,Sensors_MANU!$B$2:$B$4692,0)),INDEX(Sensors_MANU!$D$2:$D$4692,MATCH($P926,Sensors_MANU!$A$2:$A$4692,0))),"")</f>
        <v/>
      </c>
      <c r="K926" s="27" t="inlineStr">
        <is>
          <t>83546985088-6</t>
        </is>
      </c>
      <c r="L926" s="27" t="inlineStr">
        <is>
          <t>1L</t>
        </is>
      </c>
      <c r="O926" s="6" t="inlineStr">
        <is>
          <t>V23</t>
        </is>
      </c>
    </row>
    <row r="927">
      <c r="A927" s="32">
        <f>IFERROR(_xlfn.IFNA(INDEX(Sensors_MANU!$E$2:$E$4692,MATCH($D927,Sensors_MANU!$B$2:$B$4692,0)),INDEX(Sensors_MANU!$E$2:$E$4692,MATCH($P927,Sensors_MANU!$A$2:$A$4692,0))),"")</f>
        <v/>
      </c>
      <c r="B927" s="24">
        <f>IFERROR(INDEX(Companies!$A$3:$A$101,MATCH(A927,Companies!$B$3:$B$101,0)),"")</f>
        <v/>
      </c>
      <c r="C927">
        <f>IFERROR(_xlfn.IFNA(INDEX(Sensors_MANU!$F$2:$F$4692,MATCH($D927,Sensors_MANU!$B$2:$B$4692,0)),INDEX(Sensors_MANU!$F$2:$F$4692,MATCH($P927,Sensors_MANU!$A$2:$A$4692,0))),"")</f>
        <v/>
      </c>
      <c r="D927" t="inlineStr">
        <is>
          <t>F0B63E824B7D</t>
        </is>
      </c>
      <c r="E927" s="24">
        <f>LEFT(D927,2)&amp;":"&amp;MID(D927,3,2)&amp;":"&amp;MID(D927,5,2)&amp;":"&amp;MID(D927,7,2)&amp;":"&amp;MID(D927,9,2)&amp;":"&amp;RIGHT(D927,2)</f>
        <v/>
      </c>
      <c r="F927" s="29" t="n">
        <v>44880</v>
      </c>
      <c r="G927" s="29" t="inlineStr">
        <is>
          <t>Viezo</t>
        </is>
      </c>
      <c r="H927" t="inlineStr">
        <is>
          <t>F61E857C0D130B6C</t>
        </is>
      </c>
      <c r="I927">
        <f>IFERROR(_xlfn.IFNA(INDEX(Sensors_MANU!$C$2:$C$4692,MATCH($D927,Sensors_MANU!$B$2:$B$4692,0)),INDEX(Sensors_MANU!$C$2:$C$4692,MATCH($P927,Sensors_MANU!$A$2:$A$4692,0))),"")</f>
        <v/>
      </c>
      <c r="J927">
        <f>IFERROR(_xlfn.IFNA(INDEX(Sensors_MANU!$D$2:$D$4692,MATCH($D927,Sensors_MANU!$B$2:$B$4692,0)),INDEX(Sensors_MANU!$D$2:$D$4692,MATCH($P927,Sensors_MANU!$A$2:$A$4692,0))),"")</f>
        <v/>
      </c>
      <c r="K927" s="27" t="inlineStr">
        <is>
          <t>83546985079-5</t>
        </is>
      </c>
      <c r="L927" s="27" t="inlineStr">
        <is>
          <t>1L</t>
        </is>
      </c>
      <c r="O927" s="6" t="inlineStr">
        <is>
          <t>V25</t>
        </is>
      </c>
    </row>
    <row r="928">
      <c r="A928" s="32">
        <f>IFERROR(_xlfn.IFNA(INDEX(Sensors_MANU!$E$2:$E$4692,MATCH($D928,Sensors_MANU!$B$2:$B$4692,0)),INDEX(Sensors_MANU!$E$2:$E$4692,MATCH($P928,Sensors_MANU!$A$2:$A$4692,0))),"")</f>
        <v/>
      </c>
      <c r="B928" s="24">
        <f>IFERROR(INDEX(Companies!$A$3:$A$101,MATCH(A928,Companies!$B$3:$B$101,0)),"")</f>
        <v/>
      </c>
      <c r="C928">
        <f>IFERROR(_xlfn.IFNA(INDEX(Sensors_MANU!$F$2:$F$4692,MATCH($D928,Sensors_MANU!$B$2:$B$4692,0)),INDEX(Sensors_MANU!$F$2:$F$4692,MATCH($P928,Sensors_MANU!$A$2:$A$4692,0))),"")</f>
        <v/>
      </c>
      <c r="D928" t="inlineStr">
        <is>
          <t>E6A387ABC876</t>
        </is>
      </c>
      <c r="E928" s="24">
        <f>LEFT(D928,2)&amp;":"&amp;MID(D928,3,2)&amp;":"&amp;MID(D928,5,2)&amp;":"&amp;MID(D928,7,2)&amp;":"&amp;MID(D928,9,2)&amp;":"&amp;RIGHT(D928,2)</f>
        <v/>
      </c>
      <c r="F928" s="29" t="n">
        <v>44832</v>
      </c>
      <c r="G928" s="29" t="inlineStr">
        <is>
          <t>Hupac</t>
        </is>
      </c>
      <c r="H928" t="inlineStr">
        <is>
          <t>4F29E6DA70129452</t>
        </is>
      </c>
      <c r="I928">
        <f>IFERROR(_xlfn.IFNA(INDEX(Sensors_MANU!$C$2:$C$4692,MATCH($D928,Sensors_MANU!$B$2:$B$4692,0)),INDEX(Sensors_MANU!$C$2:$C$4692,MATCH($P928,Sensors_MANU!$A$2:$A$4692,0))),"")</f>
        <v/>
      </c>
      <c r="J928">
        <f>IFERROR(_xlfn.IFNA(INDEX(Sensors_MANU!$D$2:$D$4692,MATCH($D928,Sensors_MANU!$B$2:$B$4692,0)),INDEX(Sensors_MANU!$D$2:$D$4692,MATCH($P928,Sensors_MANU!$A$2:$A$4692,0))),"")</f>
        <v/>
      </c>
      <c r="K928" s="27" t="inlineStr">
        <is>
          <t>33-85-4956-687-9</t>
        </is>
      </c>
      <c r="L928" s="27" t="inlineStr">
        <is>
          <t>3a</t>
        </is>
      </c>
      <c r="M928" s="61" t="inlineStr">
        <is>
          <t>88200742</t>
        </is>
      </c>
      <c r="O928" s="6" t="inlineStr">
        <is>
          <t>V24</t>
        </is>
      </c>
    </row>
    <row r="929">
      <c r="A929" s="32" t="inlineStr">
        <is>
          <t>RSA</t>
        </is>
      </c>
      <c r="B929" s="24">
        <f>IFERROR(INDEX(Companies!$A$3:$A$101,MATCH(A929,Companies!$B$3:$B$101,0)),"")</f>
        <v/>
      </c>
      <c r="C929">
        <f>IFERROR(_xlfn.IFNA(INDEX(Sensors_MANU!$F$2:$F$4692,MATCH($D929,Sensors_MANU!$B$2:$B$4692,0)),INDEX(Sensors_MANU!$F$2:$F$4692,MATCH($P929,Sensors_MANU!$A$2:$A$4692,0))),"")</f>
        <v/>
      </c>
      <c r="D929" t="inlineStr">
        <is>
          <t>DD47AE7057D1</t>
        </is>
      </c>
      <c r="E929">
        <f>LEFT(D929,2)&amp;":"&amp;MID(D929,3,2)&amp;":"&amp;MID(D929,5,2)&amp;":"&amp;MID(D929,7,2)&amp;":"&amp;MID(D929,9,2)&amp;":"&amp;RIGHT(D929,2)</f>
        <v/>
      </c>
      <c r="H929" t="inlineStr">
        <is>
          <t>84682B8ED8758A52</t>
        </is>
      </c>
      <c r="I929">
        <f>IFERROR(_xlfn.IFNA(INDEX(Sensors_MANU!$C$2:$C$4692,MATCH($D929,Sensors_MANU!$B$2:$B$4692,0)),INDEX(Sensors_MANU!$C$2:$C$4692,MATCH($P929,Sensors_MANU!$A$2:$A$4692,0))),"")</f>
        <v/>
      </c>
      <c r="J929" s="65" t="inlineStr">
        <is>
          <t>PR2206-374</t>
        </is>
      </c>
      <c r="N929" s="99">
        <f>IFERROR(INDEX(Sensors_MANU!$G$2:$G$4692,MATCH($P929,Sensors_MANU!$A$2:$A$4692,0)),)</f>
        <v/>
      </c>
      <c r="O929" s="6" t="inlineStr">
        <is>
          <t>v17</t>
        </is>
      </c>
      <c r="P929" t="n">
        <v>4978836</v>
      </c>
    </row>
    <row r="930">
      <c r="A930" s="32">
        <f>IFERROR(_xlfn.IFNA(INDEX(Sensors_MANU!$E$2:$E$4692,MATCH($D930,Sensors_MANU!$B$2:$B$4692,0)),INDEX(Sensors_MANU!$E$2:$E$4692,MATCH($P930,Sensors_MANU!$A$2:$A$4692,0))),"")</f>
        <v/>
      </c>
      <c r="B930" s="24">
        <f>IFERROR(INDEX(Companies!$A$3:$A$101,MATCH(A930,Companies!$B$3:$B$101,0)),"")</f>
        <v/>
      </c>
      <c r="C930">
        <f>IFERROR(_xlfn.IFNA(INDEX(Sensors_MANU!$F$2:$F$4692,MATCH($D930,Sensors_MANU!$B$2:$B$4692,0)),INDEX(Sensors_MANU!$F$2:$F$4692,MATCH($P930,Sensors_MANU!$A$2:$A$4692,0))),"")</f>
        <v/>
      </c>
      <c r="D930" t="inlineStr">
        <is>
          <t>E022F16F80D7</t>
        </is>
      </c>
      <c r="E930" s="24">
        <f>LEFT(D930,2)&amp;":"&amp;MID(D930,3,2)&amp;":"&amp;MID(D930,5,2)&amp;":"&amp;MID(D930,7,2)&amp;":"&amp;MID(D930,9,2)&amp;":"&amp;RIGHT(D930,2)</f>
        <v/>
      </c>
      <c r="F930" s="29" t="n">
        <v>44880</v>
      </c>
      <c r="G930" s="29" t="inlineStr">
        <is>
          <t>Viezo</t>
        </is>
      </c>
      <c r="H930" t="inlineStr">
        <is>
          <t>B12AD30D519CC6AC</t>
        </is>
      </c>
      <c r="I930">
        <f>IFERROR(_xlfn.IFNA(INDEX(Sensors_MANU!$C$2:$C$4692,MATCH($D930,Sensors_MANU!$B$2:$B$4692,0)),INDEX(Sensors_MANU!$C$2:$C$4692,MATCH($P930,Sensors_MANU!$A$2:$A$4692,0))),"")</f>
        <v/>
      </c>
      <c r="J930">
        <f>IFERROR(_xlfn.IFNA(INDEX(Sensors_MANU!$D$2:$D$4692,MATCH($D930,Sensors_MANU!$B$2:$B$4692,0)),INDEX(Sensors_MANU!$D$2:$D$4692,MATCH($P930,Sensors_MANU!$A$2:$A$4692,0))),"")</f>
        <v/>
      </c>
      <c r="K930" s="27" t="inlineStr">
        <is>
          <t>83546985079-5</t>
        </is>
      </c>
      <c r="L930" s="27" t="inlineStr">
        <is>
          <t>4R</t>
        </is>
      </c>
      <c r="O930" s="6" t="inlineStr">
        <is>
          <t>V25</t>
        </is>
      </c>
    </row>
    <row r="931">
      <c r="A931" s="32">
        <f>IFERROR(_xlfn.IFNA(INDEX(Sensors_MANU!$E$2:$E$4692,MATCH($D931,Sensors_MANU!$B$2:$B$4692,0)),INDEX(Sensors_MANU!$E$2:$E$4692,MATCH($P931,Sensors_MANU!$A$2:$A$4692,0))),"")</f>
        <v/>
      </c>
      <c r="B931" s="24">
        <f>IFERROR(INDEX(Companies!$A$3:$A$101,MATCH(A931,Companies!$B$3:$B$101,0)),"")</f>
        <v/>
      </c>
      <c r="C931">
        <f>IFERROR(_xlfn.IFNA(INDEX(Sensors_MANU!$F$2:$F$4692,MATCH($D931,Sensors_MANU!$B$2:$B$4692,0)),INDEX(Sensors_MANU!$F$2:$F$4692,MATCH($P931,Sensors_MANU!$A$2:$A$4692,0))),"")</f>
        <v/>
      </c>
      <c r="D931" s="25" t="inlineStr">
        <is>
          <t>E28064CED0FB</t>
        </is>
      </c>
      <c r="E931" s="24">
        <f>LEFT(D931,2)&amp;":"&amp;MID(D931,3,2)&amp;":"&amp;MID(D931,5,2)&amp;":"&amp;MID(D931,7,2)&amp;":"&amp;MID(D931,9,2)&amp;":"&amp;RIGHT(D931,2)</f>
        <v/>
      </c>
      <c r="F931" s="29" t="n">
        <v>44754</v>
      </c>
      <c r="G931" s="29" t="inlineStr">
        <is>
          <t>Viezo</t>
        </is>
      </c>
      <c r="H931" t="inlineStr">
        <is>
          <t>256DF9DEB6B2B4E3</t>
        </is>
      </c>
      <c r="I931">
        <f>IFERROR(_xlfn.IFNA(INDEX(Sensors_MANU!$C$2:$C$4692,MATCH($D931,Sensors_MANU!$B$2:$B$4692,0)),INDEX(Sensors_MANU!$C$2:$C$4692,MATCH($P931,Sensors_MANU!$A$2:$A$4692,0))),"")</f>
        <v/>
      </c>
      <c r="J931">
        <f>IFERROR(_xlfn.IFNA(INDEX(Sensors_MANU!$D$2:$D$4692,MATCH($D931,Sensors_MANU!$B$2:$B$4692,0)),INDEX(Sensors_MANU!$D$2:$D$4692,MATCH($P931,Sensors_MANU!$A$2:$A$4692,0))),"")</f>
        <v/>
      </c>
      <c r="K931" s="27" t="inlineStr">
        <is>
          <t>31832852846-4</t>
        </is>
      </c>
      <c r="L931" s="27" t="inlineStr">
        <is>
          <t>1R</t>
        </is>
      </c>
      <c r="O931" s="6" t="inlineStr">
        <is>
          <t>V23</t>
        </is>
      </c>
    </row>
    <row r="932">
      <c r="B932" s="24">
        <f>IFERROR(INDEX(Companies!$A$3:$A$101,MATCH(A932,Companies!$B$3:$B$101,0)),"")</f>
        <v/>
      </c>
      <c r="C932">
        <f>IFERROR(_xlfn.IFNA(INDEX(Sensors_MANU!$F$2:$F$4692,MATCH($D932,Sensors_MANU!$B$2:$B$4692,0)),INDEX(Sensors_MANU!$F$2:$F$4692,MATCH($P932,Sensors_MANU!$A$2:$A$4692,0))),"")</f>
        <v/>
      </c>
      <c r="D932" s="25" t="inlineStr">
        <is>
          <t>C997AE37E9ED</t>
        </is>
      </c>
      <c r="E932" s="24">
        <f>LEFT(D932,2)&amp;":"&amp;MID(D932,3,2)&amp;":"&amp;MID(D932,5,2)&amp;":"&amp;MID(D932,7,2)&amp;":"&amp;MID(D932,9,2)&amp;":"&amp;RIGHT(D932,2)</f>
        <v/>
      </c>
      <c r="H932" t="inlineStr">
        <is>
          <t>84F7EC8017192E58</t>
        </is>
      </c>
      <c r="I932">
        <f>IFERROR(_xlfn.IFNA(INDEX(Sensors_MANU!$C$2:$C$4692,MATCH($D932,Sensors_MANU!$B$2:$B$4692,0)),INDEX(Sensors_MANU!$C$2:$C$4692,MATCH($P932,Sensors_MANU!$A$2:$A$4692,0))),"")</f>
        <v/>
      </c>
      <c r="J932">
        <f>IFERROR(_xlfn.IFNA(INDEX(Sensors_MANU!$D$2:$D$4692,MATCH($D932,Sensors_MANU!$B$2:$B$4692,0)),INDEX(Sensors_MANU!$D$2:$D$4692,MATCH($P932,Sensors_MANU!$A$2:$A$4692,0))),"")</f>
        <v/>
      </c>
      <c r="O932" s="6" t="inlineStr">
        <is>
          <t>V23</t>
        </is>
      </c>
    </row>
    <row r="933">
      <c r="A933" s="32" t="inlineStr">
        <is>
          <t>RSA</t>
        </is>
      </c>
      <c r="B933" s="24">
        <f>IFERROR(INDEX(Companies!$A$3:$A$101,MATCH(A933,Companies!$B$3:$B$101,0)),"")</f>
        <v/>
      </c>
      <c r="C933">
        <f>IFERROR(_xlfn.IFNA(INDEX(Sensors_MANU!$F$2:$F$4692,MATCH($D933,Sensors_MANU!$B$2:$B$4692,0)),INDEX(Sensors_MANU!$F$2:$F$4692,MATCH($P933,Sensors_MANU!$A$2:$A$4692,0))),"")</f>
        <v/>
      </c>
      <c r="D933" t="inlineStr">
        <is>
          <t>FFDD7D56ED91</t>
        </is>
      </c>
      <c r="E933" s="24">
        <f>LEFT(D933,2)&amp;":"&amp;MID(D933,3,2)&amp;":"&amp;MID(D933,5,2)&amp;":"&amp;MID(D933,7,2)&amp;":"&amp;MID(D933,9,2)&amp;":"&amp;RIGHT(D933,2)</f>
        <v/>
      </c>
      <c r="H933" t="inlineStr">
        <is>
          <t>C2DF0579B3BA0584</t>
        </is>
      </c>
      <c r="J933" s="65" t="inlineStr">
        <is>
          <t>PR2206-379</t>
        </is>
      </c>
      <c r="O933" s="6" t="inlineStr">
        <is>
          <t>v17</t>
        </is>
      </c>
      <c r="P933" t="n">
        <v>4978587</v>
      </c>
    </row>
    <row r="934">
      <c r="B934" s="24">
        <f>IFERROR(INDEX(Companies!$A$3:$A$101,MATCH(A934,Companies!$B$3:$B$101,0)),"")</f>
        <v/>
      </c>
      <c r="C934">
        <f>IFERROR(_xlfn.IFNA(INDEX(Sensors_MANU!$F$2:$F$4692,MATCH($D934,Sensors_MANU!$B$2:$B$4692,0)),INDEX(Sensors_MANU!$F$2:$F$4692,MATCH($P934,Sensors_MANU!$A$2:$A$4692,0))),"")</f>
        <v/>
      </c>
      <c r="D934" s="25" t="inlineStr">
        <is>
          <t>E984285BAC4A</t>
        </is>
      </c>
      <c r="E934" s="24">
        <f>LEFT(D934,2)&amp;":"&amp;MID(D934,3,2)&amp;":"&amp;MID(D934,5,2)&amp;":"&amp;MID(D934,7,2)&amp;":"&amp;MID(D934,9,2)&amp;":"&amp;RIGHT(D934,2)</f>
        <v/>
      </c>
      <c r="H934" t="inlineStr">
        <is>
          <t>BAAFB5B7BD8DFD92</t>
        </is>
      </c>
      <c r="I934">
        <f>IFERROR(_xlfn.IFNA(INDEX(Sensors_MANU!$C$2:$C$4692,MATCH($D934,Sensors_MANU!$B$2:$B$4692,0)),INDEX(Sensors_MANU!$C$2:$C$4692,MATCH($P934,Sensors_MANU!$A$2:$A$4692,0))),"")</f>
        <v/>
      </c>
      <c r="J934">
        <f>IFERROR(_xlfn.IFNA(INDEX(Sensors_MANU!$D$2:$D$4692,MATCH($D934,Sensors_MANU!$B$2:$B$4692,0)),INDEX(Sensors_MANU!$D$2:$D$4692,MATCH($P934,Sensors_MANU!$A$2:$A$4692,0))),"")</f>
        <v/>
      </c>
      <c r="O934" s="6" t="inlineStr">
        <is>
          <t>V23</t>
        </is>
      </c>
    </row>
    <row r="935">
      <c r="A935" s="32">
        <f>IFERROR(_xlfn.IFNA(INDEX(Sensors_MANU!$E$2:$E$4692,MATCH($D935,Sensors_MANU!$B$2:$B$4692,0)),INDEX(Sensors_MANU!$E$2:$E$4692,MATCH($P935,Sensors_MANU!$A$2:$A$4692,0))),"")</f>
        <v/>
      </c>
      <c r="B935" s="24">
        <f>IFERROR(INDEX(Companies!$A$3:$A$101,MATCH(A935,Companies!$B$3:$B$101,0)),"")</f>
        <v/>
      </c>
      <c r="C935">
        <f>IFERROR(_xlfn.IFNA(INDEX(Sensors_MANU!$F$2:$F$4692,MATCH($D935,Sensors_MANU!$B$2:$B$4692,0)),INDEX(Sensors_MANU!$F$2:$F$4692,MATCH($P935,Sensors_MANU!$A$2:$A$4692,0))),"")</f>
        <v/>
      </c>
      <c r="D935" s="25" t="inlineStr">
        <is>
          <t>E02FD87A67DB</t>
        </is>
      </c>
      <c r="E935" s="24">
        <f>LEFT(D935,2)&amp;":"&amp;MID(D935,3,2)&amp;":"&amp;MID(D935,5,2)&amp;":"&amp;MID(D935,7,2)&amp;":"&amp;MID(D935,9,2)&amp;":"&amp;RIGHT(D935,2)</f>
        <v/>
      </c>
      <c r="F935" s="29" t="n">
        <v>44754</v>
      </c>
      <c r="G935" s="29" t="inlineStr">
        <is>
          <t>Viezo</t>
        </is>
      </c>
      <c r="H935" t="inlineStr">
        <is>
          <t>63DE15D054F10F88</t>
        </is>
      </c>
      <c r="I935">
        <f>IFERROR(_xlfn.IFNA(INDEX(Sensors_MANU!$C$2:$C$4692,MATCH($D935,Sensors_MANU!$B$2:$B$4692,0)),INDEX(Sensors_MANU!$C$2:$C$4692,MATCH($P935,Sensors_MANU!$A$2:$A$4692,0))),"")</f>
        <v/>
      </c>
      <c r="J935">
        <f>IFERROR(_xlfn.IFNA(INDEX(Sensors_MANU!$D$2:$D$4692,MATCH($D935,Sensors_MANU!$B$2:$B$4692,0)),INDEX(Sensors_MANU!$D$2:$D$4692,MATCH($P935,Sensors_MANU!$A$2:$A$4692,0))),"")</f>
        <v/>
      </c>
      <c r="K935" s="27" t="inlineStr">
        <is>
          <t>31834789278-4</t>
        </is>
      </c>
      <c r="L935" s="27" t="inlineStr">
        <is>
          <t>2R</t>
        </is>
      </c>
      <c r="O935" s="6" t="inlineStr">
        <is>
          <t>V23</t>
        </is>
      </c>
    </row>
    <row r="936">
      <c r="B936" s="24">
        <f>IFERROR(INDEX(Companies!$A$3:$A$101,MATCH(A936,Companies!$B$3:$B$101,0)),"")</f>
        <v/>
      </c>
      <c r="C936">
        <f>IFERROR(_xlfn.IFNA(INDEX(Sensors_MANU!$F$2:$F$4692,MATCH($D936,Sensors_MANU!$B$2:$B$4692,0)),INDEX(Sensors_MANU!$F$2:$F$4692,MATCH($P936,Sensors_MANU!$A$2:$A$4692,0))),"")</f>
        <v/>
      </c>
      <c r="D936" s="25" t="inlineStr">
        <is>
          <t>D548910134E7</t>
        </is>
      </c>
      <c r="E936" s="24">
        <f>LEFT(D936,2)&amp;":"&amp;MID(D936,3,2)&amp;":"&amp;MID(D936,5,2)&amp;":"&amp;MID(D936,7,2)&amp;":"&amp;MID(D936,9,2)&amp;":"&amp;RIGHT(D936,2)</f>
        <v/>
      </c>
      <c r="H936" t="inlineStr">
        <is>
          <t>E192C11CA5D08A9B</t>
        </is>
      </c>
      <c r="I936">
        <f>IFERROR(_xlfn.IFNA(INDEX(Sensors_MANU!$C$2:$C$4692,MATCH($D936,Sensors_MANU!$B$2:$B$4692,0)),INDEX(Sensors_MANU!$C$2:$C$4692,MATCH($P936,Sensors_MANU!$A$2:$A$4692,0))),"")</f>
        <v/>
      </c>
      <c r="J936">
        <f>IFERROR(_xlfn.IFNA(INDEX(Sensors_MANU!$D$2:$D$4692,MATCH($D936,Sensors_MANU!$B$2:$B$4692,0)),INDEX(Sensors_MANU!$D$2:$D$4692,MATCH($P936,Sensors_MANU!$A$2:$A$4692,0))),"")</f>
        <v/>
      </c>
      <c r="O936" s="6" t="inlineStr">
        <is>
          <t>V23</t>
        </is>
      </c>
    </row>
    <row r="937">
      <c r="B937" s="24">
        <f>IFERROR(INDEX(Companies!$A$3:$A$101,MATCH(A937,Companies!$B$3:$B$101,0)),"")</f>
        <v/>
      </c>
      <c r="C937">
        <f>IFERROR(_xlfn.IFNA(INDEX(Sensors_MANU!$F$2:$F$4692,MATCH($D937,Sensors_MANU!$B$2:$B$4692,0)),INDEX(Sensors_MANU!$F$2:$F$4692,MATCH($P937,Sensors_MANU!$A$2:$A$4692,0))),"")</f>
        <v/>
      </c>
      <c r="D937" s="25" t="inlineStr">
        <is>
          <t>F312C9CE96C3</t>
        </is>
      </c>
      <c r="E937" s="24">
        <f>LEFT(D937,2)&amp;":"&amp;MID(D937,3,2)&amp;":"&amp;MID(D937,5,2)&amp;":"&amp;MID(D937,7,2)&amp;":"&amp;MID(D937,9,2)&amp;":"&amp;RIGHT(D937,2)</f>
        <v/>
      </c>
      <c r="H937" t="inlineStr">
        <is>
          <t>BCC7948C51E7588D</t>
        </is>
      </c>
      <c r="I937">
        <f>IFERROR(_xlfn.IFNA(INDEX(Sensors_MANU!$C$2:$C$4692,MATCH($D937,Sensors_MANU!$B$2:$B$4692,0)),INDEX(Sensors_MANU!$C$2:$C$4692,MATCH($P937,Sensors_MANU!$A$2:$A$4692,0))),"")</f>
        <v/>
      </c>
      <c r="J937">
        <f>IFERROR(_xlfn.IFNA(INDEX(Sensors_MANU!$D$2:$D$4692,MATCH($D937,Sensors_MANU!$B$2:$B$4692,0)),INDEX(Sensors_MANU!$D$2:$D$4692,MATCH($P937,Sensors_MANU!$A$2:$A$4692,0))),"")</f>
        <v/>
      </c>
      <c r="O937" s="6" t="inlineStr">
        <is>
          <t>V23</t>
        </is>
      </c>
    </row>
    <row r="938">
      <c r="A938" s="32">
        <f>IFERROR(_xlfn.IFNA(INDEX(Sensors_MANU!$E$2:$E$4692,MATCH($D938,Sensors_MANU!$B$2:$B$4692,0)),INDEX(Sensors_MANU!$E$2:$E$4692,MATCH($P938,Sensors_MANU!$A$2:$A$4692,0))),"")</f>
        <v/>
      </c>
      <c r="B938" s="24">
        <f>IFERROR(INDEX(Companies!$A$3:$A$101,MATCH(A938,Companies!$B$3:$B$101,0)),"")</f>
        <v/>
      </c>
      <c r="C938">
        <f>IFERROR(_xlfn.IFNA(INDEX(Sensors_MANU!$F$2:$F$4692,MATCH($D938,Sensors_MANU!$B$2:$B$4692,0)),INDEX(Sensors_MANU!$F$2:$F$4692,MATCH($P938,Sensors_MANU!$A$2:$A$4692,0))),"")</f>
        <v/>
      </c>
      <c r="D938" s="50" t="inlineStr">
        <is>
          <t>C7C8A2C7C022</t>
        </is>
      </c>
      <c r="E938" s="24">
        <f>LEFT(D938,2)&amp;":"&amp;MID(D938,3,2)&amp;":"&amp;MID(D938,5,2)&amp;":"&amp;MID(D938,7,2)&amp;":"&amp;MID(D938,9,2)&amp;":"&amp;RIGHT(D938,2)</f>
        <v/>
      </c>
      <c r="F938" s="29" t="n">
        <v>44754</v>
      </c>
      <c r="G938" s="29" t="inlineStr">
        <is>
          <t>Viezo</t>
        </is>
      </c>
      <c r="H938" s="26" t="inlineStr">
        <is>
          <t>F0D5BCE00F7D3901</t>
        </is>
      </c>
      <c r="I938">
        <f>IFERROR(_xlfn.IFNA(INDEX(Sensors_MANU!$C$2:$C$4692,MATCH($D938,Sensors_MANU!$B$2:$B$4692,0)),INDEX(Sensors_MANU!$C$2:$C$4692,MATCH($P938,Sensors_MANU!$A$2:$A$4692,0))),"")</f>
        <v/>
      </c>
      <c r="J938">
        <f>IFERROR(_xlfn.IFNA(INDEX(Sensors_MANU!$D$2:$D$4692,MATCH($D938,Sensors_MANU!$B$2:$B$4692,0)),INDEX(Sensors_MANU!$D$2:$D$4692,MATCH($P938,Sensors_MANU!$A$2:$A$4692,0))),"")</f>
        <v/>
      </c>
      <c r="K938" s="27" t="inlineStr">
        <is>
          <t>31834789193-5</t>
        </is>
      </c>
      <c r="L938" s="27" t="inlineStr">
        <is>
          <t>2R</t>
        </is>
      </c>
      <c r="O938" s="6" t="inlineStr">
        <is>
          <t>V23</t>
        </is>
      </c>
    </row>
    <row r="939">
      <c r="A939" s="32">
        <f>IFERROR(_xlfn.IFNA(INDEX(Sensors_MANU!$E$2:$E$4692,MATCH($D939,Sensors_MANU!$B$2:$B$4692,0)),INDEX(Sensors_MANU!$E$2:$E$4692,MATCH($P939,Sensors_MANU!$A$2:$A$4692,0))),"")</f>
        <v/>
      </c>
      <c r="B939" s="24">
        <f>IFERROR(INDEX(Companies!$A$3:$A$101,MATCH(A939,Companies!$B$3:$B$101,0)),"")</f>
        <v/>
      </c>
      <c r="C939">
        <f>IFERROR(_xlfn.IFNA(INDEX(Sensors_MANU!$F$2:$F$4692,MATCH($D939,Sensors_MANU!$B$2:$B$4692,0)),INDEX(Sensors_MANU!$F$2:$F$4692,MATCH($P939,Sensors_MANU!$A$2:$A$4692,0))),"")</f>
        <v/>
      </c>
      <c r="D939" t="inlineStr">
        <is>
          <t>F05E7B38D721</t>
        </is>
      </c>
      <c r="E939" s="24">
        <f>LEFT(D939,2)&amp;":"&amp;MID(D939,3,2)&amp;":"&amp;MID(D939,5,2)&amp;":"&amp;MID(D939,7,2)&amp;":"&amp;MID(D939,9,2)&amp;":"&amp;RIGHT(D939,2)</f>
        <v/>
      </c>
      <c r="F939" s="29" t="n">
        <v>44880</v>
      </c>
      <c r="G939" s="29" t="inlineStr">
        <is>
          <t>Viezo</t>
        </is>
      </c>
      <c r="H939" t="inlineStr">
        <is>
          <t>3412CE5EF6679E0D</t>
        </is>
      </c>
      <c r="I939">
        <f>IFERROR(_xlfn.IFNA(INDEX(Sensors_MANU!$C$2:$C$4692,MATCH($D939,Sensors_MANU!$B$2:$B$4692,0)),INDEX(Sensors_MANU!$C$2:$C$4692,MATCH($P939,Sensors_MANU!$A$2:$A$4692,0))),"")</f>
        <v/>
      </c>
      <c r="J939">
        <f>IFERROR(_xlfn.IFNA(INDEX(Sensors_MANU!$D$2:$D$4692,MATCH($D939,Sensors_MANU!$B$2:$B$4692,0)),INDEX(Sensors_MANU!$D$2:$D$4692,MATCH($P939,Sensors_MANU!$A$2:$A$4692,0))),"")</f>
        <v/>
      </c>
      <c r="K939" s="27" t="inlineStr">
        <is>
          <t>83546985072-0</t>
        </is>
      </c>
      <c r="L939" s="27" t="inlineStr">
        <is>
          <t>2R</t>
        </is>
      </c>
      <c r="O939" s="6" t="inlineStr">
        <is>
          <t>V25</t>
        </is>
      </c>
    </row>
    <row r="940">
      <c r="A940" s="32">
        <f>IFERROR(_xlfn.IFNA(INDEX(Sensors_MANU!$E$2:$E$4692,MATCH($D940,Sensors_MANU!$B$2:$B$4692,0)),INDEX(Sensors_MANU!$E$2:$E$4692,MATCH($P940,Sensors_MANU!$A$2:$A$4692,0))),"")</f>
        <v/>
      </c>
      <c r="B940" s="24">
        <f>IFERROR(INDEX(Companies!$A$3:$A$101,MATCH(A940,Companies!$B$3:$B$101,0)),"")</f>
        <v/>
      </c>
      <c r="C940">
        <f>IFERROR(_xlfn.IFNA(INDEX(Sensors_MANU!$F$2:$F$4692,MATCH($D940,Sensors_MANU!$B$2:$B$4692,0)),INDEX(Sensors_MANU!$F$2:$F$4692,MATCH($P940,Sensors_MANU!$A$2:$A$4692,0))),"")</f>
        <v/>
      </c>
      <c r="D940" s="50" t="inlineStr">
        <is>
          <t>E613706C233D</t>
        </is>
      </c>
      <c r="E940" s="24">
        <f>LEFT(D940,2)&amp;":"&amp;MID(D940,3,2)&amp;":"&amp;MID(D940,5,2)&amp;":"&amp;MID(D940,7,2)&amp;":"&amp;MID(D940,9,2)&amp;":"&amp;RIGHT(D940,2)</f>
        <v/>
      </c>
      <c r="F940" s="29" t="n">
        <v>44754</v>
      </c>
      <c r="G940" s="29" t="inlineStr">
        <is>
          <t>Viezo</t>
        </is>
      </c>
      <c r="H940" s="26" t="inlineStr">
        <is>
          <t>D4F3F8DDF7F65865</t>
        </is>
      </c>
      <c r="I940">
        <f>IFERROR(_xlfn.IFNA(INDEX(Sensors_MANU!$C$2:$C$4692,MATCH($D940,Sensors_MANU!$B$2:$B$4692,0)),INDEX(Sensors_MANU!$C$2:$C$4692,MATCH($P940,Sensors_MANU!$A$2:$A$4692,0))),"")</f>
        <v/>
      </c>
      <c r="J940">
        <f>IFERROR(_xlfn.IFNA(INDEX(Sensors_MANU!$D$2:$D$4692,MATCH($D940,Sensors_MANU!$B$2:$B$4692,0)),INDEX(Sensors_MANU!$D$2:$D$4692,MATCH($P940,Sensors_MANU!$A$2:$A$4692,0))),"")</f>
        <v/>
      </c>
      <c r="K940" s="27" t="inlineStr">
        <is>
          <t>31834668448-9</t>
        </is>
      </c>
      <c r="L940" s="27" t="inlineStr">
        <is>
          <t>3L</t>
        </is>
      </c>
      <c r="O940" s="6" t="inlineStr">
        <is>
          <t>V23</t>
        </is>
      </c>
    </row>
    <row r="941">
      <c r="A941" s="32" t="inlineStr">
        <is>
          <t>TRANSWAGGON</t>
        </is>
      </c>
      <c r="B941" s="24">
        <f>IFERROR(INDEX(Companies!$A$3:$A$101,MATCH(A941,Companies!$B$3:$B$101,0)),"")</f>
        <v/>
      </c>
      <c r="C941">
        <f>IFERROR(_xlfn.IFNA(INDEX(Sensors_MANU!$F$2:$F$4692,MATCH($D941,Sensors_MANU!$B$2:$B$4692,0)),INDEX(Sensors_MANU!$F$2:$F$4692,MATCH($P941,Sensors_MANU!$A$2:$A$4692,0))),"")</f>
        <v/>
      </c>
      <c r="D941" t="inlineStr">
        <is>
          <t>CDF0CDF294D9</t>
        </is>
      </c>
      <c r="E941" s="24">
        <f>LEFT(D941,2)&amp;":"&amp;MID(D941,3,2)&amp;":"&amp;MID(D941,5,2)&amp;":"&amp;MID(D941,7,2)&amp;":"&amp;MID(D941,9,2)&amp;":"&amp;RIGHT(D941,2)</f>
        <v/>
      </c>
      <c r="F941" s="29" t="n">
        <v>45097</v>
      </c>
      <c r="G941" s="29" t="inlineStr">
        <is>
          <t>TRANSWAGG</t>
        </is>
      </c>
      <c r="H941" t="inlineStr">
        <is>
          <t>7B0D82D00C2A0814</t>
        </is>
      </c>
      <c r="I941">
        <f>IFERROR(_xlfn.IFNA(INDEX(Sensors_MANU!$C$2:$C$4692,MATCH($D941,Sensors_MANU!$B$2:$B$4692,0)),INDEX(Sensors_MANU!$C$2:$C$4692,MATCH($P941,Sensors_MANU!$A$2:$A$4692,0))),"")</f>
        <v/>
      </c>
      <c r="J941">
        <f>IFERROR(_xlfn.IFNA(INDEX(Sensors_MANU!$D$2:$D$4692,MATCH($D941,Sensors_MANU!$B$2:$B$4692,0)),INDEX(Sensors_MANU!$D$2:$D$4692,MATCH($P941,Sensors_MANU!$A$2:$A$4692,0))),"")</f>
        <v/>
      </c>
      <c r="K941" s="27" t="inlineStr">
        <is>
          <t>33802742527-5</t>
        </is>
      </c>
      <c r="L941" s="27" t="inlineStr">
        <is>
          <t>3R</t>
        </is>
      </c>
      <c r="O941" s="6" t="inlineStr">
        <is>
          <t>V25</t>
        </is>
      </c>
    </row>
    <row r="942">
      <c r="A942" s="32">
        <f>IFERROR(_xlfn.IFNA(INDEX(Sensors_MANU!$E$2:$E$4692,MATCH($D942,Sensors_MANU!$B$2:$B$4692,0)),INDEX(Sensors_MANU!$E$2:$E$4692,MATCH($P942,Sensors_MANU!$A$2:$A$4692,0))),"")</f>
        <v/>
      </c>
      <c r="B942" s="24">
        <f>IFERROR(INDEX(Companies!$A$3:$A$101,MATCH(A942,Companies!$B$3:$B$101,0)),"")</f>
        <v/>
      </c>
      <c r="C942">
        <f>IFERROR(_xlfn.IFNA(INDEX(Sensors_MANU!$F$2:$F$4692,MATCH($D942,Sensors_MANU!$B$2:$B$4692,0)),INDEX(Sensors_MANU!$F$2:$F$4692,MATCH($P942,Sensors_MANU!$A$2:$A$4692,0))),"")</f>
        <v/>
      </c>
      <c r="D942" s="25" t="inlineStr">
        <is>
          <t>DC87F3C113B1</t>
        </is>
      </c>
      <c r="E942" s="24">
        <f>LEFT(D942,2)&amp;":"&amp;MID(D942,3,2)&amp;":"&amp;MID(D942,5,2)&amp;":"&amp;MID(D942,7,2)&amp;":"&amp;MID(D942,9,2)&amp;":"&amp;RIGHT(D942,2)</f>
        <v/>
      </c>
      <c r="F942" s="29" t="n">
        <v>44754</v>
      </c>
      <c r="G942" s="29" t="inlineStr">
        <is>
          <t>Viezo</t>
        </is>
      </c>
      <c r="H942" t="inlineStr">
        <is>
          <t>B4ABAB5093330B03</t>
        </is>
      </c>
      <c r="I942">
        <f>IFERROR(_xlfn.IFNA(INDEX(Sensors_MANU!$C$2:$C$4692,MATCH($D942,Sensors_MANU!$B$2:$B$4692,0)),INDEX(Sensors_MANU!$C$2:$C$4692,MATCH($P942,Sensors_MANU!$A$2:$A$4692,0))),"")</f>
        <v/>
      </c>
      <c r="J942">
        <f>IFERROR(_xlfn.IFNA(INDEX(Sensors_MANU!$D$2:$D$4692,MATCH($D942,Sensors_MANU!$B$2:$B$4692,0)),INDEX(Sensors_MANU!$D$2:$D$4692,MATCH($P942,Sensors_MANU!$A$2:$A$4692,0))),"")</f>
        <v/>
      </c>
      <c r="K942" s="27" t="inlineStr">
        <is>
          <t>31834785082-4</t>
        </is>
      </c>
      <c r="L942" s="27" t="inlineStr">
        <is>
          <t>2L</t>
        </is>
      </c>
      <c r="O942" s="6" t="inlineStr">
        <is>
          <t>V23</t>
        </is>
      </c>
    </row>
    <row r="943">
      <c r="A943" s="32">
        <f>IFERROR(_xlfn.IFNA(INDEX(Sensors_MANU!$E$2:$E$4692,MATCH($D943,Sensors_MANU!$B$2:$B$4692,0)),INDEX(Sensors_MANU!$E$2:$E$4692,MATCH($P943,Sensors_MANU!$A$2:$A$4692,0))),"")</f>
        <v/>
      </c>
      <c r="B943" s="24">
        <f>IFERROR(INDEX(Companies!$A$3:$A$101,MATCH(A943,Companies!$B$3:$B$101,0)),"")</f>
        <v/>
      </c>
      <c r="C943">
        <f>IFERROR(_xlfn.IFNA(INDEX(Sensors_MANU!$F$2:$F$4692,MATCH($D943,Sensors_MANU!$B$2:$B$4692,0)),INDEX(Sensors_MANU!$F$2:$F$4692,MATCH($P943,Sensors_MANU!$A$2:$A$4692,0))),"")</f>
        <v/>
      </c>
      <c r="D943" s="50" t="inlineStr">
        <is>
          <t>CB820D411CCA</t>
        </is>
      </c>
      <c r="E943" s="24">
        <f>LEFT(D943,2)&amp;":"&amp;MID(D943,3,2)&amp;":"&amp;MID(D943,5,2)&amp;":"&amp;MID(D943,7,2)&amp;":"&amp;MID(D943,9,2)&amp;":"&amp;RIGHT(D943,2)</f>
        <v/>
      </c>
      <c r="F943" s="29" t="n">
        <v>44754</v>
      </c>
      <c r="G943" s="29" t="inlineStr">
        <is>
          <t>Viezo</t>
        </is>
      </c>
      <c r="H943" s="26" t="inlineStr">
        <is>
          <t>14E7F073C1809CD2</t>
        </is>
      </c>
      <c r="I943">
        <f>IFERROR(_xlfn.IFNA(INDEX(Sensors_MANU!$C$2:$C$4692,MATCH($D943,Sensors_MANU!$B$2:$B$4692,0)),INDEX(Sensors_MANU!$C$2:$C$4692,MATCH($P943,Sensors_MANU!$A$2:$A$4692,0))),"")</f>
        <v/>
      </c>
      <c r="J943">
        <f>IFERROR(_xlfn.IFNA(INDEX(Sensors_MANU!$D$2:$D$4692,MATCH($D943,Sensors_MANU!$B$2:$B$4692,0)),INDEX(Sensors_MANU!$D$2:$D$4692,MATCH($P943,Sensors_MANU!$A$2:$A$4692,0))),"")</f>
        <v/>
      </c>
      <c r="K943" s="27" t="inlineStr">
        <is>
          <t>31834668448-9</t>
        </is>
      </c>
      <c r="L943" s="27" t="inlineStr">
        <is>
          <t>3R</t>
        </is>
      </c>
      <c r="O943" s="6" t="inlineStr">
        <is>
          <t>V23</t>
        </is>
      </c>
    </row>
    <row r="944">
      <c r="A944" s="32">
        <f>IFERROR(_xlfn.IFNA(INDEX(Sensors_MANU!$E$2:$E$4692,MATCH($D944,Sensors_MANU!$B$2:$B$4692,0)),INDEX(Sensors_MANU!$E$2:$E$4692,MATCH($P944,Sensors_MANU!$A$2:$A$4692,0))),"")</f>
        <v/>
      </c>
      <c r="B944" s="24">
        <f>IFERROR(INDEX(Companies!$A$3:$A$101,MATCH(A944,Companies!$B$3:$B$101,0)),"")</f>
        <v/>
      </c>
      <c r="C944">
        <f>IFERROR(_xlfn.IFNA(INDEX(Sensors_MANU!$F$2:$F$4692,MATCH($D944,Sensors_MANU!$B$2:$B$4692,0)),INDEX(Sensors_MANU!$F$2:$F$4692,MATCH($P944,Sensors_MANU!$A$2:$A$4692,0))),"")</f>
        <v/>
      </c>
      <c r="D944" t="inlineStr">
        <is>
          <t>D10BEAA8CB6F</t>
        </is>
      </c>
      <c r="E944" s="41">
        <f>LEFT(D944,2)&amp;":"&amp;MID(D944,3,2)&amp;":"&amp;MID(D944,5,2)&amp;":"&amp;MID(D944,7,2)&amp;":"&amp;MID(D944,9,2)&amp;":"&amp;RIGHT(D944,2)</f>
        <v/>
      </c>
      <c r="F944" s="29" t="n">
        <v>44909</v>
      </c>
      <c r="G944" s="29" t="inlineStr">
        <is>
          <t>HVLE</t>
        </is>
      </c>
      <c r="H944" t="inlineStr">
        <is>
          <t>0D2B9F61400C2130</t>
        </is>
      </c>
      <c r="I944">
        <f>IFERROR(_xlfn.IFNA(INDEX(Sensors_MANU!$C$2:$C$4692,MATCH($D944,Sensors_MANU!$B$2:$B$4692,0)),INDEX(Sensors_MANU!$C$2:$C$4692,MATCH($P944,Sensors_MANU!$A$2:$A$4692,0))),"")</f>
        <v/>
      </c>
      <c r="J944">
        <f>IFERROR(_xlfn.IFNA(INDEX(Sensors_MANU!$D$2:$D$4692,MATCH($D944,Sensors_MANU!$B$2:$B$4692,0)),INDEX(Sensors_MANU!$D$2:$D$4692,MATCH($P944,Sensors_MANU!$A$2:$A$4692,0))),"")</f>
        <v/>
      </c>
      <c r="K944" s="27" t="inlineStr">
        <is>
          <t>83546985088-6</t>
        </is>
      </c>
      <c r="L944" s="27" t="inlineStr">
        <is>
          <t>2L</t>
        </is>
      </c>
      <c r="N944" s="99">
        <f>IFERROR(INDEX(Sensors_MANU!$G$2:$G$4692,MATCH($P944,Sensors_MANU!$A$2:$A$4692,0)),)</f>
        <v/>
      </c>
      <c r="O944" s="6" t="inlineStr">
        <is>
          <t>v17</t>
        </is>
      </c>
      <c r="P944" t="n">
        <v>4978521</v>
      </c>
    </row>
    <row r="945">
      <c r="A945" s="32">
        <f>IFERROR(_xlfn.IFNA(INDEX(Sensors_MANU!$E$2:$E$4692,MATCH($D945,Sensors_MANU!$B$2:$B$4692,0)),INDEX(Sensors_MANU!$E$2:$E$4692,MATCH($P945,Sensors_MANU!$A$2:$A$4692,0))),"")</f>
        <v/>
      </c>
      <c r="B945" s="24">
        <f>IFERROR(INDEX(Companies!$A$3:$A$101,MATCH(A945,Companies!$B$3:$B$101,0)),"")</f>
        <v/>
      </c>
      <c r="C945">
        <f>IFERROR(_xlfn.IFNA(INDEX(Sensors_MANU!$F$2:$F$4692,MATCH($D945,Sensors_MANU!$B$2:$B$4692,0)),INDEX(Sensors_MANU!$F$2:$F$4692,MATCH($P945,Sensors_MANU!$A$2:$A$4692,0))),"")</f>
        <v/>
      </c>
      <c r="D945" s="25" t="inlineStr">
        <is>
          <t>E4CE24DA91B6</t>
        </is>
      </c>
      <c r="E945" s="24">
        <f>LEFT(D945,2)&amp;":"&amp;MID(D945,3,2)&amp;":"&amp;MID(D945,5,2)&amp;":"&amp;MID(D945,7,2)&amp;":"&amp;MID(D945,9,2)&amp;":"&amp;RIGHT(D945,2)</f>
        <v/>
      </c>
      <c r="F945" s="29" t="n">
        <v>44754</v>
      </c>
      <c r="G945" s="29" t="inlineStr">
        <is>
          <t>Viezo</t>
        </is>
      </c>
      <c r="H945" t="inlineStr">
        <is>
          <t>AD13C70880D533E2</t>
        </is>
      </c>
      <c r="I945">
        <f>IFERROR(_xlfn.IFNA(INDEX(Sensors_MANU!$C$2:$C$4692,MATCH($D945,Sensors_MANU!$B$2:$B$4692,0)),INDEX(Sensors_MANU!$C$2:$C$4692,MATCH($P945,Sensors_MANU!$A$2:$A$4692,0))),"")</f>
        <v/>
      </c>
      <c r="J945">
        <f>IFERROR(_xlfn.IFNA(INDEX(Sensors_MANU!$D$2:$D$4692,MATCH($D945,Sensors_MANU!$B$2:$B$4692,0)),INDEX(Sensors_MANU!$D$2:$D$4692,MATCH($P945,Sensors_MANU!$A$2:$A$4692,0))),"")</f>
        <v/>
      </c>
      <c r="K945" s="27" t="inlineStr">
        <is>
          <t>31833919467-8</t>
        </is>
      </c>
      <c r="L945" s="27" t="inlineStr">
        <is>
          <t>2R</t>
        </is>
      </c>
      <c r="O945" s="6" t="inlineStr">
        <is>
          <t>V23</t>
        </is>
      </c>
    </row>
    <row r="946">
      <c r="B946" s="24">
        <f>IFERROR(INDEX(Companies!$A$3:$A$101,MATCH(A946,Companies!$B$3:$B$101,0)),"")</f>
        <v/>
      </c>
      <c r="C946">
        <f>IFERROR(_xlfn.IFNA(INDEX(Sensors_MANU!$F$2:$F$4692,MATCH($D946,Sensors_MANU!$B$2:$B$4692,0)),INDEX(Sensors_MANU!$F$2:$F$4692,MATCH($P946,Sensors_MANU!$A$2:$A$4692,0))),"")</f>
        <v/>
      </c>
      <c r="D946" s="25" t="inlineStr">
        <is>
          <t>C7EFE41F7138</t>
        </is>
      </c>
      <c r="E946" s="24">
        <f>LEFT(D946,2)&amp;":"&amp;MID(D946,3,2)&amp;":"&amp;MID(D946,5,2)&amp;":"&amp;MID(D946,7,2)&amp;":"&amp;MID(D946,9,2)&amp;":"&amp;RIGHT(D946,2)</f>
        <v/>
      </c>
      <c r="H946" t="inlineStr">
        <is>
          <t>5FC24EE460FD2E0B</t>
        </is>
      </c>
      <c r="I946">
        <f>IFERROR(_xlfn.IFNA(INDEX(Sensors_MANU!$C$2:$C$4692,MATCH($D946,Sensors_MANU!$B$2:$B$4692,0)),INDEX(Sensors_MANU!$C$2:$C$4692,MATCH($P946,Sensors_MANU!$A$2:$A$4692,0))),"")</f>
        <v/>
      </c>
      <c r="J946">
        <f>IFERROR(_xlfn.IFNA(INDEX(Sensors_MANU!$D$2:$D$4692,MATCH($D946,Sensors_MANU!$B$2:$B$4692,0)),INDEX(Sensors_MANU!$D$2:$D$4692,MATCH($P946,Sensors_MANU!$A$2:$A$4692,0))),"")</f>
        <v/>
      </c>
      <c r="O946" s="6" t="inlineStr">
        <is>
          <t>V23</t>
        </is>
      </c>
    </row>
    <row r="947">
      <c r="A947" s="32">
        <f>IFERROR(_xlfn.IFNA(INDEX(Sensors_MANU!$E$2:$E$4692,MATCH($D947,Sensors_MANU!$B$2:$B$4692,0)),INDEX(Sensors_MANU!$E$2:$E$4692,MATCH($P947,Sensors_MANU!$A$2:$A$4692,0))),"")</f>
        <v/>
      </c>
      <c r="B947" s="24">
        <f>IFERROR(INDEX(Companies!$A$3:$A$101,MATCH(A947,Companies!$B$3:$B$101,0)),"")</f>
        <v/>
      </c>
      <c r="C947">
        <f>IFERROR(_xlfn.IFNA(INDEX(Sensors_MANU!$F$2:$F$4692,MATCH($D947,Sensors_MANU!$B$2:$B$4692,0)),INDEX(Sensors_MANU!$F$2:$F$4692,MATCH($P947,Sensors_MANU!$A$2:$A$4692,0))),"")</f>
        <v/>
      </c>
      <c r="D947" s="25" t="inlineStr">
        <is>
          <t>C3F635D7BDF1</t>
        </is>
      </c>
      <c r="E947" s="24">
        <f>LEFT(D947,2)&amp;":"&amp;MID(D947,3,2)&amp;":"&amp;MID(D947,5,2)&amp;":"&amp;MID(D947,7,2)&amp;":"&amp;MID(D947,9,2)&amp;":"&amp;RIGHT(D947,2)</f>
        <v/>
      </c>
      <c r="F947" s="29" t="n">
        <v>44754</v>
      </c>
      <c r="G947" s="29" t="inlineStr">
        <is>
          <t>Viezo</t>
        </is>
      </c>
      <c r="H947" t="inlineStr">
        <is>
          <t>5D28CB8017AEA2CD</t>
        </is>
      </c>
      <c r="I947">
        <f>IFERROR(_xlfn.IFNA(INDEX(Sensors_MANU!$C$2:$C$4692,MATCH($D947,Sensors_MANU!$B$2:$B$4692,0)),INDEX(Sensors_MANU!$C$2:$C$4692,MATCH($P947,Sensors_MANU!$A$2:$A$4692,0))),"")</f>
        <v/>
      </c>
      <c r="J947">
        <f>IFERROR(_xlfn.IFNA(INDEX(Sensors_MANU!$D$2:$D$4692,MATCH($D947,Sensors_MANU!$B$2:$B$4692,0)),INDEX(Sensors_MANU!$D$2:$D$4692,MATCH($P947,Sensors_MANU!$A$2:$A$4692,0))),"")</f>
        <v/>
      </c>
      <c r="K947" s="27" t="inlineStr">
        <is>
          <t>31832852846-4</t>
        </is>
      </c>
      <c r="L947" s="27" t="inlineStr">
        <is>
          <t>1L</t>
        </is>
      </c>
      <c r="O947" s="6" t="inlineStr">
        <is>
          <t>V23</t>
        </is>
      </c>
    </row>
    <row r="948">
      <c r="A948" s="32">
        <f>IFERROR(_xlfn.IFNA(INDEX(Sensors_MANU!$E$2:$E$4692,MATCH($D948,Sensors_MANU!$B$2:$B$4692,0)),INDEX(Sensors_MANU!$E$2:$E$4692,MATCH($P948,Sensors_MANU!$A$2:$A$4692,0))),"")</f>
        <v/>
      </c>
      <c r="B948" s="24">
        <f>IFERROR(INDEX(Companies!$A$3:$A$101,MATCH(A948,Companies!$B$3:$B$101,0)),"")</f>
        <v/>
      </c>
      <c r="C948">
        <f>IFERROR(_xlfn.IFNA(INDEX(Sensors_MANU!$F$2:$F$4692,MATCH($D948,Sensors_MANU!$B$2:$B$4692,0)),INDEX(Sensors_MANU!$F$2:$F$4692,MATCH($P948,Sensors_MANU!$A$2:$A$4692,0))),"")</f>
        <v/>
      </c>
      <c r="D948" s="25" t="inlineStr">
        <is>
          <t>CB38BAC39122</t>
        </is>
      </c>
      <c r="E948" s="24">
        <f>LEFT(D948,2)&amp;":"&amp;MID(D948,3,2)&amp;":"&amp;MID(D948,5,2)&amp;":"&amp;MID(D948,7,2)&amp;":"&amp;MID(D948,9,2)&amp;":"&amp;RIGHT(D948,2)</f>
        <v/>
      </c>
      <c r="F948" s="29" t="n">
        <v>44754</v>
      </c>
      <c r="G948" s="29" t="inlineStr">
        <is>
          <t>Viezo</t>
        </is>
      </c>
      <c r="H948" t="inlineStr">
        <is>
          <t>20066518B4BE9A79</t>
        </is>
      </c>
      <c r="I948">
        <f>IFERROR(_xlfn.IFNA(INDEX(Sensors_MANU!$C$2:$C$4692,MATCH($D948,Sensors_MANU!$B$2:$B$4692,0)),INDEX(Sensors_MANU!$C$2:$C$4692,MATCH($P948,Sensors_MANU!$A$2:$A$4692,0))),"")</f>
        <v/>
      </c>
      <c r="J948">
        <f>IFERROR(_xlfn.IFNA(INDEX(Sensors_MANU!$D$2:$D$4692,MATCH($D948,Sensors_MANU!$B$2:$B$4692,0)),INDEX(Sensors_MANU!$D$2:$D$4692,MATCH($P948,Sensors_MANU!$A$2:$A$4692,0))),"")</f>
        <v/>
      </c>
      <c r="K948" s="27" t="inlineStr">
        <is>
          <t>31834789193-5</t>
        </is>
      </c>
      <c r="L948" s="27" t="inlineStr">
        <is>
          <t>4R</t>
        </is>
      </c>
      <c r="O948" s="6" t="inlineStr">
        <is>
          <t>V23</t>
        </is>
      </c>
    </row>
    <row r="949">
      <c r="A949" s="32">
        <f>IFERROR(_xlfn.IFNA(INDEX(Sensors_MANU!$E$2:$E$4692,MATCH($D949,Sensors_MANU!$B$2:$B$4692,0)),INDEX(Sensors_MANU!$E$2:$E$4692,MATCH($P949,Sensors_MANU!$A$2:$A$4692,0))),"")</f>
        <v/>
      </c>
      <c r="B949" s="24">
        <f>IFERROR(INDEX(Companies!$A$3:$A$101,MATCH(A949,Companies!$B$3:$B$101,0)),"")</f>
        <v/>
      </c>
      <c r="D949" t="inlineStr">
        <is>
          <t>DC6339D53C1B</t>
        </is>
      </c>
      <c r="E949">
        <f>LEFT(D949,2)&amp;":"&amp;MID(D949,3,2)&amp;":"&amp;MID(D949,5,2)&amp;":"&amp;MID(D949,7,2)&amp;":"&amp;MID(D949,9,2)&amp;":"&amp;RIGHT(D949,2)</f>
        <v/>
      </c>
      <c r="H949" t="inlineStr">
        <is>
          <t>8D01FCA7D5801151</t>
        </is>
      </c>
      <c r="I949">
        <f>IFERROR(_xlfn.IFNA(INDEX(Sensors_MANU!$C$2:$C$4692,MATCH($D949,Sensors_MANU!$B$2:$B$4692,0)),INDEX(Sensors_MANU!$C$2:$C$4692,MATCH($P949,Sensors_MANU!$A$2:$A$4692,0))),"")</f>
        <v/>
      </c>
      <c r="J949">
        <f>IFERROR(_xlfn.IFNA(INDEX(Sensors_MANU!$D$2:$D$4692,MATCH($D949,Sensors_MANU!$B$2:$B$4692,0)),INDEX(Sensors_MANU!$D$2:$D$4692,MATCH($P949,Sensors_MANU!$A$2:$A$4692,0))),"")</f>
        <v/>
      </c>
      <c r="K949" s="27" t="inlineStr">
        <is>
          <t>BP08</t>
        </is>
      </c>
      <c r="L949" s="27" t="inlineStr">
        <is>
          <t>1R</t>
        </is>
      </c>
    </row>
    <row r="950">
      <c r="A950" s="32">
        <f>IFERROR(_xlfn.IFNA(INDEX(Sensors_MANU!$E$2:$E$4692,MATCH($D950,Sensors_MANU!$B$2:$B$4692,0)),INDEX(Sensors_MANU!$E$2:$E$4692,MATCH($P950,Sensors_MANU!$A$2:$A$4692,0))),"")</f>
        <v/>
      </c>
      <c r="B950" s="24">
        <f>IFERROR(INDEX(Companies!$A$3:$A$101,MATCH(A950,Companies!$B$3:$B$101,0)),"")</f>
        <v/>
      </c>
      <c r="D950" t="inlineStr">
        <is>
          <t>E973D00C518B</t>
        </is>
      </c>
      <c r="E950">
        <f>LEFT(D950,2)&amp;":"&amp;MID(D950,3,2)&amp;":"&amp;MID(D950,5,2)&amp;":"&amp;MID(D950,7,2)&amp;":"&amp;MID(D950,9,2)&amp;":"&amp;RIGHT(D950,2)</f>
        <v/>
      </c>
      <c r="F950" s="29" t="n">
        <v>44953</v>
      </c>
      <c r="G950" s="29" t="inlineStr">
        <is>
          <t>Fertagus</t>
        </is>
      </c>
      <c r="H950" t="inlineStr">
        <is>
          <t>7AD7B8445D31E5B9</t>
        </is>
      </c>
      <c r="I950">
        <f>IFERROR(_xlfn.IFNA(INDEX(Sensors_MANU!$C$2:$C$4692,MATCH($D950,Sensors_MANU!$B$2:$B$4692,0)),INDEX(Sensors_MANU!$C$2:$C$4692,MATCH($P950,Sensors_MANU!$A$2:$A$4692,0))),"")</f>
        <v/>
      </c>
      <c r="J950">
        <f>IFERROR(_xlfn.IFNA(INDEX(Sensors_MANU!$D$2:$D$4692,MATCH($D950,Sensors_MANU!$B$2:$B$4692,0)),INDEX(Sensors_MANU!$D$2:$D$4692,MATCH($P950,Sensors_MANU!$A$2:$A$4692,0))),"")</f>
        <v/>
      </c>
      <c r="K950" s="27" t="inlineStr">
        <is>
          <t>R3555</t>
        </is>
      </c>
      <c r="L950" s="27" t="inlineStr">
        <is>
          <t>4L</t>
        </is>
      </c>
    </row>
    <row r="951">
      <c r="A951" s="32" t="inlineStr">
        <is>
          <t>RSA</t>
        </is>
      </c>
      <c r="B951" s="24">
        <f>IFERROR(INDEX(Companies!$A$3:$A$101,MATCH(A951,Companies!$B$3:$B$101,0)),"")</f>
        <v/>
      </c>
      <c r="C951">
        <f>IFERROR(_xlfn.IFNA(INDEX(Sensors_MANU!$F$2:$F$4692,MATCH($D951,Sensors_MANU!$B$2:$B$4692,0)),INDEX(Sensors_MANU!$F$2:$F$4692,MATCH($P951,Sensors_MANU!$A$2:$A$4692,0))),"")</f>
        <v/>
      </c>
      <c r="D951" t="inlineStr">
        <is>
          <t>F5B574551A89</t>
        </is>
      </c>
      <c r="E951">
        <f>LEFT(D951,2)&amp;":"&amp;MID(D951,3,2)&amp;":"&amp;MID(D951,5,2)&amp;":"&amp;MID(D951,7,2)&amp;":"&amp;MID(D951,9,2)&amp;":"&amp;RIGHT(D951,2)</f>
        <v/>
      </c>
      <c r="H951" t="inlineStr">
        <is>
          <t>02BB543184917AA3</t>
        </is>
      </c>
      <c r="J951" s="65" t="inlineStr">
        <is>
          <t>PR2206-399</t>
        </is>
      </c>
      <c r="M951" s="27" t="n"/>
      <c r="N951" s="99">
        <f>IFERROR(INDEX(Sensors_MANU!$G$2:$G$4692,MATCH($P951,Sensors_MANU!$A$2:$A$4692,0)),)</f>
        <v/>
      </c>
      <c r="O951" s="6" t="inlineStr">
        <is>
          <t>v16</t>
        </is>
      </c>
      <c r="P951" t="n">
        <v>4978874</v>
      </c>
    </row>
    <row r="952">
      <c r="A952" s="32">
        <f>IFERROR(_xlfn.IFNA(INDEX(Sensors_MANU!$E$2:$E$4692,MATCH($D952,Sensors_MANU!$B$2:$B$4692,0)),INDEX(Sensors_MANU!$E$2:$E$4692,MATCH($P952,Sensors_MANU!$A$2:$A$4692,0))),"")</f>
        <v/>
      </c>
      <c r="B952" s="24">
        <f>IFERROR(INDEX(Companies!$A$3:$A$101,MATCH(A952,Companies!$B$3:$B$101,0)),"")</f>
        <v/>
      </c>
      <c r="D952" t="inlineStr">
        <is>
          <t>D3B26480B027</t>
        </is>
      </c>
      <c r="E952">
        <f>LEFT(D952,2)&amp;":"&amp;MID(D952,3,2)&amp;":"&amp;MID(D952,5,2)&amp;":"&amp;MID(D952,7,2)&amp;":"&amp;MID(D952,9,2)&amp;":"&amp;RIGHT(D952,2)</f>
        <v/>
      </c>
      <c r="F952" s="29" t="n">
        <v>44953</v>
      </c>
      <c r="G952" s="29" t="inlineStr">
        <is>
          <t>Fertagus</t>
        </is>
      </c>
      <c r="H952" t="inlineStr">
        <is>
          <t>28AD19B0CD042E63</t>
        </is>
      </c>
      <c r="I952">
        <f>IFERROR(_xlfn.IFNA(INDEX(Sensors_MANU!$C$2:$C$4692,MATCH($D952,Sensors_MANU!$B$2:$B$4692,0)),INDEX(Sensors_MANU!$C$2:$C$4692,MATCH($P952,Sensors_MANU!$A$2:$A$4692,0))),"")</f>
        <v/>
      </c>
      <c r="J952">
        <f>IFERROR(_xlfn.IFNA(INDEX(Sensors_MANU!$D$2:$D$4692,MATCH($D952,Sensors_MANU!$B$2:$B$4692,0)),INDEX(Sensors_MANU!$D$2:$D$4692,MATCH($P952,Sensors_MANU!$A$2:$A$4692,0))),"")</f>
        <v/>
      </c>
      <c r="K952" s="27" t="inlineStr">
        <is>
          <t>R3555</t>
        </is>
      </c>
      <c r="L952" s="27" t="inlineStr">
        <is>
          <t>2R</t>
        </is>
      </c>
    </row>
    <row r="953">
      <c r="A953" s="32">
        <f>IFERROR(_xlfn.IFNA(INDEX(Sensors_MANU!$E$2:$E$4692,MATCH($D953,Sensors_MANU!$B$2:$B$4692,0)),INDEX(Sensors_MANU!$E$2:$E$4692,MATCH($P953,Sensors_MANU!$A$2:$A$4692,0))),"")</f>
        <v/>
      </c>
      <c r="B953" s="24">
        <f>IFERROR(INDEX(Companies!$A$3:$A$101,MATCH(A953,Companies!$B$3:$B$101,0)),"")</f>
        <v/>
      </c>
      <c r="C953">
        <f>IFERROR(_xlfn.IFNA(INDEX(Sensors_MANU!$F$2:$F$4692,MATCH($D953,Sensors_MANU!$B$2:$B$4692,0)),INDEX(Sensors_MANU!$F$2:$F$4692,MATCH($P953,Sensors_MANU!$A$2:$A$4692,0))),"")</f>
        <v/>
      </c>
      <c r="D953" t="inlineStr">
        <is>
          <t>F698E68D5FEC</t>
        </is>
      </c>
      <c r="E953" s="24">
        <f>LEFT(D953,2)&amp;":"&amp;MID(D953,3,2)&amp;":"&amp;MID(D953,5,2)&amp;":"&amp;MID(D953,7,2)&amp;":"&amp;MID(D953,9,2)&amp;":"&amp;RIGHT(D953,2)</f>
        <v/>
      </c>
      <c r="H953" t="inlineStr">
        <is>
          <t>569252DFF2FBDCE9</t>
        </is>
      </c>
      <c r="I953">
        <f>IFERROR(_xlfn.IFNA(INDEX(Sensors_MANU!$C$2:$C$4692,MATCH($D953,Sensors_MANU!$B$2:$B$4692,0)),INDEX(Sensors_MANU!$C$2:$C$4692,MATCH($P953,Sensors_MANU!$A$2:$A$4692,0))),"")</f>
        <v/>
      </c>
      <c r="J953">
        <f>IFERROR(_xlfn.IFNA(INDEX(Sensors_MANU!$D$2:$D$4692,MATCH($D953,Sensors_MANU!$B$2:$B$4692,0)),INDEX(Sensors_MANU!$D$2:$D$4692,MATCH($P953,Sensors_MANU!$A$2:$A$4692,0))),"")</f>
        <v/>
      </c>
      <c r="N953" s="99" t="inlineStr">
        <is>
          <t>The operator has the device or its lost (they paid for it), but we dont monitor it on Ubidots anymore.</t>
        </is>
      </c>
      <c r="O953" s="6" t="inlineStr">
        <is>
          <t>V25</t>
        </is>
      </c>
    </row>
    <row r="954">
      <c r="A954" s="32">
        <f>IFERROR(_xlfn.IFNA(INDEX(Sensors_MANU!$E$2:$E$4692,MATCH($D954,Sensors_MANU!$B$2:$B$4692,0)),INDEX(Sensors_MANU!$E$2:$E$4692,MATCH($P954,Sensors_MANU!$A$2:$A$4692,0))),"")</f>
        <v/>
      </c>
      <c r="B954" s="24">
        <f>IFERROR(INDEX(Companies!$A$3:$A$101,MATCH(A954,Companies!$B$3:$B$101,0)),"")</f>
        <v/>
      </c>
      <c r="C954">
        <f>IFERROR(_xlfn.IFNA(INDEX(Sensors_MANU!$F$2:$F$4692,MATCH($D954,Sensors_MANU!$B$2:$B$4692,0)),INDEX(Sensors_MANU!$F$2:$F$4692,MATCH($P954,Sensors_MANU!$A$2:$A$4692,0))),"")</f>
        <v/>
      </c>
      <c r="D954" t="inlineStr">
        <is>
          <t>C6802C05C2BD</t>
        </is>
      </c>
      <c r="E954">
        <f>LEFT(D954,2)&amp;":"&amp;MID(D954,3,2)&amp;":"&amp;MID(D954,5,2)&amp;":"&amp;MID(D954,7,2)&amp;":"&amp;MID(D954,9,2)&amp;":"&amp;RIGHT(D954,2)</f>
        <v/>
      </c>
      <c r="F954" s="29" t="n">
        <v>44880</v>
      </c>
      <c r="G954" s="29" t="inlineStr">
        <is>
          <t>Viezo</t>
        </is>
      </c>
      <c r="H954" t="inlineStr">
        <is>
          <t>9FA3CC533E905B9D</t>
        </is>
      </c>
      <c r="I954">
        <f>IFERROR(_xlfn.IFNA(INDEX(Sensors_MANU!$C$2:$C$4692,MATCH($D954,Sensors_MANU!$B$2:$B$4692,0)),INDEX(Sensors_MANU!$C$2:$C$4692,MATCH($P954,Sensors_MANU!$A$2:$A$4692,0))),"")</f>
        <v/>
      </c>
      <c r="J954">
        <f>IFERROR(_xlfn.IFNA(INDEX(Sensors_MANU!$D$2:$D$4692,MATCH($D954,Sensors_MANU!$B$2:$B$4692,0)),INDEX(Sensors_MANU!$D$2:$D$4692,MATCH($P954,Sensors_MANU!$A$2:$A$4692,0))),"")</f>
        <v/>
      </c>
      <c r="K954" s="27" t="inlineStr">
        <is>
          <t>83546985079-5</t>
        </is>
      </c>
      <c r="L954" s="27" t="inlineStr">
        <is>
          <t>4L</t>
        </is>
      </c>
      <c r="M954" s="27" t="n"/>
      <c r="N954" s="99">
        <f>IFERROR(INDEX(Sensors_MANU!$G$2:$G$4692,MATCH($P954,Sensors_MANU!$A$2:$A$4692,0)),)</f>
        <v/>
      </c>
      <c r="O954" s="6" t="inlineStr">
        <is>
          <t>v16</t>
        </is>
      </c>
      <c r="P954" t="n">
        <v>4978758</v>
      </c>
    </row>
    <row r="955">
      <c r="A955" s="32">
        <f>IFERROR(_xlfn.IFNA(INDEX(Sensors_MANU!$E$2:$E$4692,MATCH($D955,Sensors_MANU!$B$2:$B$4692,0)),INDEX(Sensors_MANU!$E$2:$E$4692,MATCH($P955,Sensors_MANU!$A$2:$A$4692,0))),"")</f>
        <v/>
      </c>
      <c r="B955" s="24">
        <f>IFERROR(INDEX(Companies!$A$3:$A$101,MATCH(A955,Companies!$B$3:$B$101,0)),"")</f>
        <v/>
      </c>
      <c r="C955">
        <f>IFERROR(_xlfn.IFNA(INDEX(Sensors_MANU!$F$2:$F$4692,MATCH($D955,Sensors_MANU!$B$2:$B$4692,0)),INDEX(Sensors_MANU!$F$2:$F$4692,MATCH($P955,Sensors_MANU!$A$2:$A$4692,0))),"")</f>
        <v/>
      </c>
      <c r="D955" t="inlineStr">
        <is>
          <t>D133889765AF</t>
        </is>
      </c>
      <c r="E955">
        <f>LEFT(D955,2)&amp;":"&amp;MID(D955,3,2)&amp;":"&amp;MID(D955,5,2)&amp;":"&amp;MID(D955,7,2)&amp;":"&amp;MID(D955,9,2)&amp;":"&amp;RIGHT(D955,2)</f>
        <v/>
      </c>
      <c r="F955" s="29" t="n">
        <v>44910</v>
      </c>
      <c r="G955" s="29" t="inlineStr">
        <is>
          <t>Viezo</t>
        </is>
      </c>
      <c r="H955" t="inlineStr">
        <is>
          <t>7EB80BA86518A9F3</t>
        </is>
      </c>
      <c r="I955">
        <f>IFERROR(_xlfn.IFNA(INDEX(Sensors_MANU!$C$2:$C$4692,MATCH($D955,Sensors_MANU!$B$2:$B$4692,0)),INDEX(Sensors_MANU!$C$2:$C$4692,MATCH($P955,Sensors_MANU!$A$2:$A$4692,0))),"")</f>
        <v/>
      </c>
      <c r="J955">
        <f>IFERROR(_xlfn.IFNA(INDEX(Sensors_MANU!$D$2:$D$4692,MATCH($D955,Sensors_MANU!$B$2:$B$4692,0)),INDEX(Sensors_MANU!$D$2:$D$4692,MATCH($P955,Sensors_MANU!$A$2:$A$4692,0))),"")</f>
        <v/>
      </c>
      <c r="K955" s="27" t="inlineStr">
        <is>
          <t>33854575320-8</t>
        </is>
      </c>
      <c r="L955" s="27" t="inlineStr">
        <is>
          <t>7a</t>
        </is>
      </c>
      <c r="M955" s="61" t="inlineStr">
        <is>
          <t>20012515</t>
        </is>
      </c>
      <c r="N955" s="99">
        <f>IFERROR(INDEX(Sensors_MANU!$G$2:$G$4692,MATCH($P955,Sensors_MANU!$A$2:$A$4692,0)),)</f>
        <v/>
      </c>
      <c r="O955" s="6" t="inlineStr">
        <is>
          <t>v17</t>
        </is>
      </c>
      <c r="P955" t="n">
        <v>4978764</v>
      </c>
    </row>
    <row r="956">
      <c r="A956" s="32">
        <f>IFERROR(_xlfn.IFNA(INDEX(Sensors_MANU!$E$2:$E$4692,MATCH($D956,Sensors_MANU!$B$2:$B$4692,0)),INDEX(Sensors_MANU!$E$2:$E$4692,MATCH($P956,Sensors_MANU!$A$2:$A$4692,0))),"")</f>
        <v/>
      </c>
      <c r="B956" s="24">
        <f>IFERROR(INDEX(Companies!$A$3:$A$101,MATCH(A956,Companies!$B$3:$B$101,0)),"")</f>
        <v/>
      </c>
      <c r="C956">
        <f>IFERROR(_xlfn.IFNA(INDEX(Sensors_MANU!$F$2:$F$4692,MATCH($D956,Sensors_MANU!$B$2:$B$4692,0)),INDEX(Sensors_MANU!$F$2:$F$4692,MATCH($P956,Sensors_MANU!$A$2:$A$4692,0))),"")</f>
        <v/>
      </c>
      <c r="D956" t="inlineStr">
        <is>
          <t>C4E0CA6C6EB3</t>
        </is>
      </c>
      <c r="E956">
        <f>LEFT(D956,2)&amp;":"&amp;MID(D956,3,2)&amp;":"&amp;MID(D956,5,2)&amp;":"&amp;MID(D956,7,2)&amp;":"&amp;MID(D956,9,2)&amp;":"&amp;RIGHT(D956,2)</f>
        <v/>
      </c>
      <c r="F956" s="29" t="n">
        <v>44918</v>
      </c>
      <c r="G956" s="29" t="inlineStr">
        <is>
          <t>Hupac</t>
        </is>
      </c>
      <c r="H956" t="inlineStr">
        <is>
          <t>3FF17B3C6E2D7A25</t>
        </is>
      </c>
      <c r="I956">
        <f>IFERROR(_xlfn.IFNA(INDEX(Sensors_MANU!$C$2:$C$4692,MATCH($D956,Sensors_MANU!$B$2:$B$4692,0)),INDEX(Sensors_MANU!$C$2:$C$4692,MATCH($P956,Sensors_MANU!$A$2:$A$4692,0))),"")</f>
        <v/>
      </c>
      <c r="J956">
        <f>IFERROR(_xlfn.IFNA(INDEX(Sensors_MANU!$D$2:$D$4692,MATCH($D956,Sensors_MANU!$B$2:$B$4692,0)),INDEX(Sensors_MANU!$D$2:$D$4692,MATCH($P956,Sensors_MANU!$A$2:$A$4692,0))),"")</f>
        <v/>
      </c>
      <c r="K956" s="27" t="inlineStr">
        <is>
          <t>33854956673-9</t>
        </is>
      </c>
      <c r="L956" s="27" t="inlineStr">
        <is>
          <t>7a</t>
        </is>
      </c>
      <c r="M956" s="61" t="inlineStr">
        <is>
          <t>88190146</t>
        </is>
      </c>
      <c r="N956" s="99">
        <f>IFERROR(INDEX(Sensors_MANU!$G$2:$G$4692,MATCH($P956,Sensors_MANU!$A$2:$A$4692,0)),)</f>
        <v/>
      </c>
      <c r="O956" s="6" t="inlineStr">
        <is>
          <t>v17</t>
        </is>
      </c>
      <c r="P956" t="n">
        <v>4978594</v>
      </c>
    </row>
    <row r="957">
      <c r="A957" s="32">
        <f>IFERROR(_xlfn.IFNA(INDEX(Sensors_MANU!$E$2:$E$4692,MATCH($D957,Sensors_MANU!$B$2:$B$4692,0)),INDEX(Sensors_MANU!$E$2:$E$4692,MATCH($P957,Sensors_MANU!$A$2:$A$4692,0))),"")</f>
        <v/>
      </c>
      <c r="B957" s="24">
        <f>IFERROR(INDEX(Companies!$A$3:$A$101,MATCH(A957,Companies!$B$3:$B$101,0)),"")</f>
        <v/>
      </c>
      <c r="C957">
        <f>IFERROR(_xlfn.IFNA(INDEX(Sensors_MANU!$F$2:$F$4692,MATCH($D957,Sensors_MANU!$B$2:$B$4692,0)),INDEX(Sensors_MANU!$F$2:$F$4692,MATCH($P957,Sensors_MANU!$A$2:$A$4692,0))),"")</f>
        <v/>
      </c>
      <c r="D957" t="inlineStr">
        <is>
          <t>C94FBEADE36F</t>
        </is>
      </c>
      <c r="E957" s="24">
        <f>LEFT(D957,2)&amp;":"&amp;MID(D957,3,2)&amp;":"&amp;MID(D957,5,2)&amp;":"&amp;MID(D957,7,2)&amp;":"&amp;MID(D957,9,2)&amp;":"&amp;RIGHT(D957,2)</f>
        <v/>
      </c>
      <c r="H957" t="inlineStr">
        <is>
          <t>F389F875177B66E2</t>
        </is>
      </c>
      <c r="I957">
        <f>IFERROR(_xlfn.IFNA(INDEX(Sensors_MANU!$C$2:$C$4692,MATCH($D957,Sensors_MANU!$B$2:$B$4692,0)),INDEX(Sensors_MANU!$C$2:$C$4692,MATCH($P957,Sensors_MANU!$A$2:$A$4692,0))),"")</f>
        <v/>
      </c>
      <c r="J957">
        <f>IFERROR(_xlfn.IFNA(INDEX(Sensors_MANU!$D$2:$D$4692,MATCH($D957,Sensors_MANU!$B$2:$B$4692,0)),INDEX(Sensors_MANU!$D$2:$D$4692,MATCH($P957,Sensors_MANU!$A$2:$A$4692,0))),"")</f>
        <v/>
      </c>
      <c r="N957" s="99" t="inlineStr">
        <is>
          <t>The operator has the device or its lost (they paid for it), but we dont monitor it on Ubidots anymore.</t>
        </is>
      </c>
      <c r="O957" s="6" t="inlineStr">
        <is>
          <t>V25</t>
        </is>
      </c>
    </row>
    <row r="958">
      <c r="A958" s="32">
        <f>IFERROR(_xlfn.IFNA(INDEX(Sensors_MANU!$E$2:$E$4692,MATCH($D958,Sensors_MANU!$B$2:$B$4692,0)),INDEX(Sensors_MANU!$E$2:$E$4692,MATCH($P958,Sensors_MANU!$A$2:$A$4692,0))),"")</f>
        <v/>
      </c>
      <c r="B958" s="24">
        <f>IFERROR(INDEX(Companies!$A$3:$A$101,MATCH(A958,Companies!$B$3:$B$101,0)),"")</f>
        <v/>
      </c>
      <c r="C958">
        <f>IFERROR(_xlfn.IFNA(INDEX(Sensors_MANU!$F$2:$F$4692,MATCH($D958,Sensors_MANU!$B$2:$B$4692,0)),INDEX(Sensors_MANU!$F$2:$F$4692,MATCH($P958,Sensors_MANU!$A$2:$A$4692,0))),"")</f>
        <v/>
      </c>
      <c r="D958" t="inlineStr">
        <is>
          <t>F2D4DF1905B0</t>
        </is>
      </c>
      <c r="E958" s="24">
        <f>LEFT(D958,2)&amp;":"&amp;MID(D958,3,2)&amp;":"&amp;MID(D958,5,2)&amp;":"&amp;MID(D958,7,2)&amp;":"&amp;MID(D958,9,2)&amp;":"&amp;RIGHT(D958,2)</f>
        <v/>
      </c>
      <c r="H958" t="inlineStr">
        <is>
          <t>7253E6EF0378CC94</t>
        </is>
      </c>
      <c r="I958">
        <f>IFERROR(_xlfn.IFNA(INDEX(Sensors_MANU!$C$2:$C$4692,MATCH($D958,Sensors_MANU!$B$2:$B$4692,0)),INDEX(Sensors_MANU!$C$2:$C$4692,MATCH($P958,Sensors_MANU!$A$2:$A$4692,0))),"")</f>
        <v/>
      </c>
      <c r="J958">
        <f>IFERROR(_xlfn.IFNA(INDEX(Sensors_MANU!$D$2:$D$4692,MATCH($D958,Sensors_MANU!$B$2:$B$4692,0)),INDEX(Sensors_MANU!$D$2:$D$4692,MATCH($P958,Sensors_MANU!$A$2:$A$4692,0))),"")</f>
        <v/>
      </c>
      <c r="N958" s="99" t="inlineStr">
        <is>
          <t>The operator has the device or its lost (they paid for it), but we dont monitor it on Ubidots anymore.</t>
        </is>
      </c>
      <c r="O958" s="6" t="inlineStr">
        <is>
          <t>V25</t>
        </is>
      </c>
    </row>
    <row r="959">
      <c r="A959" s="32" t="inlineStr">
        <is>
          <t>RSA</t>
        </is>
      </c>
      <c r="B959" s="24">
        <f>IFERROR(INDEX(Companies!$A$3:$A$101,MATCH(A959,Companies!$B$3:$B$101,0)),"")</f>
        <v/>
      </c>
      <c r="C959">
        <f>IFERROR(_xlfn.IFNA(INDEX(Sensors_MANU!$F$2:$F$4692,MATCH($D959,Sensors_MANU!$B$2:$B$4692,0)),INDEX(Sensors_MANU!$F$2:$F$4692,MATCH($P959,Sensors_MANU!$A$2:$A$4692,0))),"")</f>
        <v/>
      </c>
      <c r="D959" t="inlineStr">
        <is>
          <t>D09E3F696A40</t>
        </is>
      </c>
      <c r="E959">
        <f>LEFT(D959,2)&amp;":"&amp;MID(D959,3,2)&amp;":"&amp;MID(D959,5,2)&amp;":"&amp;MID(D959,7,2)&amp;":"&amp;MID(D959,9,2)&amp;":"&amp;RIGHT(D959,2)</f>
        <v/>
      </c>
      <c r="H959" t="inlineStr">
        <is>
          <t>E11478A8512766C1</t>
        </is>
      </c>
      <c r="I959">
        <f>IFERROR(_xlfn.IFNA(INDEX(Sensors_MANU!$C$2:$C$4692,MATCH($D959,Sensors_MANU!$B$2:$B$4692,0)),INDEX(Sensors_MANU!$C$2:$C$4692,MATCH($P959,Sensors_MANU!$A$2:$A$4692,0))),"")</f>
        <v/>
      </c>
      <c r="J959" s="65" t="inlineStr">
        <is>
          <t>PR2206-409</t>
        </is>
      </c>
      <c r="M959" s="27" t="n"/>
      <c r="N959" s="99">
        <f>IFERROR(INDEX(Sensors_MANU!$G$2:$G$4692,MATCH($P959,Sensors_MANU!$A$2:$A$4692,0)),)</f>
        <v/>
      </c>
      <c r="O959" s="6" t="inlineStr">
        <is>
          <t>v16</t>
        </is>
      </c>
      <c r="P959" t="n">
        <v>4978447</v>
      </c>
    </row>
    <row r="960">
      <c r="A960" s="32">
        <f>IFERROR(_xlfn.IFNA(INDEX(Sensors_MANU!$E$2:$E$4692,MATCH($D960,Sensors_MANU!$B$2:$B$4692,0)),INDEX(Sensors_MANU!$E$2:$E$4692,MATCH($P960,Sensors_MANU!$A$2:$A$4692,0))),"")</f>
        <v/>
      </c>
      <c r="B960" s="24">
        <f>IFERROR(INDEX(Companies!$A$3:$A$101,MATCH(A960,Companies!$B$3:$B$101,0)),"")</f>
        <v/>
      </c>
      <c r="C960">
        <f>IFERROR(_xlfn.IFNA(INDEX(Sensors_MANU!$F$2:$F$4692,MATCH($D960,Sensors_MANU!$B$2:$B$4692,0)),INDEX(Sensors_MANU!$F$2:$F$4692,MATCH($P960,Sensors_MANU!$A$2:$A$4692,0))),"")</f>
        <v/>
      </c>
      <c r="D960" t="inlineStr">
        <is>
          <t>D425B041B793</t>
        </is>
      </c>
      <c r="E960">
        <f>LEFT(D960,2)&amp;":"&amp;MID(D960,3,2)&amp;":"&amp;MID(D960,5,2)&amp;":"&amp;MID(D960,7,2)&amp;":"&amp;MID(D960,9,2)&amp;":"&amp;RIGHT(D960,2)</f>
        <v/>
      </c>
      <c r="F960" s="29" t="n">
        <v>44938</v>
      </c>
      <c r="G960" s="29" t="inlineStr">
        <is>
          <t>Ambrogio</t>
        </is>
      </c>
      <c r="H960" t="inlineStr">
        <is>
          <t>09DAFEA54D1D0843</t>
        </is>
      </c>
      <c r="I960">
        <f>IFERROR(_xlfn.IFNA(INDEX(Sensors_MANU!$C$2:$C$4692,MATCH($D960,Sensors_MANU!$B$2:$B$4692,0)),INDEX(Sensors_MANU!$C$2:$C$4692,MATCH($P960,Sensors_MANU!$A$2:$A$4692,0))),"")</f>
        <v/>
      </c>
      <c r="J960" s="64">
        <f>IFERROR(_xlfn.IFNA(INDEX(Sensors_MANU!$D$2:$D$4692,MATCH($D960,Sensors_MANU!$B$2:$B$4692,0)),INDEX(Sensors_MANU!$D$2:$D$4692,MATCH($P960,Sensors_MANU!$A$2:$A$4692,0))),"")</f>
        <v/>
      </c>
      <c r="K960" s="27" t="inlineStr">
        <is>
          <t>33-83-495-4-940-6</t>
        </is>
      </c>
      <c r="L960" s="27" t="inlineStr">
        <is>
          <t>4R</t>
        </is>
      </c>
      <c r="M960" s="27" t="n"/>
      <c r="N960" s="99" t="inlineStr">
        <is>
          <t>duplicate pcb_sn</t>
        </is>
      </c>
      <c r="O960" s="6" t="inlineStr">
        <is>
          <t>v16</t>
        </is>
      </c>
      <c r="P960" t="n">
        <v>4978637</v>
      </c>
    </row>
    <row r="961">
      <c r="A961" s="32">
        <f>IFERROR(_xlfn.IFNA(INDEX(Sensors_MANU!$E$2:$E$4692,MATCH($D961,Sensors_MANU!$B$2:$B$4692,0)),INDEX(Sensors_MANU!$E$2:$E$4692,MATCH($P961,Sensors_MANU!$A$2:$A$4692,0))),"")</f>
        <v/>
      </c>
      <c r="B961" s="24">
        <f>IFERROR(INDEX(Companies!$A$3:$A$101,MATCH(A961,Companies!$B$3:$B$101,0)),"")</f>
        <v/>
      </c>
      <c r="D961" t="inlineStr">
        <is>
          <t>C3D3A10A9E9B</t>
        </is>
      </c>
      <c r="E961" s="7">
        <f>LEFT(D961,2)&amp;":"&amp;MID(D961,3,2)&amp;":"&amp;MID(D961,5,2)&amp;":"&amp;MID(D961,7,2)&amp;":"&amp;MID(D961,9,2)&amp;":"&amp;RIGHT(D961,2)</f>
        <v/>
      </c>
      <c r="H961" t="inlineStr">
        <is>
          <t>2909D378F5C81192</t>
        </is>
      </c>
      <c r="I961">
        <f>IFERROR(_xlfn.IFNA(INDEX(Sensors_MANU!$C$2:$C$4692,MATCH($D961,Sensors_MANU!$B$2:$B$4692,0)),INDEX(Sensors_MANU!$C$2:$C$4692,MATCH($P961,Sensors_MANU!$A$2:$A$4692,0))),"")</f>
        <v/>
      </c>
      <c r="J961">
        <f>IFERROR(_xlfn.IFNA(INDEX(Sensors_MANU!$D$2:$D$4692,MATCH($D961,Sensors_MANU!$B$2:$B$4692,0)),INDEX(Sensors_MANU!$D$2:$D$4692,MATCH($P961,Sensors_MANU!$A$2:$A$4692,0))),"")</f>
        <v/>
      </c>
      <c r="K961" s="27" t="inlineStr">
        <is>
          <t>BP08</t>
        </is>
      </c>
      <c r="L961" s="27" t="inlineStr">
        <is>
          <t>4R</t>
        </is>
      </c>
      <c r="N961" s="99" t="inlineStr">
        <is>
          <t>ner ubidotse</t>
        </is>
      </c>
    </row>
    <row r="962">
      <c r="A962" s="32" t="inlineStr">
        <is>
          <t>RSA</t>
        </is>
      </c>
      <c r="B962" s="24">
        <f>IFERROR(INDEX(Companies!$A$3:$A$101,MATCH(A962,Companies!$B$3:$B$101,0)),"")</f>
        <v/>
      </c>
      <c r="C962">
        <f>IFERROR(_xlfn.IFNA(INDEX(Sensors_MANU!$F$2:$F$4692,MATCH($D962,Sensors_MANU!$B$2:$B$4692,0)),INDEX(Sensors_MANU!$F$2:$F$4692,MATCH($P962,Sensors_MANU!$A$2:$A$4692,0))),"")</f>
        <v/>
      </c>
      <c r="D962" t="inlineStr">
        <is>
          <t>FFA233EDBD90</t>
        </is>
      </c>
      <c r="E962" s="24">
        <f>LEFT(D962,2)&amp;":"&amp;MID(D962,3,2)&amp;":"&amp;MID(D962,5,2)&amp;":"&amp;MID(D962,7,2)&amp;":"&amp;MID(D962,9,2)&amp;":"&amp;RIGHT(D962,2)</f>
        <v/>
      </c>
      <c r="H962" t="inlineStr">
        <is>
          <t>7068B532BBF7E392</t>
        </is>
      </c>
      <c r="I962">
        <f>IFERROR(_xlfn.IFNA(INDEX(Sensors_MANU!$C$2:$C$4692,MATCH($D962,Sensors_MANU!$B$2:$B$4692,0)),INDEX(Sensors_MANU!$C$2:$C$4692,MATCH($P962,Sensors_MANU!$A$2:$A$4692,0))),"")</f>
        <v/>
      </c>
      <c r="J962" s="65" t="inlineStr">
        <is>
          <t>PR2206-413</t>
        </is>
      </c>
      <c r="O962" s="6" t="inlineStr">
        <is>
          <t>V25</t>
        </is>
      </c>
    </row>
    <row r="963">
      <c r="A963" s="32">
        <f>IFERROR(_xlfn.IFNA(INDEX(Sensors_MANU!$E$2:$E$4692,MATCH($D963,Sensors_MANU!$B$2:$B$4692,0)),INDEX(Sensors_MANU!$E$2:$E$4692,MATCH($P963,Sensors_MANU!$A$2:$A$4692,0))),"")</f>
        <v/>
      </c>
      <c r="B963" s="24">
        <f>IFERROR(INDEX(Companies!$A$3:$A$101,MATCH(A963,Companies!$B$3:$B$101,0)),"")</f>
        <v/>
      </c>
      <c r="C963" t="inlineStr">
        <is>
          <t>cargo</t>
        </is>
      </c>
      <c r="D963" t="inlineStr">
        <is>
          <t>C9428294550F</t>
        </is>
      </c>
      <c r="E963">
        <f>LEFT(D963,2)&amp;":"&amp;MID(D963,3,2)&amp;":"&amp;MID(D963,5,2)&amp;":"&amp;MID(D963,7,2)&amp;":"&amp;MID(D963,9,2)&amp;":"&amp;RIGHT(D963,2)</f>
        <v/>
      </c>
      <c r="F963" s="29" t="n">
        <v>44910</v>
      </c>
      <c r="G963" s="29" t="inlineStr">
        <is>
          <t>Viezo</t>
        </is>
      </c>
      <c r="H963" t="inlineStr">
        <is>
          <t>1DDC7A9FC0584F0C</t>
        </is>
      </c>
      <c r="I963">
        <f>IFERROR(_xlfn.IFNA(INDEX(Sensors_MANU!$C$2:$C$4692,MATCH($D963,Sensors_MANU!$B$2:$B$4692,0)),INDEX(Sensors_MANU!$C$2:$C$4692,MATCH($P963,Sensors_MANU!$A$2:$A$4692,0))),"")</f>
        <v/>
      </c>
      <c r="J963">
        <f>IFERROR(_xlfn.IFNA(INDEX(Sensors_MANU!$D$2:$D$4692,MATCH($D963,Sensors_MANU!$B$2:$B$4692,0)),INDEX(Sensors_MANU!$D$2:$D$4692,MATCH($P963,Sensors_MANU!$A$2:$A$4692,0))),"")</f>
        <v/>
      </c>
      <c r="K963" s="27" t="inlineStr">
        <is>
          <t>33854575320-8</t>
        </is>
      </c>
      <c r="L963" s="27" t="inlineStr">
        <is>
          <t>5a</t>
        </is>
      </c>
      <c r="M963" s="27" t="n">
        <v>20011175</v>
      </c>
      <c r="N963" s="99" t="inlineStr">
        <is>
          <t>never appeared</t>
        </is>
      </c>
      <c r="O963" s="6" t="inlineStr">
        <is>
          <t>v15</t>
        </is>
      </c>
      <c r="P963" t="n">
        <v>4978550</v>
      </c>
    </row>
    <row r="964">
      <c r="A964" s="32">
        <f>IFERROR(_xlfn.IFNA(INDEX(Sensors_MANU!$E$2:$E$4692,MATCH($D964,Sensors_MANU!$B$2:$B$4692,0)),INDEX(Sensors_MANU!$E$2:$E$4692,MATCH($P964,Sensors_MANU!$A$2:$A$4692,0))),"")</f>
        <v/>
      </c>
      <c r="B964" s="24">
        <f>IFERROR(INDEX(Companies!$A$3:$A$101,MATCH(A964,Companies!$B$3:$B$101,0)),"")</f>
        <v/>
      </c>
      <c r="D964" t="inlineStr">
        <is>
          <t>DAC47CDDC874</t>
        </is>
      </c>
      <c r="E964">
        <f>LEFT(D964,2)&amp;":"&amp;MID(D964,3,2)&amp;":"&amp;MID(D964,5,2)&amp;":"&amp;MID(D964,7,2)&amp;":"&amp;MID(D964,9,2)&amp;":"&amp;RIGHT(D964,2)</f>
        <v/>
      </c>
      <c r="F964" s="29" t="n">
        <v>44953</v>
      </c>
      <c r="G964" s="29" t="inlineStr">
        <is>
          <t>Fertagus</t>
        </is>
      </c>
      <c r="H964" t="inlineStr">
        <is>
          <t>CC55E30961455B42</t>
        </is>
      </c>
      <c r="I964">
        <f>IFERROR(_xlfn.IFNA(INDEX(Sensors_MANU!$C$2:$C$4692,MATCH($D964,Sensors_MANU!$B$2:$B$4692,0)),INDEX(Sensors_MANU!$C$2:$C$4692,MATCH($P964,Sensors_MANU!$A$2:$A$4692,0))),"")</f>
        <v/>
      </c>
      <c r="J964">
        <f>IFERROR(_xlfn.IFNA(INDEX(Sensors_MANU!$D$2:$D$4692,MATCH($D964,Sensors_MANU!$B$2:$B$4692,0)),INDEX(Sensors_MANU!$D$2:$D$4692,MATCH($P964,Sensors_MANU!$A$2:$A$4692,0))),"")</f>
        <v/>
      </c>
      <c r="K964" s="27" t="inlineStr">
        <is>
          <t>M3505</t>
        </is>
      </c>
      <c r="L964" s="27" t="inlineStr">
        <is>
          <t>4L</t>
        </is>
      </c>
    </row>
    <row r="965">
      <c r="A965" s="32">
        <f>IFERROR(_xlfn.IFNA(INDEX(Sensors_MANU!$E$2:$E$4692,MATCH($D965,Sensors_MANU!$B$2:$B$4692,0)),INDEX(Sensors_MANU!$E$2:$E$4692,MATCH($P965,Sensors_MANU!$A$2:$A$4692,0))),"")</f>
        <v/>
      </c>
      <c r="B965" s="24">
        <f>IFERROR(INDEX(Companies!$A$3:$A$101,MATCH(A965,Companies!$B$3:$B$101,0)),"")</f>
        <v/>
      </c>
      <c r="C965">
        <f>IFERROR(_xlfn.IFNA(INDEX(Sensors_MANU!$F$2:$F$4692,MATCH($D965,Sensors_MANU!$B$2:$B$4692,0)),INDEX(Sensors_MANU!$F$2:$F$4692,MATCH($P965,Sensors_MANU!$A$2:$A$4692,0))),"")</f>
        <v/>
      </c>
      <c r="D965" t="inlineStr">
        <is>
          <t>D66724A61644</t>
        </is>
      </c>
      <c r="E965">
        <f>LEFT(D965,2)&amp;":"&amp;MID(D965,3,2)&amp;":"&amp;MID(D965,5,2)&amp;":"&amp;MID(D965,7,2)&amp;":"&amp;MID(D965,9,2)&amp;":"&amp;RIGHT(D965,2)</f>
        <v/>
      </c>
      <c r="F965" s="29" t="n">
        <v>44918</v>
      </c>
      <c r="G965" s="29" t="inlineStr">
        <is>
          <t>Hupac</t>
        </is>
      </c>
      <c r="H965" t="inlineStr">
        <is>
          <t>43CDF0D32A80BCCF</t>
        </is>
      </c>
      <c r="I965">
        <f>IFERROR(_xlfn.IFNA(INDEX(Sensors_MANU!$C$2:$C$4692,MATCH($D965,Sensors_MANU!$B$2:$B$4692,0)),INDEX(Sensors_MANU!$C$2:$C$4692,MATCH($P965,Sensors_MANU!$A$2:$A$4692,0))),"")</f>
        <v/>
      </c>
      <c r="J965">
        <f>IFERROR(_xlfn.IFNA(INDEX(Sensors_MANU!$D$2:$D$4692,MATCH($D965,Sensors_MANU!$B$2:$B$4692,0)),INDEX(Sensors_MANU!$D$2:$D$4692,MATCH($P965,Sensors_MANU!$A$2:$A$4692,0))),"")</f>
        <v/>
      </c>
      <c r="K965" s="27" t="inlineStr">
        <is>
          <t>33854956673-9</t>
        </is>
      </c>
      <c r="L965" s="27" t="inlineStr">
        <is>
          <t>12b</t>
        </is>
      </c>
      <c r="M965" s="27" t="n">
        <v>88150239</v>
      </c>
      <c r="N965" s="99">
        <f>IFERROR(INDEX(Sensors_MANU!$G$2:$G$4692,MATCH($P965,Sensors_MANU!$A$2:$A$4692,0)),)</f>
        <v/>
      </c>
      <c r="O965" s="6" t="inlineStr">
        <is>
          <t>v16</t>
        </is>
      </c>
      <c r="P965" t="n">
        <v>4978665</v>
      </c>
    </row>
    <row r="966">
      <c r="A966" s="32">
        <f>IFERROR(_xlfn.IFNA(INDEX(Sensors_MANU!$E$2:$E$4692,MATCH($D966,Sensors_MANU!$B$2:$B$4692,0)),INDEX(Sensors_MANU!$E$2:$E$4692,MATCH($P966,Sensors_MANU!$A$2:$A$4692,0))),"")</f>
        <v/>
      </c>
      <c r="B966" s="24">
        <f>IFERROR(INDEX(Companies!$A$3:$A$101,MATCH(A966,Companies!$B$3:$B$101,0)),"")</f>
        <v/>
      </c>
      <c r="D966" t="inlineStr">
        <is>
          <t>EEBDD52BEEEE</t>
        </is>
      </c>
      <c r="E966">
        <f>LEFT(D966,2)&amp;":"&amp;MID(D966,3,2)&amp;":"&amp;MID(D966,5,2)&amp;":"&amp;MID(D966,7,2)&amp;":"&amp;MID(D966,9,2)&amp;":"&amp;RIGHT(D966,2)</f>
        <v/>
      </c>
      <c r="F966" s="29" t="n">
        <v>44953</v>
      </c>
      <c r="G966" s="29" t="inlineStr">
        <is>
          <t>Fertagus</t>
        </is>
      </c>
      <c r="H966" t="inlineStr">
        <is>
          <t>F20F4BAD64164DF6</t>
        </is>
      </c>
      <c r="I966">
        <f>IFERROR(_xlfn.IFNA(INDEX(Sensors_MANU!$C$2:$C$4692,MATCH($D966,Sensors_MANU!$B$2:$B$4692,0)),INDEX(Sensors_MANU!$C$2:$C$4692,MATCH($P966,Sensors_MANU!$A$2:$A$4692,0))),"")</f>
        <v/>
      </c>
      <c r="J966">
        <f>IFERROR(_xlfn.IFNA(INDEX(Sensors_MANU!$D$2:$D$4692,MATCH($D966,Sensors_MANU!$B$2:$B$4692,0)),INDEX(Sensors_MANU!$D$2:$D$4692,MATCH($P966,Sensors_MANU!$A$2:$A$4692,0))),"")</f>
        <v/>
      </c>
      <c r="K966" s="27" t="inlineStr">
        <is>
          <t>R3555</t>
        </is>
      </c>
      <c r="L966" s="27" t="inlineStr">
        <is>
          <t>2L</t>
        </is>
      </c>
    </row>
    <row r="967">
      <c r="A967" s="32">
        <f>IFERROR(_xlfn.IFNA(INDEX(Sensors_MANU!$E$2:$E$4692,MATCH($D967,Sensors_MANU!$B$2:$B$4692,0)),INDEX(Sensors_MANU!$E$2:$E$4692,MATCH($P967,Sensors_MANU!$A$2:$A$4692,0))),"")</f>
        <v/>
      </c>
      <c r="B967" s="24">
        <f>IFERROR(INDEX(Companies!$A$3:$A$101,MATCH(A967,Companies!$B$3:$B$101,0)),"")</f>
        <v/>
      </c>
      <c r="C967">
        <f>IFERROR(_xlfn.IFNA(INDEX(Sensors_MANU!$F$2:$F$4692,MATCH($D967,Sensors_MANU!$B$2:$B$4692,0)),INDEX(Sensors_MANU!$F$2:$F$4692,MATCH($P967,Sensors_MANU!$A$2:$A$4692,0))),"")</f>
        <v/>
      </c>
      <c r="D967" t="inlineStr">
        <is>
          <t>E144CBC2D0F5</t>
        </is>
      </c>
      <c r="E967">
        <f>LEFT(D967,2)&amp;":"&amp;MID(D967,3,2)&amp;":"&amp;MID(D967,5,2)&amp;":"&amp;MID(D967,7,2)&amp;":"&amp;MID(D967,9,2)&amp;":"&amp;RIGHT(D967,2)</f>
        <v/>
      </c>
      <c r="F967" s="29" t="n">
        <v>44918</v>
      </c>
      <c r="G967" s="29" t="inlineStr">
        <is>
          <t>Hupac</t>
        </is>
      </c>
      <c r="H967" t="inlineStr">
        <is>
          <t>E4F8EC7BBBE5362A</t>
        </is>
      </c>
      <c r="I967">
        <f>IFERROR(_xlfn.IFNA(INDEX(Sensors_MANU!$C$2:$C$4692,MATCH($D967,Sensors_MANU!$B$2:$B$4692,0)),INDEX(Sensors_MANU!$C$2:$C$4692,MATCH($P967,Sensors_MANU!$A$2:$A$4692,0))),"")</f>
        <v/>
      </c>
      <c r="J967">
        <f>IFERROR(_xlfn.IFNA(INDEX(Sensors_MANU!$D$2:$D$4692,MATCH($D967,Sensors_MANU!$B$2:$B$4692,0)),INDEX(Sensors_MANU!$D$2:$D$4692,MATCH($P967,Sensors_MANU!$A$2:$A$4692,0))),"")</f>
        <v/>
      </c>
      <c r="K967" s="27" t="inlineStr">
        <is>
          <t>33854956673-9</t>
        </is>
      </c>
      <c r="L967" s="27" t="inlineStr">
        <is>
          <t>2b</t>
        </is>
      </c>
      <c r="M967" s="27" t="n">
        <v>88150291</v>
      </c>
      <c r="N967" s="99">
        <f>IFERROR(INDEX(Sensors_MANU!$G$2:$G$4692,MATCH($P967,Sensors_MANU!$A$2:$A$4692,0)),)</f>
        <v/>
      </c>
      <c r="O967" s="6" t="inlineStr">
        <is>
          <t>v16</t>
        </is>
      </c>
      <c r="P967" t="n">
        <v>4978860</v>
      </c>
    </row>
    <row r="968">
      <c r="A968" s="32">
        <f>IFERROR(_xlfn.IFNA(INDEX(Sensors_MANU!$E$2:$E$4692,MATCH($D968,Sensors_MANU!$B$2:$B$4692,0)),INDEX(Sensors_MANU!$E$2:$E$4692,MATCH($P968,Sensors_MANU!$A$2:$A$4692,0))),"")</f>
        <v/>
      </c>
      <c r="B968" s="24">
        <f>IFERROR(INDEX(Companies!$A$3:$A$101,MATCH(A968,Companies!$B$3:$B$101,0)),"")</f>
        <v/>
      </c>
      <c r="C968">
        <f>IFERROR(_xlfn.IFNA(INDEX(Sensors_MANU!$F$2:$F$4692,MATCH($D968,Sensors_MANU!$B$2:$B$4692,0)),INDEX(Sensors_MANU!$F$2:$F$4692,MATCH($P968,Sensors_MANU!$A$2:$A$4692,0))),"")</f>
        <v/>
      </c>
      <c r="D968" t="inlineStr">
        <is>
          <t>FF0120D944AD</t>
        </is>
      </c>
      <c r="E968" s="24">
        <f>LEFT(D968,2)&amp;":"&amp;MID(D968,3,2)&amp;":"&amp;MID(D968,5,2)&amp;":"&amp;MID(D968,7,2)&amp;":"&amp;MID(D968,9,2)&amp;":"&amp;RIGHT(D968,2)</f>
        <v/>
      </c>
      <c r="F968" s="29" t="inlineStr">
        <is>
          <t>2023 02 07</t>
        </is>
      </c>
      <c r="G968" s="29" t="inlineStr">
        <is>
          <t>Renfe</t>
        </is>
      </c>
      <c r="H968" t="inlineStr">
        <is>
          <t>028416B3FBB117FC</t>
        </is>
      </c>
      <c r="I968">
        <f>IFERROR(_xlfn.IFNA(INDEX(Sensors_MANU!$C$2:$C$4692,MATCH($D968,Sensors_MANU!$B$2:$B$4692,0)),INDEX(Sensors_MANU!$C$2:$C$4692,MATCH($P968,Sensors_MANU!$A$2:$A$4692,0))),"")</f>
        <v/>
      </c>
      <c r="J968" s="25">
        <f>IFERROR(_xlfn.IFNA(INDEX(Sensors_MANU!$D$2:$D$4692,MATCH($D968,Sensors_MANU!$B$2:$B$4692,0)),INDEX(Sensors_MANU!$D$2:$D$4692,MATCH($P968,Sensors_MANU!$A$2:$A$4692,0))),"")</f>
        <v/>
      </c>
      <c r="N968" s="99" t="inlineStr">
        <is>
          <t>LOST on 2023 04 15</t>
        </is>
      </c>
      <c r="O968" s="6" t="inlineStr">
        <is>
          <t>v17</t>
        </is>
      </c>
      <c r="P968" t="n">
        <v>4978636</v>
      </c>
    </row>
    <row r="969">
      <c r="A969" s="32">
        <f>IFERROR(_xlfn.IFNA(INDEX(Sensors_MANU!$E$2:$E$4692,MATCH($D969,Sensors_MANU!$B$2:$B$4692,0)),INDEX(Sensors_MANU!$E$2:$E$4692,MATCH($P969,Sensors_MANU!$A$2:$A$4692,0))),"")</f>
        <v/>
      </c>
      <c r="B969" s="24">
        <f>IFERROR(INDEX(Companies!$A$3:$A$101,MATCH(A969,Companies!$B$3:$B$101,0)),"")</f>
        <v/>
      </c>
      <c r="C969">
        <f>IFERROR(_xlfn.IFNA(INDEX(Sensors_MANU!$F$2:$F$4692,MATCH($D969,Sensors_MANU!$B$2:$B$4692,0)),INDEX(Sensors_MANU!$F$2:$F$4692,MATCH($P969,Sensors_MANU!$A$2:$A$4692,0))),"")</f>
        <v/>
      </c>
      <c r="D969" t="inlineStr">
        <is>
          <t>E328AD62C681</t>
        </is>
      </c>
      <c r="E969">
        <f>LEFT(D969,2)&amp;":"&amp;MID(D969,3,2)&amp;":"&amp;MID(D969,5,2)&amp;":"&amp;MID(D969,7,2)&amp;":"&amp;MID(D969,9,2)&amp;":"&amp;RIGHT(D969,2)</f>
        <v/>
      </c>
      <c r="F969" s="29" t="n">
        <v>44910</v>
      </c>
      <c r="G969" s="29" t="inlineStr">
        <is>
          <t>Viezo</t>
        </is>
      </c>
      <c r="H969" t="inlineStr">
        <is>
          <t>668764323067132A</t>
        </is>
      </c>
      <c r="I969">
        <f>IFERROR(_xlfn.IFNA(INDEX(Sensors_MANU!$C$2:$C$4692,MATCH($D969,Sensors_MANU!$B$2:$B$4692,0)),INDEX(Sensors_MANU!$C$2:$C$4692,MATCH($P969,Sensors_MANU!$A$2:$A$4692,0))),"")</f>
        <v/>
      </c>
      <c r="J969">
        <f>IFERROR(_xlfn.IFNA(INDEX(Sensors_MANU!$D$2:$D$4692,MATCH($D969,Sensors_MANU!$B$2:$B$4692,0)),INDEX(Sensors_MANU!$D$2:$D$4692,MATCH($P969,Sensors_MANU!$A$2:$A$4692,0))),"")</f>
        <v/>
      </c>
      <c r="K969" s="27" t="inlineStr">
        <is>
          <t>31833916514-0</t>
        </is>
      </c>
      <c r="L969" s="27" t="inlineStr">
        <is>
          <t>4L</t>
        </is>
      </c>
      <c r="M969" s="27" t="n"/>
      <c r="N969" s="99">
        <f>IFERROR(INDEX(Sensors_MANU!$G$2:$G$4692,MATCH($P969,Sensors_MANU!$A$2:$A$4692,0)),)</f>
        <v/>
      </c>
      <c r="O969" s="6" t="inlineStr">
        <is>
          <t>v16</t>
        </is>
      </c>
      <c r="P969" t="n">
        <v>4978772</v>
      </c>
    </row>
    <row r="970">
      <c r="A970" s="32">
        <f>IFERROR(_xlfn.IFNA(INDEX(Sensors_MANU!$E$2:$E$4692,MATCH($D970,Sensors_MANU!$B$2:$B$4692,0)),INDEX(Sensors_MANU!$E$2:$E$4692,MATCH($P970,Sensors_MANU!$A$2:$A$4692,0))),"")</f>
        <v/>
      </c>
      <c r="B970" s="24">
        <f>IFERROR(INDEX(Companies!$A$3:$A$101,MATCH(A970,Companies!$B$3:$B$101,0)),"")</f>
        <v/>
      </c>
      <c r="D970" t="inlineStr">
        <is>
          <t>D1439C4D1272</t>
        </is>
      </c>
      <c r="E970">
        <f>LEFT(D970,2)&amp;":"&amp;MID(D970,3,2)&amp;":"&amp;MID(D970,5,2)&amp;":"&amp;MID(D970,7,2)&amp;":"&amp;MID(D970,9,2)&amp;":"&amp;RIGHT(D970,2)</f>
        <v/>
      </c>
      <c r="I970">
        <f>IFERROR(_xlfn.IFNA(INDEX(Sensors_MANU!$C$2:$C$4692,MATCH($D970,Sensors_MANU!$B$2:$B$4692,0)),INDEX(Sensors_MANU!$C$2:$C$4692,MATCH($P970,Sensors_MANU!$A$2:$A$4692,0))),"")</f>
        <v/>
      </c>
      <c r="J970">
        <f>IFERROR(_xlfn.IFNA(INDEX(Sensors_MANU!$D$2:$D$4692,MATCH($D970,Sensors_MANU!$B$2:$B$4692,0)),INDEX(Sensors_MANU!$D$2:$D$4692,MATCH($P970,Sensors_MANU!$A$2:$A$4692,0))),"")</f>
        <v/>
      </c>
      <c r="K970" s="27" t="inlineStr">
        <is>
          <t>33854575320-8</t>
        </is>
      </c>
      <c r="L970" s="27" t="inlineStr">
        <is>
          <t>8b</t>
        </is>
      </c>
      <c r="M970" s="61" t="inlineStr">
        <is>
          <t>20012515</t>
        </is>
      </c>
    </row>
    <row r="971">
      <c r="A971" s="32">
        <f>IFERROR(_xlfn.IFNA(INDEX(Sensors_MANU!$E$2:$E$4692,MATCH($D971,Sensors_MANU!$B$2:$B$4692,0)),INDEX(Sensors_MANU!$E$2:$E$4692,MATCH($P971,Sensors_MANU!$A$2:$A$4692,0))),"")</f>
        <v/>
      </c>
      <c r="B971" s="24">
        <f>IFERROR(INDEX(Companies!$A$3:$A$101,MATCH(A971,Companies!$B$3:$B$101,0)),"")</f>
        <v/>
      </c>
      <c r="C971">
        <f>IFERROR(_xlfn.IFNA(INDEX(Sensors_MANU!$F$2:$F$4692,MATCH($D971,Sensors_MANU!$B$2:$B$4692,0)),INDEX(Sensors_MANU!$F$2:$F$4692,MATCH($P971,Sensors_MANU!$A$2:$A$4692,0))),"")</f>
        <v/>
      </c>
      <c r="D971" t="inlineStr">
        <is>
          <t>F94BC17D50BD</t>
        </is>
      </c>
      <c r="E971">
        <f>LEFT(D971,2)&amp;":"&amp;MID(D971,3,2)&amp;":"&amp;MID(D971,5,2)&amp;":"&amp;MID(D971,7,2)&amp;":"&amp;MID(D971,9,2)&amp;":"&amp;RIGHT(D971,2)</f>
        <v/>
      </c>
      <c r="F971" s="29" t="n">
        <v>44880</v>
      </c>
      <c r="G971" s="29" t="inlineStr">
        <is>
          <t>Viezo</t>
        </is>
      </c>
      <c r="H971" t="inlineStr">
        <is>
          <t>6314D74163CEC8C5</t>
        </is>
      </c>
      <c r="I971">
        <f>IFERROR(_xlfn.IFNA(INDEX(Sensors_MANU!$C$2:$C$4692,MATCH($D971,Sensors_MANU!$B$2:$B$4692,0)),INDEX(Sensors_MANU!$C$2:$C$4692,MATCH($P971,Sensors_MANU!$A$2:$A$4692,0))),"")</f>
        <v/>
      </c>
      <c r="J971">
        <f>IFERROR(_xlfn.IFNA(INDEX(Sensors_MANU!$D$2:$D$4692,MATCH($D971,Sensors_MANU!$B$2:$B$4692,0)),INDEX(Sensors_MANU!$D$2:$D$4692,MATCH($P971,Sensors_MANU!$A$2:$A$4692,0))),"")</f>
        <v/>
      </c>
      <c r="K971" s="27" t="inlineStr">
        <is>
          <t>83546985072-0</t>
        </is>
      </c>
      <c r="L971" s="27" t="inlineStr">
        <is>
          <t>4R</t>
        </is>
      </c>
      <c r="M971" s="27" t="n"/>
      <c r="N971" s="99">
        <f>IFERROR(INDEX(Sensors_MANU!$G$2:$G$4692,MATCH($P971,Sensors_MANU!$A$2:$A$4692,0)),)</f>
        <v/>
      </c>
      <c r="O971" s="6" t="inlineStr">
        <is>
          <t>v16</t>
        </is>
      </c>
      <c r="P971" t="n">
        <v>4978812</v>
      </c>
    </row>
    <row r="972">
      <c r="A972" s="32" t="inlineStr">
        <is>
          <t>TANKWAGON</t>
        </is>
      </c>
      <c r="B972" s="24">
        <f>IFERROR(INDEX(Companies!$A$3:$A$101,MATCH(A972,Companies!$B$3:$B$101,0)),"")</f>
        <v/>
      </c>
      <c r="C972">
        <f>IFERROR(_xlfn.IFNA(INDEX(Sensors_MANU!$F$2:$F$4692,MATCH($D972,Sensors_MANU!$B$2:$B$4692,0)),INDEX(Sensors_MANU!$F$2:$F$4692,MATCH($P972,Sensors_MANU!$A$2:$A$4692,0))),"")</f>
        <v/>
      </c>
      <c r="D972" s="104" t="inlineStr">
        <is>
          <t>CD9A17C0C070</t>
        </is>
      </c>
      <c r="E972">
        <f>LEFT(D972,2)&amp;":"&amp;MID(D972,3,2)&amp;":"&amp;MID(D972,5,2)&amp;":"&amp;MID(D972,7,2)&amp;":"&amp;MID(D972,9,2)&amp;":"&amp;RIGHT(D972,2)</f>
        <v/>
      </c>
      <c r="H972" s="2" t="inlineStr">
        <is>
          <t>E74C08BB06126B50</t>
        </is>
      </c>
      <c r="J972">
        <f>IFERROR(_xlfn.IFNA(INDEX(Sensors_MANU!$D$2:$D$4692,MATCH($D972,Sensors_MANU!$B$2:$B$4692,0)),INDEX(Sensors_MANU!$D$2:$D$4692,MATCH($P972,Sensors_MANU!$A$2:$A$4692,0))),"")</f>
        <v/>
      </c>
      <c r="N972" s="99">
        <f>IFERROR(INDEX(Sensors_MANU!$G$2:$G$4692,MATCH($P972,Sensors_MANU!$A$2:$A$4692,0)),)</f>
        <v/>
      </c>
      <c r="O972" s="6" t="inlineStr">
        <is>
          <t>V26</t>
        </is>
      </c>
      <c r="P972" t="n">
        <v>4978617</v>
      </c>
    </row>
    <row r="973">
      <c r="A973" s="32">
        <f>IFERROR(_xlfn.IFNA(INDEX(Sensors_MANU!$E$2:$E$4692,MATCH($D973,Sensors_MANU!$B$2:$B$4692,0)),INDEX(Sensors_MANU!$E$2:$E$4692,MATCH($P973,Sensors_MANU!$A$2:$A$4692,0))),"")</f>
        <v/>
      </c>
      <c r="B973" s="24">
        <f>IFERROR(INDEX(Companies!$A$3:$A$101,MATCH(A973,Companies!$B$3:$B$101,0)),"")</f>
        <v/>
      </c>
      <c r="C973">
        <f>IFERROR(_xlfn.IFNA(INDEX(Sensors_MANU!$F$2:$F$4692,MATCH($D973,Sensors_MANU!$B$2:$B$4692,0)),INDEX(Sensors_MANU!$F$2:$F$4692,MATCH($P973,Sensors_MANU!$A$2:$A$4692,0))),"")</f>
        <v/>
      </c>
      <c r="D973" t="inlineStr">
        <is>
          <t>D7B622A6F064</t>
        </is>
      </c>
      <c r="E973">
        <f>LEFT(D973,2)&amp;":"&amp;MID(D973,3,2)&amp;":"&amp;MID(D973,5,2)&amp;":"&amp;MID(D973,7,2)&amp;":"&amp;MID(D973,9,2)&amp;":"&amp;RIGHT(D973,2)</f>
        <v/>
      </c>
      <c r="F973" s="29" t="n">
        <v>44918</v>
      </c>
      <c r="G973" s="29" t="inlineStr">
        <is>
          <t>Hupac</t>
        </is>
      </c>
      <c r="H973" t="inlineStr">
        <is>
          <t>E8DE6C57B376F1DD</t>
        </is>
      </c>
      <c r="I973">
        <f>IFERROR(_xlfn.IFNA(INDEX(Sensors_MANU!$C$2:$C$4692,MATCH($D973,Sensors_MANU!$B$2:$B$4692,0)),INDEX(Sensors_MANU!$C$2:$C$4692,MATCH($P973,Sensors_MANU!$A$2:$A$4692,0))),"")</f>
        <v/>
      </c>
      <c r="J973">
        <f>IFERROR(_xlfn.IFNA(INDEX(Sensors_MANU!$D$2:$D$4692,MATCH($D973,Sensors_MANU!$B$2:$B$4692,0)),INDEX(Sensors_MANU!$D$2:$D$4692,MATCH($P973,Sensors_MANU!$A$2:$A$4692,0))),"")</f>
        <v/>
      </c>
      <c r="K973" s="27" t="inlineStr">
        <is>
          <t>33854956710-9</t>
        </is>
      </c>
      <c r="L973" s="27" t="inlineStr">
        <is>
          <t>6b</t>
        </is>
      </c>
      <c r="M973" s="61" t="inlineStr">
        <is>
          <t>88160162</t>
        </is>
      </c>
    </row>
    <row r="974">
      <c r="A974" s="32">
        <f>IFERROR(_xlfn.IFNA(INDEX(Sensors_MANU!$E$2:$E$4692,MATCH($D974,Sensors_MANU!$B$2:$B$4692,0)),INDEX(Sensors_MANU!$E$2:$E$4692,MATCH($P974,Sensors_MANU!$A$2:$A$4692,0))),"")</f>
        <v/>
      </c>
      <c r="B974" s="24">
        <f>IFERROR(INDEX(Companies!$A$3:$A$101,MATCH(A974,Companies!$B$3:$B$101,0)),"")</f>
        <v/>
      </c>
      <c r="D974" t="inlineStr">
        <is>
          <t>D63E5D44BA8E</t>
        </is>
      </c>
      <c r="E974">
        <f>LEFT(D974,2)&amp;":"&amp;MID(D974,3,2)&amp;":"&amp;MID(D974,5,2)&amp;":"&amp;MID(D974,7,2)&amp;":"&amp;MID(D974,9,2)&amp;":"&amp;RIGHT(D974,2)</f>
        <v/>
      </c>
      <c r="F974" s="29" t="inlineStr">
        <is>
          <t>2023 01 27</t>
        </is>
      </c>
      <c r="G974" s="29" t="inlineStr">
        <is>
          <t>Fertagus</t>
        </is>
      </c>
      <c r="H974" t="inlineStr">
        <is>
          <t>DC257DF06D61D7DB</t>
        </is>
      </c>
      <c r="I974">
        <f>IFERROR(_xlfn.IFNA(INDEX(Sensors_MANU!$C$2:$C$4692,MATCH($D974,Sensors_MANU!$B$2:$B$4692,0)),INDEX(Sensors_MANU!$C$2:$C$4692,MATCH($P974,Sensors_MANU!$A$2:$A$4692,0))),"")</f>
        <v/>
      </c>
      <c r="J974">
        <f>IFERROR(_xlfn.IFNA(INDEX(Sensors_MANU!$D$2:$D$4692,MATCH($D974,Sensors_MANU!$B$2:$B$4692,0)),INDEX(Sensors_MANU!$D$2:$D$4692,MATCH($P974,Sensors_MANU!$A$2:$A$4692,0))),"")</f>
        <v/>
      </c>
      <c r="K974" s="27" t="inlineStr">
        <is>
          <t>R3555</t>
        </is>
      </c>
      <c r="L974" s="27" t="inlineStr">
        <is>
          <t>1R</t>
        </is>
      </c>
    </row>
    <row r="975">
      <c r="A975" s="32">
        <f>IFERROR(_xlfn.IFNA(INDEX(Sensors_MANU!$E$2:$E$4692,MATCH($D975,Sensors_MANU!$B$2:$B$4692,0)),INDEX(Sensors_MANU!$E$2:$E$4692,MATCH($P975,Sensors_MANU!$A$2:$A$4692,0))),"")</f>
        <v/>
      </c>
      <c r="B975" s="24" t="inlineStr">
        <is>
          <t>64818ba10166b80f8d06f5fa</t>
        </is>
      </c>
      <c r="C975">
        <f>IFERROR(_xlfn.IFNA(INDEX(Sensors_MANU!$F$2:$F$4692,MATCH($D975,Sensors_MANU!$B$2:$B$4692,0)),INDEX(Sensors_MANU!$F$2:$F$4692,MATCH($P975,Sensors_MANU!$A$2:$A$4692,0))),"")</f>
        <v/>
      </c>
      <c r="D975" t="inlineStr">
        <is>
          <t>F6F8A72F761E</t>
        </is>
      </c>
      <c r="E975" s="24">
        <f>LEFT(D975,2)&amp;":"&amp;MID(D975,3,2)&amp;":"&amp;MID(D975,5,2)&amp;":"&amp;MID(D975,7,2)&amp;":"&amp;MID(D975,9,2)&amp;":"&amp;RIGHT(D975,2)</f>
        <v/>
      </c>
      <c r="F975" s="29" t="n">
        <v>45090</v>
      </c>
      <c r="G975" s="29" t="inlineStr">
        <is>
          <t>VIEZO</t>
        </is>
      </c>
      <c r="H975" t="inlineStr">
        <is>
          <t>923C47615AE5BD68</t>
        </is>
      </c>
      <c r="I975">
        <f>IFERROR(_xlfn.IFNA(INDEX(Sensors_MANU!$C$2:$C$4692,MATCH($D975,Sensors_MANU!$B$2:$B$4692,0)),INDEX(Sensors_MANU!$C$2:$C$4692,MATCH($P975,Sensors_MANU!$A$2:$A$4692,0))),"")</f>
        <v/>
      </c>
      <c r="J975">
        <f>IFERROR(_xlfn.IFNA(INDEX(Sensors_MANU!$D$2:$D$4692,MATCH($D975,Sensors_MANU!$B$2:$B$4692,0)),INDEX(Sensors_MANU!$D$2:$D$4692,MATCH($P975,Sensors_MANU!$A$2:$A$4692,0))),"")</f>
        <v/>
      </c>
      <c r="K975" s="27" t="inlineStr">
        <is>
          <t>33802742207-4</t>
        </is>
      </c>
      <c r="L975" s="27" t="inlineStr">
        <is>
          <t>4L</t>
        </is>
      </c>
      <c r="O975" s="6" t="inlineStr">
        <is>
          <t>V25</t>
        </is>
      </c>
    </row>
    <row r="976">
      <c r="A976" s="32" t="inlineStr">
        <is>
          <t>RSA</t>
        </is>
      </c>
      <c r="B976" s="24">
        <f>IFERROR(INDEX(Companies!$A$3:$A$101,MATCH(A976,Companies!$B$3:$B$101,0)),"")</f>
        <v/>
      </c>
      <c r="C976">
        <f>IFERROR(_xlfn.IFNA(INDEX(Sensors_MANU!$F$2:$F$4692,MATCH($D976,Sensors_MANU!$B$2:$B$4692,0)),INDEX(Sensors_MANU!$F$2:$F$4692,MATCH($P976,Sensors_MANU!$A$2:$A$4692,0))),"")</f>
        <v/>
      </c>
      <c r="D976" t="inlineStr">
        <is>
          <t>E29082FB715B</t>
        </is>
      </c>
      <c r="E976" s="24">
        <f>LEFT(D976,2)&amp;":"&amp;MID(D976,3,2)&amp;":"&amp;MID(D976,5,2)&amp;":"&amp;MID(D976,7,2)&amp;":"&amp;MID(D976,9,2)&amp;":"&amp;RIGHT(D976,2)</f>
        <v/>
      </c>
      <c r="H976" t="inlineStr">
        <is>
          <t>C31D04D8FBEEBFD4</t>
        </is>
      </c>
      <c r="I976">
        <f>IFERROR(_xlfn.IFNA(INDEX(Sensors_MANU!$C$2:$C$4692,MATCH($D976,Sensors_MANU!$B$2:$B$4692,0)),INDEX(Sensors_MANU!$C$2:$C$4692,MATCH($P976,Sensors_MANU!$A$2:$A$4692,0))),"")</f>
        <v/>
      </c>
      <c r="J976" s="65" t="inlineStr">
        <is>
          <t>PR2206-429</t>
        </is>
      </c>
      <c r="O976" s="6" t="inlineStr">
        <is>
          <t>V25</t>
        </is>
      </c>
    </row>
    <row r="977">
      <c r="A977" s="32">
        <f>IFERROR(_xlfn.IFNA(INDEX(Sensors_MANU!$E$2:$E$4692,MATCH($D977,Sensors_MANU!$B$2:$B$4692,0)),INDEX(Sensors_MANU!$E$2:$E$4692,MATCH($P977,Sensors_MANU!$A$2:$A$4692,0))),"")</f>
        <v/>
      </c>
      <c r="B977" s="24">
        <f>IFERROR(INDEX(Companies!$A$3:$A$101,MATCH(A977,Companies!$B$3:$B$101,0)),"")</f>
        <v/>
      </c>
      <c r="C977">
        <f>IFERROR(_xlfn.IFNA(INDEX(Sensors_MANU!$F$2:$F$4692,MATCH($D977,Sensors_MANU!$B$2:$B$4692,0)),INDEX(Sensors_MANU!$F$2:$F$4692,MATCH($P977,Sensors_MANU!$A$2:$A$4692,0))),"")</f>
        <v/>
      </c>
      <c r="D977" s="25" t="inlineStr">
        <is>
          <t>DD44C7EE4A0A</t>
        </is>
      </c>
      <c r="E977" s="24">
        <f>LEFT(D977,2)&amp;":"&amp;MID(D977,3,2)&amp;":"&amp;MID(D977,5,2)&amp;":"&amp;MID(D977,7,2)&amp;":"&amp;MID(D977,9,2)&amp;":"&amp;RIGHT(D977,2)</f>
        <v/>
      </c>
      <c r="F977" s="29" t="n">
        <v>44880</v>
      </c>
      <c r="G977" s="29" t="inlineStr">
        <is>
          <t>Viezo</t>
        </is>
      </c>
      <c r="H977" t="inlineStr">
        <is>
          <t>88B17C4CDEA9C634</t>
        </is>
      </c>
      <c r="I977">
        <f>IFERROR(_xlfn.IFNA(INDEX(Sensors_MANU!$C$2:$C$4692,MATCH($D977,Sensors_MANU!$B$2:$B$4692,0)),INDEX(Sensors_MANU!$C$2:$C$4692,MATCH($P977,Sensors_MANU!$A$2:$A$4692,0))),"")</f>
        <v/>
      </c>
      <c r="J977">
        <f>IFERROR(_xlfn.IFNA(INDEX(Sensors_MANU!$D$2:$D$4692,MATCH($D977,Sensors_MANU!$B$2:$B$4692,0)),INDEX(Sensors_MANU!$D$2:$D$4692,MATCH($P977,Sensors_MANU!$A$2:$A$4692,0))),"")</f>
        <v/>
      </c>
      <c r="K977" s="27" t="inlineStr">
        <is>
          <t>83546985072-0</t>
        </is>
      </c>
      <c r="L977" s="27" t="inlineStr">
        <is>
          <t>3R</t>
        </is>
      </c>
      <c r="O977" s="6" t="inlineStr">
        <is>
          <t>V23</t>
        </is>
      </c>
    </row>
    <row r="978">
      <c r="A978" s="32" t="inlineStr">
        <is>
          <t>RSA</t>
        </is>
      </c>
      <c r="B978" s="24">
        <f>IFERROR(INDEX(Companies!$A$3:$A$101,MATCH(A978,Companies!$B$3:$B$101,0)),"")</f>
        <v/>
      </c>
      <c r="C978">
        <f>IFERROR(_xlfn.IFNA(INDEX(Sensors_MANU!$F$2:$F$4692,MATCH($D978,Sensors_MANU!$B$2:$B$4692,0)),INDEX(Sensors_MANU!$F$2:$F$4692,MATCH($P978,Sensors_MANU!$A$2:$A$4692,0))),"")</f>
        <v/>
      </c>
      <c r="D978" t="inlineStr">
        <is>
          <t>FEEA0FA26F59</t>
        </is>
      </c>
      <c r="E978" s="24">
        <f>LEFT(D978,2)&amp;":"&amp;MID(D978,3,2)&amp;":"&amp;MID(D978,5,2)&amp;":"&amp;MID(D978,7,2)&amp;":"&amp;MID(D978,9,2)&amp;":"&amp;RIGHT(D978,2)</f>
        <v/>
      </c>
      <c r="H978" t="inlineStr">
        <is>
          <t>E1748696D5E04AC2</t>
        </is>
      </c>
      <c r="I978">
        <f>IFERROR(_xlfn.IFNA(INDEX(Sensors_MANU!$C$2:$C$4692,MATCH($D978,Sensors_MANU!$B$2:$B$4692,0)),INDEX(Sensors_MANU!$C$2:$C$4692,MATCH($P978,Sensors_MANU!$A$2:$A$4692,0))),"")</f>
        <v/>
      </c>
      <c r="J978" s="65" t="inlineStr">
        <is>
          <t>PR2206-431</t>
        </is>
      </c>
      <c r="O978" s="6" t="inlineStr">
        <is>
          <t>V23</t>
        </is>
      </c>
    </row>
    <row r="979">
      <c r="A979" s="32">
        <f>IFERROR(_xlfn.IFNA(INDEX(Sensors_MANU!$E$2:$E$4692,MATCH($D979,Sensors_MANU!$B$2:$B$4692,0)),INDEX(Sensors_MANU!$E$2:$E$4692,MATCH($P979,Sensors_MANU!$A$2:$A$4692,0))),"")</f>
        <v/>
      </c>
      <c r="B979" s="24">
        <f>IFERROR(INDEX(Companies!$A$3:$A$101,MATCH(A979,Companies!$B$3:$B$101,0)),"")</f>
        <v/>
      </c>
      <c r="C979">
        <f>IFERROR(_xlfn.IFNA(INDEX(Sensors_MANU!$F$2:$F$4692,MATCH($D979,Sensors_MANU!$B$2:$B$4692,0)),INDEX(Sensors_MANU!$F$2:$F$4692,MATCH($P979,Sensors_MANU!$A$2:$A$4692,0))),"")</f>
        <v/>
      </c>
      <c r="D979" t="inlineStr">
        <is>
          <t>D64512B90828</t>
        </is>
      </c>
      <c r="E979" s="24">
        <f>LEFT(D979,2)&amp;":"&amp;MID(D979,3,2)&amp;":"&amp;MID(D979,5,2)&amp;":"&amp;MID(D979,7,2)&amp;":"&amp;MID(D979,9,2)&amp;":"&amp;RIGHT(D979,2)</f>
        <v/>
      </c>
      <c r="F979" s="29" t="n">
        <v>44880</v>
      </c>
      <c r="G979" s="29" t="inlineStr">
        <is>
          <t>Viezo</t>
        </is>
      </c>
      <c r="H979" t="inlineStr">
        <is>
          <t>13BDE0637406994E</t>
        </is>
      </c>
      <c r="I979">
        <f>IFERROR(_xlfn.IFNA(INDEX(Sensors_MANU!$C$2:$C$4692,MATCH($D979,Sensors_MANU!$B$2:$B$4692,0)),INDEX(Sensors_MANU!$C$2:$C$4692,MATCH($P979,Sensors_MANU!$A$2:$A$4692,0))),"")</f>
        <v/>
      </c>
      <c r="J979">
        <f>IFERROR(_xlfn.IFNA(INDEX(Sensors_MANU!$D$2:$D$4692,MATCH($D979,Sensors_MANU!$B$2:$B$4692,0)),INDEX(Sensors_MANU!$D$2:$D$4692,MATCH($P979,Sensors_MANU!$A$2:$A$4692,0))),"")</f>
        <v/>
      </c>
      <c r="K979" s="27" t="inlineStr">
        <is>
          <t>83546985065-4</t>
        </is>
      </c>
      <c r="L979" s="27" t="inlineStr">
        <is>
          <t>3R</t>
        </is>
      </c>
      <c r="O979" s="6" t="inlineStr">
        <is>
          <t>V25</t>
        </is>
      </c>
    </row>
    <row r="980">
      <c r="A980" s="32">
        <f>IFERROR(_xlfn.IFNA(INDEX(Sensors_MANU!$E$2:$E$4692,MATCH($D980,Sensors_MANU!$B$2:$B$4692,0)),INDEX(Sensors_MANU!$E$2:$E$4692,MATCH($P980,Sensors_MANU!$A$2:$A$4692,0))),"")</f>
        <v/>
      </c>
      <c r="B980" s="24">
        <f>IFERROR(INDEX(Companies!$A$3:$A$101,MATCH(A980,Companies!$B$3:$B$101,0)),"")</f>
        <v/>
      </c>
      <c r="C980">
        <f>IFERROR(_xlfn.IFNA(INDEX(Sensors_MANU!$F$2:$F$4692,MATCH($D980,Sensors_MANU!$B$2:$B$4692,0)),INDEX(Sensors_MANU!$F$2:$F$4692,MATCH($P980,Sensors_MANU!$A$2:$A$4692,0))),"")</f>
        <v/>
      </c>
      <c r="D980" t="inlineStr">
        <is>
          <t>E2F3640796F0</t>
        </is>
      </c>
      <c r="E980" s="24">
        <f>LEFT(D980,2)&amp;":"&amp;MID(D980,3,2)&amp;":"&amp;MID(D980,5,2)&amp;":"&amp;MID(D980,7,2)&amp;":"&amp;MID(D980,9,2)&amp;":"&amp;RIGHT(D980,2)</f>
        <v/>
      </c>
      <c r="F980" s="29" t="n">
        <v>44880</v>
      </c>
      <c r="G980" s="29" t="inlineStr">
        <is>
          <t>Viezo</t>
        </is>
      </c>
      <c r="H980" t="inlineStr">
        <is>
          <t>6D4A9124D3FD6696</t>
        </is>
      </c>
      <c r="I980">
        <f>IFERROR(_xlfn.IFNA(INDEX(Sensors_MANU!$C$2:$C$4692,MATCH($D980,Sensors_MANU!$B$2:$B$4692,0)),INDEX(Sensors_MANU!$C$2:$C$4692,MATCH($P980,Sensors_MANU!$A$2:$A$4692,0))),"")</f>
        <v/>
      </c>
      <c r="J980">
        <f>IFERROR(_xlfn.IFNA(INDEX(Sensors_MANU!$D$2:$D$4692,MATCH($D980,Sensors_MANU!$B$2:$B$4692,0)),INDEX(Sensors_MANU!$D$2:$D$4692,MATCH($P980,Sensors_MANU!$A$2:$A$4692,0))),"")</f>
        <v/>
      </c>
      <c r="K980" s="27" t="inlineStr">
        <is>
          <t>83546985065-4</t>
        </is>
      </c>
      <c r="L980" s="27" t="inlineStr">
        <is>
          <t>2L</t>
        </is>
      </c>
      <c r="O980" s="6" t="inlineStr">
        <is>
          <t>V25</t>
        </is>
      </c>
    </row>
    <row r="981">
      <c r="A981" s="32">
        <f>IFERROR(_xlfn.IFNA(INDEX(Sensors_MANU!$E$2:$E$4692,MATCH($D981,Sensors_MANU!$B$2:$B$4692,0)),INDEX(Sensors_MANU!$E$2:$E$4692,MATCH($P981,Sensors_MANU!$A$2:$A$4692,0))),"")</f>
        <v/>
      </c>
      <c r="B981" s="24">
        <f>IFERROR(INDEX(Companies!$A$3:$A$101,MATCH(A981,Companies!$B$3:$B$101,0)),"")</f>
        <v/>
      </c>
      <c r="C981">
        <f>IFERROR(_xlfn.IFNA(INDEX(Sensors_MANU!$F$2:$F$4692,MATCH($D981,Sensors_MANU!$B$2:$B$4692,0)),INDEX(Sensors_MANU!$F$2:$F$4692,MATCH($P981,Sensors_MANU!$A$2:$A$4692,0))),"")</f>
        <v/>
      </c>
      <c r="D981" t="inlineStr">
        <is>
          <t>E0EF2EE16C0E</t>
        </is>
      </c>
      <c r="E981" s="24">
        <f>LEFT(D981,2)&amp;":"&amp;MID(D981,3,2)&amp;":"&amp;MID(D981,5,2)&amp;":"&amp;MID(D981,7,2)&amp;":"&amp;MID(D981,9,2)&amp;":"&amp;RIGHT(D981,2)</f>
        <v/>
      </c>
      <c r="F981" s="29" t="n">
        <v>44880</v>
      </c>
      <c r="G981" s="29" t="inlineStr">
        <is>
          <t>Viezo</t>
        </is>
      </c>
      <c r="H981" t="inlineStr">
        <is>
          <t>D7D2960479BB961B</t>
        </is>
      </c>
      <c r="I981">
        <f>IFERROR(_xlfn.IFNA(INDEX(Sensors_MANU!$C$2:$C$4692,MATCH($D981,Sensors_MANU!$B$2:$B$4692,0)),INDEX(Sensors_MANU!$C$2:$C$4692,MATCH($P981,Sensors_MANU!$A$2:$A$4692,0))),"")</f>
        <v/>
      </c>
      <c r="J981">
        <f>IFERROR(_xlfn.IFNA(INDEX(Sensors_MANU!$D$2:$D$4692,MATCH($D981,Sensors_MANU!$B$2:$B$4692,0)),INDEX(Sensors_MANU!$D$2:$D$4692,MATCH($P981,Sensors_MANU!$A$2:$A$4692,0))),"")</f>
        <v/>
      </c>
      <c r="K981" s="27" t="inlineStr">
        <is>
          <t>83546985085-2</t>
        </is>
      </c>
      <c r="L981" s="27" t="inlineStr">
        <is>
          <t>4L</t>
        </is>
      </c>
      <c r="O981" s="6" t="inlineStr">
        <is>
          <t>V25</t>
        </is>
      </c>
    </row>
    <row r="982">
      <c r="A982" s="32" t="inlineStr">
        <is>
          <t>RSA</t>
        </is>
      </c>
      <c r="B982" s="24">
        <f>IFERROR(INDEX(Companies!$A$3:$A$101,MATCH(A982,Companies!$B$3:$B$101,0)),"")</f>
        <v/>
      </c>
      <c r="C982">
        <f>IFERROR(_xlfn.IFNA(INDEX(Sensors_MANU!$F$2:$F$4692,MATCH($D982,Sensors_MANU!$B$2:$B$4692,0)),INDEX(Sensors_MANU!$F$2:$F$4692,MATCH($P982,Sensors_MANU!$A$2:$A$4692,0))),"")</f>
        <v/>
      </c>
      <c r="D982" t="inlineStr">
        <is>
          <t>DDDA422B3B3E</t>
        </is>
      </c>
      <c r="E982" s="24">
        <f>LEFT(D982,2)&amp;":"&amp;MID(D982,3,2)&amp;":"&amp;MID(D982,5,2)&amp;":"&amp;MID(D982,7,2)&amp;":"&amp;MID(D982,9,2)&amp;":"&amp;RIGHT(D982,2)</f>
        <v/>
      </c>
      <c r="H982" t="inlineStr">
        <is>
          <t>2915DF143CEF96B3</t>
        </is>
      </c>
      <c r="I982">
        <f>IFERROR(_xlfn.IFNA(INDEX(Sensors_MANU!$C$2:$C$4692,MATCH($D982,Sensors_MANU!$B$2:$B$4692,0)),INDEX(Sensors_MANU!$C$2:$C$4692,MATCH($P982,Sensors_MANU!$A$2:$A$4692,0))),"")</f>
        <v/>
      </c>
      <c r="J982" s="65" t="inlineStr">
        <is>
          <t>PR2206-435</t>
        </is>
      </c>
      <c r="O982" s="6" t="inlineStr">
        <is>
          <t>V25</t>
        </is>
      </c>
    </row>
    <row r="983">
      <c r="A983" s="32">
        <f>IFERROR(_xlfn.IFNA(INDEX(Sensors_MANU!$E$2:$E$4692,MATCH($D983,Sensors_MANU!$B$2:$B$4692,0)),INDEX(Sensors_MANU!$E$2:$E$4692,MATCH($P983,Sensors_MANU!$A$2:$A$4692,0))),"")</f>
        <v/>
      </c>
      <c r="B983" s="24">
        <f>IFERROR(INDEX(Companies!$A$3:$A$101,MATCH(A983,Companies!$B$3:$B$101,0)),"")</f>
        <v/>
      </c>
      <c r="C983">
        <f>IFERROR(_xlfn.IFNA(INDEX(Sensors_MANU!$F$2:$F$4692,MATCH($D983,Sensors_MANU!$B$2:$B$4692,0)),INDEX(Sensors_MANU!$F$2:$F$4692,MATCH($P983,Sensors_MANU!$A$2:$A$4692,0))),"")</f>
        <v/>
      </c>
      <c r="D983" t="inlineStr">
        <is>
          <t>CBE2A195BA49</t>
        </is>
      </c>
      <c r="E983" s="24">
        <f>LEFT(D983,2)&amp;":"&amp;MID(D983,3,2)&amp;":"&amp;MID(D983,5,2)&amp;":"&amp;MID(D983,7,2)&amp;":"&amp;MID(D983,9,2)&amp;":"&amp;RIGHT(D983,2)</f>
        <v/>
      </c>
      <c r="H983" t="inlineStr">
        <is>
          <t>6F8A38D1391E2203</t>
        </is>
      </c>
      <c r="I983">
        <f>IFERROR(_xlfn.IFNA(INDEX(Sensors_MANU!$C$2:$C$4692,MATCH($D983,Sensors_MANU!$B$2:$B$4692,0)),INDEX(Sensors_MANU!$C$2:$C$4692,MATCH($P983,Sensors_MANU!$A$2:$A$4692,0))),"")</f>
        <v/>
      </c>
      <c r="J983">
        <f>IFERROR(_xlfn.IFNA(INDEX(Sensors_MANU!$D$2:$D$4692,MATCH($D983,Sensors_MANU!$B$2:$B$4692,0)),INDEX(Sensors_MANU!$D$2:$D$4692,MATCH($P983,Sensors_MANU!$A$2:$A$4692,0))),"")</f>
        <v/>
      </c>
      <c r="N983" s="99" t="inlineStr">
        <is>
          <t>The operator has the device or its lost (they paid for it), but we dont monitor it on Ubidots anymore.</t>
        </is>
      </c>
      <c r="O983" s="6" t="inlineStr">
        <is>
          <t>V25</t>
        </is>
      </c>
    </row>
    <row r="984">
      <c r="A984" s="32">
        <f>IFERROR(_xlfn.IFNA(INDEX(Sensors_MANU!$E$2:$E$4692,MATCH($D984,Sensors_MANU!$B$2:$B$4692,0)),INDEX(Sensors_MANU!$E$2:$E$4692,MATCH($P984,Sensors_MANU!$A$2:$A$4692,0))),"")</f>
        <v/>
      </c>
      <c r="B984" s="24">
        <f>IFERROR(INDEX(Companies!$A$3:$A$101,MATCH(A984,Companies!$B$3:$B$101,0)),"")</f>
        <v/>
      </c>
      <c r="C984">
        <f>IFERROR(_xlfn.IFNA(INDEX(Sensors_MANU!$F$2:$F$4692,MATCH($D984,Sensors_MANU!$B$2:$B$4692,0)),INDEX(Sensors_MANU!$F$2:$F$4692,MATCH($P984,Sensors_MANU!$A$2:$A$4692,0))),"")</f>
        <v/>
      </c>
      <c r="D984" t="inlineStr">
        <is>
          <t>D59F68446B28</t>
        </is>
      </c>
      <c r="E984" s="24">
        <f>LEFT(D984,2)&amp;":"&amp;MID(D984,3,2)&amp;":"&amp;MID(D984,5,2)&amp;":"&amp;MID(D984,7,2)&amp;":"&amp;MID(D984,9,2)&amp;":"&amp;RIGHT(D984,2)</f>
        <v/>
      </c>
      <c r="H984" t="inlineStr">
        <is>
          <t>037ADA09EFA5764F</t>
        </is>
      </c>
      <c r="I984">
        <f>IFERROR(_xlfn.IFNA(INDEX(Sensors_MANU!$C$2:$C$4692,MATCH($D984,Sensors_MANU!$B$2:$B$4692,0)),INDEX(Sensors_MANU!$C$2:$C$4692,MATCH($P984,Sensors_MANU!$A$2:$A$4692,0))),"")</f>
        <v/>
      </c>
      <c r="J984">
        <f>IFERROR(_xlfn.IFNA(INDEX(Sensors_MANU!$D$2:$D$4692,MATCH($D984,Sensors_MANU!$B$2:$B$4692,0)),INDEX(Sensors_MANU!$D$2:$D$4692,MATCH($P984,Sensors_MANU!$A$2:$A$4692,0))),"")</f>
        <v/>
      </c>
      <c r="N984" s="99" t="inlineStr">
        <is>
          <t>The operator has the device or its lost (they paid for it), but we dont monitor it on Ubidots anymore.</t>
        </is>
      </c>
      <c r="O984" s="6" t="inlineStr">
        <is>
          <t>V25</t>
        </is>
      </c>
    </row>
    <row r="985">
      <c r="A985" s="32">
        <f>IFERROR(_xlfn.IFNA(INDEX(Sensors_MANU!$E$2:$E$4692,MATCH($D985,Sensors_MANU!$B$2:$B$4692,0)),INDEX(Sensors_MANU!$E$2:$E$4692,MATCH($P985,Sensors_MANU!$A$2:$A$4692,0))),"")</f>
        <v/>
      </c>
      <c r="B985" s="24">
        <f>IFERROR(INDEX(Companies!$A$3:$A$101,MATCH(A985,Companies!$B$3:$B$101,0)),"")</f>
        <v/>
      </c>
      <c r="D985" t="inlineStr">
        <is>
          <t>E57788FBA153</t>
        </is>
      </c>
      <c r="E985">
        <f>LEFT(D985,2)&amp;":"&amp;MID(D985,3,2)&amp;":"&amp;MID(D985,5,2)&amp;":"&amp;MID(D985,7,2)&amp;":"&amp;MID(D985,9,2)&amp;":"&amp;RIGHT(D985,2)</f>
        <v/>
      </c>
      <c r="H985" t="inlineStr">
        <is>
          <t>6A6CB5E1A5CDDD82</t>
        </is>
      </c>
      <c r="I985">
        <f>IFERROR(_xlfn.IFNA(INDEX(Sensors_MANU!$C$2:$C$4692,MATCH($D985,Sensors_MANU!$B$2:$B$4692,0)),INDEX(Sensors_MANU!$C$2:$C$4692,MATCH($P985,Sensors_MANU!$A$2:$A$4692,0))),"")</f>
        <v/>
      </c>
      <c r="J985">
        <f>IFERROR(_xlfn.IFNA(INDEX(Sensors_MANU!$D$2:$D$4692,MATCH($D985,Sensors_MANU!$B$2:$B$4692,0)),INDEX(Sensors_MANU!$D$2:$D$4692,MATCH($P985,Sensors_MANU!$A$2:$A$4692,0))),"")</f>
        <v/>
      </c>
      <c r="K985" s="27" t="inlineStr">
        <is>
          <t>BAH101</t>
        </is>
      </c>
      <c r="L985" s="27" t="inlineStr">
        <is>
          <t>2R</t>
        </is>
      </c>
    </row>
    <row r="986">
      <c r="A986" s="32">
        <f>IFERROR(_xlfn.IFNA(INDEX(Sensors_MANU!$E$2:$E$4692,MATCH($D986,Sensors_MANU!$B$2:$B$4692,0)),INDEX(Sensors_MANU!$E$2:$E$4692,MATCH($P986,Sensors_MANU!$A$2:$A$4692,0))),"")</f>
        <v/>
      </c>
      <c r="B986" s="24">
        <f>IFERROR(INDEX(Companies!$A$3:$A$101,MATCH(A986,Companies!$B$3:$B$101,0)),"")</f>
        <v/>
      </c>
      <c r="D986" t="inlineStr">
        <is>
          <t>CBBBD107BB89</t>
        </is>
      </c>
      <c r="E986">
        <f>LEFT(D986,2)&amp;":"&amp;MID(D986,3,2)&amp;":"&amp;MID(D986,5,2)&amp;":"&amp;MID(D986,7,2)&amp;":"&amp;MID(D986,9,2)&amp;":"&amp;RIGHT(D986,2)</f>
        <v/>
      </c>
      <c r="F986" s="29" t="n">
        <v>44910</v>
      </c>
      <c r="G986" s="29" t="inlineStr">
        <is>
          <t>Viezo</t>
        </is>
      </c>
      <c r="H986" s="18" t="inlineStr">
        <is>
          <t>4E51022CF2970E30</t>
        </is>
      </c>
      <c r="I986">
        <f>IFERROR(_xlfn.IFNA(INDEX(Sensors_MANU!$C$2:$C$4692,MATCH($D986,Sensors_MANU!$B$2:$B$4692,0)),INDEX(Sensors_MANU!$C$2:$C$4692,MATCH($P986,Sensors_MANU!$A$2:$A$4692,0))),"")</f>
        <v/>
      </c>
      <c r="J986">
        <f>IFERROR(_xlfn.IFNA(INDEX(Sensors_MANU!$D$2:$D$4692,MATCH($D986,Sensors_MANU!$B$2:$B$4692,0)),INDEX(Sensors_MANU!$D$2:$D$4692,MATCH($P986,Sensors_MANU!$A$2:$A$4692,0))),"")</f>
        <v/>
      </c>
      <c r="K986" s="27" t="inlineStr">
        <is>
          <t>33854506221-2</t>
        </is>
      </c>
      <c r="L986" s="27" t="inlineStr">
        <is>
          <t>2b</t>
        </is>
      </c>
      <c r="M986" s="61" t="inlineStr">
        <is>
          <t>88110868</t>
        </is>
      </c>
    </row>
    <row r="987">
      <c r="A987" s="32" t="inlineStr">
        <is>
          <t>RENFE</t>
        </is>
      </c>
      <c r="B987" s="24">
        <f>IFERROR(INDEX(Companies!$A$3:$A$101,MATCH(A987,Companies!$B$3:$B$101,0)),"")</f>
        <v/>
      </c>
      <c r="C987">
        <f>IFERROR(_xlfn.IFNA(INDEX(Sensors_MANU!$F$2:$F$4692,MATCH($D987,Sensors_MANU!$B$2:$B$4692,0)),INDEX(Sensors_MANU!$F$2:$F$4692,MATCH($P987,Sensors_MANU!$A$2:$A$4692,0))),"")</f>
        <v/>
      </c>
      <c r="D987" t="inlineStr">
        <is>
          <t>DB09C18E70B6</t>
        </is>
      </c>
      <c r="E987" s="24">
        <f>LEFT(D987,2)&amp;":"&amp;MID(D987,3,2)&amp;":"&amp;MID(D987,5,2)&amp;":"&amp;MID(D987,7,2)&amp;":"&amp;MID(D987,9,2)&amp;":"&amp;RIGHT(D987,2)</f>
        <v/>
      </c>
      <c r="F987" s="29" t="n">
        <v>45083</v>
      </c>
      <c r="G987" s="29" t="inlineStr">
        <is>
          <t>Renfe</t>
        </is>
      </c>
      <c r="H987" t="inlineStr">
        <is>
          <t>63CA0214DA2C330A</t>
        </is>
      </c>
      <c r="I987">
        <f>IFERROR(_xlfn.IFNA(INDEX(Sensors_MANU!$C$2:$C$4692,MATCH($D987,Sensors_MANU!$B$2:$B$4692,0)),INDEX(Sensors_MANU!$C$2:$C$4692,MATCH($P987,Sensors_MANU!$A$2:$A$4692,0))),"")</f>
        <v/>
      </c>
      <c r="J987" s="64" t="inlineStr">
        <is>
          <t>PR2206-441</t>
        </is>
      </c>
      <c r="K987" s="27" t="n">
        <v>527015</v>
      </c>
      <c r="L987" s="27" t="inlineStr">
        <is>
          <t>2L</t>
        </is>
      </c>
      <c r="O987" s="6" t="inlineStr">
        <is>
          <t>V25</t>
        </is>
      </c>
    </row>
    <row r="988">
      <c r="A988" s="32">
        <f>IFERROR(_xlfn.IFNA(INDEX(Sensors_MANU!$E$2:$E$4692,MATCH($D988,Sensors_MANU!$B$2:$B$4692,0)),INDEX(Sensors_MANU!$E$2:$E$4692,MATCH($P988,Sensors_MANU!$A$2:$A$4692,0))),"")</f>
        <v/>
      </c>
      <c r="B988" s="24">
        <f>IFERROR(INDEX(Companies!$A$3:$A$101,MATCH(A988,Companies!$B$3:$B$101,0)),"")</f>
        <v/>
      </c>
      <c r="D988" t="inlineStr">
        <is>
          <t>FC6A3C6B9EF8</t>
        </is>
      </c>
      <c r="E988">
        <f>LEFT(D988,2)&amp;":"&amp;MID(D988,3,2)&amp;":"&amp;MID(D988,5,2)&amp;":"&amp;MID(D988,7,2)&amp;":"&amp;MID(D988,9,2)&amp;":"&amp;RIGHT(D988,2)</f>
        <v/>
      </c>
      <c r="F988" s="29" t="n">
        <v>44953</v>
      </c>
      <c r="G988" s="29" t="inlineStr">
        <is>
          <t>Fertagus</t>
        </is>
      </c>
      <c r="H988" t="inlineStr">
        <is>
          <t>3F8B105D7D75D264</t>
        </is>
      </c>
      <c r="I988">
        <f>IFERROR(_xlfn.IFNA(INDEX(Sensors_MANU!$C$2:$C$4692,MATCH($D988,Sensors_MANU!$B$2:$B$4692,0)),INDEX(Sensors_MANU!$C$2:$C$4692,MATCH($P988,Sensors_MANU!$A$2:$A$4692,0))),"")</f>
        <v/>
      </c>
      <c r="J988">
        <f>IFERROR(_xlfn.IFNA(INDEX(Sensors_MANU!$D$2:$D$4692,MATCH($D988,Sensors_MANU!$B$2:$B$4692,0)),INDEX(Sensors_MANU!$D$2:$D$4692,MATCH($P988,Sensors_MANU!$A$2:$A$4692,0))),"")</f>
        <v/>
      </c>
      <c r="K988" s="27" t="inlineStr">
        <is>
          <t>M3555</t>
        </is>
      </c>
      <c r="L988" s="27" t="inlineStr">
        <is>
          <t>4R</t>
        </is>
      </c>
    </row>
    <row r="989">
      <c r="A989" s="32">
        <f>IFERROR(_xlfn.IFNA(INDEX(Sensors_MANU!$E$2:$E$4692,MATCH($D989,Sensors_MANU!$B$2:$B$4692,0)),INDEX(Sensors_MANU!$E$2:$E$4692,MATCH($P989,Sensors_MANU!$A$2:$A$4692,0))),"")</f>
        <v/>
      </c>
      <c r="B989" s="24">
        <f>IFERROR(INDEX(Companies!$A$3:$A$101,MATCH(A989,Companies!$B$3:$B$101,0)),"")</f>
        <v/>
      </c>
      <c r="D989" t="inlineStr">
        <is>
          <t>EFE40A8C2BA8</t>
        </is>
      </c>
      <c r="E989">
        <f>LEFT(D989,2)&amp;":"&amp;MID(D989,3,2)&amp;":"&amp;MID(D989,5,2)&amp;":"&amp;MID(D989,7,2)&amp;":"&amp;MID(D989,9,2)&amp;":"&amp;RIGHT(D989,2)</f>
        <v/>
      </c>
      <c r="F989" s="29" t="n">
        <v>44953</v>
      </c>
      <c r="G989" s="29" t="inlineStr">
        <is>
          <t>Fertagus</t>
        </is>
      </c>
      <c r="H989" t="inlineStr">
        <is>
          <t>E4D2DDE3260162A4</t>
        </is>
      </c>
      <c r="I989">
        <f>IFERROR(_xlfn.IFNA(INDEX(Sensors_MANU!$C$2:$C$4692,MATCH($D989,Sensors_MANU!$B$2:$B$4692,0)),INDEX(Sensors_MANU!$C$2:$C$4692,MATCH($P989,Sensors_MANU!$A$2:$A$4692,0))),"")</f>
        <v/>
      </c>
      <c r="J989">
        <f>IFERROR(_xlfn.IFNA(INDEX(Sensors_MANU!$D$2:$D$4692,MATCH($D989,Sensors_MANU!$B$2:$B$4692,0)),INDEX(Sensors_MANU!$D$2:$D$4692,MATCH($P989,Sensors_MANU!$A$2:$A$4692,0))),"")</f>
        <v/>
      </c>
      <c r="K989" s="27" t="inlineStr">
        <is>
          <t>R3505</t>
        </is>
      </c>
      <c r="L989" s="27" t="inlineStr">
        <is>
          <t>3L</t>
        </is>
      </c>
    </row>
    <row r="990">
      <c r="A990" s="32">
        <f>IFERROR(_xlfn.IFNA(INDEX(Sensors_MANU!$E$2:$E$4692,MATCH($D990,Sensors_MANU!$B$2:$B$4692,0)),INDEX(Sensors_MANU!$E$2:$E$4692,MATCH($P990,Sensors_MANU!$A$2:$A$4692,0))),"")</f>
        <v/>
      </c>
      <c r="B990" s="24">
        <f>IFERROR(INDEX(Companies!$A$3:$A$101,MATCH(A990,Companies!$B$3:$B$101,0)),"")</f>
        <v/>
      </c>
      <c r="C990">
        <f>IFERROR(_xlfn.IFNA(INDEX(Sensors_MANU!$F$2:$F$4692,MATCH($D990,Sensors_MANU!$B$2:$B$4692,0)),INDEX(Sensors_MANU!$F$2:$F$4692,MATCH($P990,Sensors_MANU!$A$2:$A$4692,0))),"")</f>
        <v/>
      </c>
      <c r="D990" t="inlineStr">
        <is>
          <t>CF55B51E7637</t>
        </is>
      </c>
      <c r="E990" s="24">
        <f>LEFT(D990,2)&amp;":"&amp;MID(D990,3,2)&amp;":"&amp;MID(D990,5,2)&amp;":"&amp;MID(D990,7,2)&amp;":"&amp;MID(D990,9,2)&amp;":"&amp;RIGHT(D990,2)</f>
        <v/>
      </c>
      <c r="F990" s="29" t="n">
        <v>44918</v>
      </c>
      <c r="G990" s="29" t="inlineStr">
        <is>
          <t>Hupac</t>
        </is>
      </c>
      <c r="H990" t="inlineStr">
        <is>
          <t>DCC6EF0B4E7CBF03</t>
        </is>
      </c>
      <c r="I990">
        <f>IFERROR(_xlfn.IFNA(INDEX(Sensors_MANU!$C$2:$C$4692,MATCH($D990,Sensors_MANU!$B$2:$B$4692,0)),INDEX(Sensors_MANU!$C$2:$C$4692,MATCH($P990,Sensors_MANU!$A$2:$A$4692,0))),"")</f>
        <v/>
      </c>
      <c r="J990">
        <f>IFERROR(_xlfn.IFNA(INDEX(Sensors_MANU!$D$2:$D$4692,MATCH($D990,Sensors_MANU!$B$2:$B$4692,0)),INDEX(Sensors_MANU!$D$2:$D$4692,MATCH($P990,Sensors_MANU!$A$2:$A$4692,0))),"")</f>
        <v/>
      </c>
      <c r="K990" s="27" t="inlineStr">
        <is>
          <t>33854556814-3</t>
        </is>
      </c>
      <c r="L990" s="27" t="inlineStr">
        <is>
          <t>1a</t>
        </is>
      </c>
      <c r="M990" s="61" t="inlineStr">
        <is>
          <t>88160550</t>
        </is>
      </c>
      <c r="O990" s="6" t="inlineStr">
        <is>
          <t>V25</t>
        </is>
      </c>
    </row>
    <row r="991">
      <c r="A991" s="32">
        <f>IFERROR(_xlfn.IFNA(INDEX(Sensors_MANU!$E$2:$E$4692,MATCH($D991,Sensors_MANU!$B$2:$B$4692,0)),INDEX(Sensors_MANU!$E$2:$E$4692,MATCH($P991,Sensors_MANU!$A$2:$A$4692,0))),"")</f>
        <v/>
      </c>
      <c r="B991" s="24">
        <f>IFERROR(INDEX(Companies!$A$3:$A$101,MATCH(A991,Companies!$B$3:$B$101,0)),"")</f>
        <v/>
      </c>
      <c r="C991">
        <f>IFERROR(_xlfn.IFNA(INDEX(Sensors_MANU!$F$2:$F$4692,MATCH($D991,Sensors_MANU!$B$2:$B$4692,0)),INDEX(Sensors_MANU!$F$2:$F$4692,MATCH($P991,Sensors_MANU!$A$2:$A$4692,0))),"")</f>
        <v/>
      </c>
      <c r="D991" t="inlineStr">
        <is>
          <t>F91321CD5D75</t>
        </is>
      </c>
      <c r="E991" s="24">
        <f>LEFT(D991,2)&amp;":"&amp;MID(D991,3,2)&amp;":"&amp;MID(D991,5,2)&amp;":"&amp;MID(D991,7,2)&amp;":"&amp;MID(D991,9,2)&amp;":"&amp;RIGHT(D991,2)</f>
        <v/>
      </c>
      <c r="H991" t="inlineStr">
        <is>
          <t>2764788C855308A3</t>
        </is>
      </c>
      <c r="I991">
        <f>IFERROR(_xlfn.IFNA(INDEX(Sensors_MANU!$C$2:$C$4692,MATCH($D991,Sensors_MANU!$B$2:$B$4692,0)),INDEX(Sensors_MANU!$C$2:$C$4692,MATCH($P991,Sensors_MANU!$A$2:$A$4692,0))),"")</f>
        <v/>
      </c>
      <c r="J991">
        <f>IFERROR(_xlfn.IFNA(INDEX(Sensors_MANU!$D$2:$D$4692,MATCH($D991,Sensors_MANU!$B$2:$B$4692,0)),INDEX(Sensors_MANU!$D$2:$D$4692,MATCH($P991,Sensors_MANU!$A$2:$A$4692,0))),"")</f>
        <v/>
      </c>
      <c r="N991" s="99" t="inlineStr">
        <is>
          <t>The operator has the device or its lost (they paid for it), but we dont monitor it on Ubidots anymore.</t>
        </is>
      </c>
      <c r="O991" s="6" t="inlineStr">
        <is>
          <t>V25</t>
        </is>
      </c>
    </row>
    <row r="992">
      <c r="A992" s="32">
        <f>IFERROR(_xlfn.IFNA(INDEX(Sensors_MANU!$E$2:$E$4692,MATCH($D992,Sensors_MANU!$B$2:$B$4692,0)),INDEX(Sensors_MANU!$E$2:$E$4692,MATCH($P992,Sensors_MANU!$A$2:$A$4692,0))),"")</f>
        <v/>
      </c>
      <c r="B992" s="24">
        <f>IFERROR(INDEX(Companies!$A$3:$A$101,MATCH(A992,Companies!$B$3:$B$101,0)),"")</f>
        <v/>
      </c>
      <c r="C992">
        <f>IFERROR(_xlfn.IFNA(INDEX(Sensors_MANU!$F$2:$F$4692,MATCH($D992,Sensors_MANU!$B$2:$B$4692,0)),INDEX(Sensors_MANU!$F$2:$F$4692,MATCH($P992,Sensors_MANU!$A$2:$A$4692,0))),"")</f>
        <v/>
      </c>
      <c r="D992" t="inlineStr">
        <is>
          <t>FDCD8EB1DC05</t>
        </is>
      </c>
      <c r="E992" s="24">
        <f>LEFT(D992,2)&amp;":"&amp;MID(D992,3,2)&amp;":"&amp;MID(D992,5,2)&amp;":"&amp;MID(D992,7,2)&amp;":"&amp;MID(D992,9,2)&amp;":"&amp;RIGHT(D992,2)</f>
        <v/>
      </c>
      <c r="F992" s="29" t="n">
        <v>44918</v>
      </c>
      <c r="G992" s="29" t="inlineStr">
        <is>
          <t>Hupac</t>
        </is>
      </c>
      <c r="H992" t="inlineStr">
        <is>
          <t>E8182F840BF7EC50</t>
        </is>
      </c>
      <c r="I992">
        <f>IFERROR(_xlfn.IFNA(INDEX(Sensors_MANU!$C$2:$C$4692,MATCH($D992,Sensors_MANU!$B$2:$B$4692,0)),INDEX(Sensors_MANU!$C$2:$C$4692,MATCH($P992,Sensors_MANU!$A$2:$A$4692,0))),"")</f>
        <v/>
      </c>
      <c r="J992">
        <f>IFERROR(_xlfn.IFNA(INDEX(Sensors_MANU!$D$2:$D$4692,MATCH($D992,Sensors_MANU!$B$2:$B$4692,0)),INDEX(Sensors_MANU!$D$2:$D$4692,MATCH($P992,Sensors_MANU!$A$2:$A$4692,0))),"")</f>
        <v/>
      </c>
      <c r="K992" s="27" t="inlineStr">
        <is>
          <t>33854956710-9</t>
        </is>
      </c>
      <c r="L992" s="27" t="inlineStr">
        <is>
          <t>4b</t>
        </is>
      </c>
      <c r="M992" s="61" t="inlineStr">
        <is>
          <t>88140103</t>
        </is>
      </c>
      <c r="N992" s="99">
        <f>IFERROR(INDEX(Sensors_MANU!$G$2:$G$4692,MATCH($P992,Sensors_MANU!$A$2:$A$4692,0)),)</f>
        <v/>
      </c>
      <c r="O992" s="6" t="inlineStr">
        <is>
          <t>v17</t>
        </is>
      </c>
      <c r="P992" t="n">
        <v>4978593</v>
      </c>
    </row>
    <row r="993">
      <c r="A993" s="32">
        <f>IFERROR(_xlfn.IFNA(INDEX(Sensors_MANU!$E$2:$E$4692,MATCH($D993,Sensors_MANU!$B$2:$B$4692,0)),INDEX(Sensors_MANU!$E$2:$E$4692,MATCH($P993,Sensors_MANU!$A$2:$A$4692,0))),"")</f>
        <v/>
      </c>
      <c r="B993" s="24">
        <f>IFERROR(INDEX(Companies!$A$3:$A$101,MATCH(A993,Companies!$B$3:$B$101,0)),"")</f>
        <v/>
      </c>
      <c r="C993">
        <f>IFERROR(_xlfn.IFNA(INDEX(Sensors_MANU!$F$2:$F$4692,MATCH($D993,Sensors_MANU!$B$2:$B$4692,0)),INDEX(Sensors_MANU!$F$2:$F$4692,MATCH($P993,Sensors_MANU!$A$2:$A$4692,0))),"")</f>
        <v/>
      </c>
      <c r="D993" t="inlineStr">
        <is>
          <t>E4A4917F78F1</t>
        </is>
      </c>
      <c r="E993">
        <f>LEFT(D993,2)&amp;":"&amp;MID(D993,3,2)&amp;":"&amp;MID(D993,5,2)&amp;":"&amp;MID(D993,7,2)&amp;":"&amp;MID(D993,9,2)&amp;":"&amp;RIGHT(D993,2)</f>
        <v/>
      </c>
      <c r="F993" s="29" t="n">
        <v>44918</v>
      </c>
      <c r="G993" s="29" t="inlineStr">
        <is>
          <t>Hupac</t>
        </is>
      </c>
      <c r="H993" t="inlineStr">
        <is>
          <t>1BF6E3239A9A3A36</t>
        </is>
      </c>
      <c r="I993">
        <f>IFERROR(_xlfn.IFNA(INDEX(Sensors_MANU!$C$2:$C$4692,MATCH($D993,Sensors_MANU!$B$2:$B$4692,0)),INDEX(Sensors_MANU!$C$2:$C$4692,MATCH($P993,Sensors_MANU!$A$2:$A$4692,0))),"")</f>
        <v/>
      </c>
      <c r="J993">
        <f>IFERROR(_xlfn.IFNA(INDEX(Sensors_MANU!$D$2:$D$4692,MATCH($D993,Sensors_MANU!$B$2:$B$4692,0)),INDEX(Sensors_MANU!$D$2:$D$4692,MATCH($P993,Sensors_MANU!$A$2:$A$4692,0))),"")</f>
        <v/>
      </c>
      <c r="K993" s="27" t="inlineStr">
        <is>
          <t>33854956673-9</t>
        </is>
      </c>
      <c r="L993" s="27" t="inlineStr">
        <is>
          <t>6b</t>
        </is>
      </c>
      <c r="M993" s="61" t="inlineStr">
        <is>
          <t>88160046</t>
        </is>
      </c>
    </row>
    <row r="994">
      <c r="A994" s="32">
        <f>IFERROR(_xlfn.IFNA(INDEX(Sensors_MANU!$E$2:$E$4692,MATCH($D994,Sensors_MANU!$B$2:$B$4692,0)),INDEX(Sensors_MANU!$E$2:$E$4692,MATCH($P994,Sensors_MANU!$A$2:$A$4692,0))),"")</f>
        <v/>
      </c>
      <c r="B994" s="24">
        <f>IFERROR(INDEX(Companies!$A$3:$A$101,MATCH(A994,Companies!$B$3:$B$101,0)),"")</f>
        <v/>
      </c>
      <c r="C994" s="25" t="inlineStr">
        <is>
          <t>sggmrs</t>
        </is>
      </c>
      <c r="D994" t="inlineStr">
        <is>
          <t>DFA498DC3A6C</t>
        </is>
      </c>
      <c r="E994">
        <f>LEFT(D994,2)&amp;":"&amp;MID(D994,3,2)&amp;":"&amp;MID(D994,5,2)&amp;":"&amp;MID(D994,7,2)&amp;":"&amp;MID(D994,9,2)&amp;":"&amp;RIGHT(D994,2)</f>
        <v/>
      </c>
      <c r="F994" s="29" t="n">
        <v>44938</v>
      </c>
      <c r="G994" s="29" t="inlineStr">
        <is>
          <t>Ambrogio</t>
        </is>
      </c>
      <c r="H994" t="inlineStr">
        <is>
          <t>E9241A35ACA7CE50</t>
        </is>
      </c>
      <c r="I994">
        <f>IFERROR(_xlfn.IFNA(INDEX(Sensors_MANU!$C$2:$C$4692,MATCH($D994,Sensors_MANU!$B$2:$B$4692,0)),INDEX(Sensors_MANU!$C$2:$C$4692,MATCH($P994,Sensors_MANU!$A$2:$A$4692,0))),"")</f>
        <v/>
      </c>
      <c r="J994" s="64">
        <f>IFERROR(_xlfn.IFNA(INDEX(Sensors_MANU!$D$2:$D$4692,MATCH($D994,Sensors_MANU!$B$2:$B$4692,0)),INDEX(Sensors_MANU!$D$2:$D$4692,MATCH($P994,Sensors_MANU!$A$2:$A$4692,0))),"")</f>
        <v/>
      </c>
      <c r="K994" s="27" t="inlineStr">
        <is>
          <t>33-83-495-4-940-6</t>
        </is>
      </c>
      <c r="L994" s="27" t="inlineStr">
        <is>
          <t>6L</t>
        </is>
      </c>
    </row>
    <row r="995">
      <c r="A995" s="32">
        <f>IFERROR(_xlfn.IFNA(INDEX(Sensors_MANU!$E$2:$E$4692,MATCH($D995,Sensors_MANU!$B$2:$B$4692,0)),INDEX(Sensors_MANU!$E$2:$E$4692,MATCH($P995,Sensors_MANU!$A$2:$A$4692,0))),"")</f>
        <v/>
      </c>
      <c r="B995" s="24">
        <f>IFERROR(INDEX(Companies!$A$3:$A$101,MATCH(A995,Companies!$B$3:$B$101,0)),"")</f>
        <v/>
      </c>
      <c r="C995">
        <f>IFERROR(_xlfn.IFNA(INDEX(Sensors_MANU!$F$2:$F$4692,MATCH($D995,Sensors_MANU!$B$2:$B$4692,0)),INDEX(Sensors_MANU!$F$2:$F$4692,MATCH($P995,Sensors_MANU!$A$2:$A$4692,0))),"")</f>
        <v/>
      </c>
      <c r="D995" t="inlineStr">
        <is>
          <t>F9BDA3A5B702</t>
        </is>
      </c>
      <c r="E995">
        <f>LEFT(D995,2)&amp;":"&amp;MID(D995,3,2)&amp;":"&amp;MID(D995,5,2)&amp;":"&amp;MID(D995,7,2)&amp;":"&amp;MID(D995,9,2)&amp;":"&amp;RIGHT(D995,2)</f>
        <v/>
      </c>
      <c r="F995" s="29" t="n">
        <v>44918</v>
      </c>
      <c r="G995" s="29" t="inlineStr">
        <is>
          <t>Hupac</t>
        </is>
      </c>
      <c r="H995" t="inlineStr">
        <is>
          <t>FCA998BD80453CFD</t>
        </is>
      </c>
      <c r="I995">
        <f>IFERROR(_xlfn.IFNA(INDEX(Sensors_MANU!$C$2:$C$4692,MATCH($D995,Sensors_MANU!$B$2:$B$4692,0)),INDEX(Sensors_MANU!$C$2:$C$4692,MATCH($P995,Sensors_MANU!$A$2:$A$4692,0))),"")</f>
        <v/>
      </c>
      <c r="J995">
        <f>IFERROR(_xlfn.IFNA(INDEX(Sensors_MANU!$D$2:$D$4692,MATCH($D995,Sensors_MANU!$B$2:$B$4692,0)),INDEX(Sensors_MANU!$D$2:$D$4692,MATCH($P995,Sensors_MANU!$A$2:$A$4692,0))),"")</f>
        <v/>
      </c>
      <c r="K995" s="27" t="inlineStr">
        <is>
          <t>33854956710-9</t>
        </is>
      </c>
      <c r="L995" s="27" t="inlineStr">
        <is>
          <t>5a</t>
        </is>
      </c>
      <c r="M995" s="61" t="inlineStr">
        <is>
          <t>88160162</t>
        </is>
      </c>
      <c r="N995" s="99">
        <f>IFERROR(INDEX(Sensors_MANU!$G$2:$G$4692,MATCH($P995,Sensors_MANU!$A$2:$A$4692,0)),)</f>
        <v/>
      </c>
      <c r="O995" s="6" t="inlineStr">
        <is>
          <t>v17</t>
        </is>
      </c>
      <c r="P995" t="n">
        <v>4978580</v>
      </c>
    </row>
    <row r="996">
      <c r="B996" s="24">
        <f>IFERROR(INDEX(Companies!$A$3:$A$101,MATCH(A996,Companies!$B$3:$B$101,0)),"")</f>
        <v/>
      </c>
      <c r="D996" t="inlineStr">
        <is>
          <t>EB82770597B0</t>
        </is>
      </c>
      <c r="E996">
        <f>LEFT(D996,2)&amp;":"&amp;MID(D996,3,2)&amp;":"&amp;MID(D996,5,2)&amp;":"&amp;MID(D996,7,2)&amp;":"&amp;MID(D996,9,2)&amp;":"&amp;RIGHT(D996,2)</f>
        <v/>
      </c>
      <c r="H996" t="inlineStr">
        <is>
          <t>F284A8CF53AAB86A</t>
        </is>
      </c>
      <c r="I996">
        <f>IFERROR(_xlfn.IFNA(INDEX(Sensors_MANU!$C$2:$C$4692,MATCH($D996,Sensors_MANU!$B$2:$B$4692,0)),INDEX(Sensors_MANU!$C$2:$C$4692,MATCH($P996,Sensors_MANU!$A$2:$A$4692,0))),"")</f>
        <v/>
      </c>
      <c r="J996">
        <f>IFERROR(_xlfn.IFNA(INDEX(Sensors_MANU!$D$2:$D$4692,MATCH($D996,Sensors_MANU!$B$2:$B$4692,0)),INDEX(Sensors_MANU!$D$2:$D$4692,MATCH($P996,Sensors_MANU!$A$2:$A$4692,0))),"")</f>
        <v/>
      </c>
      <c r="N996" s="99">
        <f>IFERROR(INDEX(Sensors_MANU!$G$2:$G$4692,MATCH($P996,Sensors_MANU!$A$2:$A$4692,0)),)</f>
        <v/>
      </c>
      <c r="O996" s="6" t="inlineStr">
        <is>
          <t>v17</t>
        </is>
      </c>
      <c r="P996" t="n">
        <v>4978614</v>
      </c>
    </row>
    <row r="997">
      <c r="A997" s="32">
        <f>IFERROR(_xlfn.IFNA(INDEX(Sensors_MANU!$E$2:$E$4692,MATCH($D997,Sensors_MANU!$B$2:$B$4692,0)),INDEX(Sensors_MANU!$E$2:$E$4692,MATCH($P997,Sensors_MANU!$A$2:$A$4692,0))),"")</f>
        <v/>
      </c>
      <c r="B997" s="24">
        <f>IFERROR(INDEX(Companies!$A$3:$A$101,MATCH(A997,Companies!$B$3:$B$101,0)),"")</f>
        <v/>
      </c>
      <c r="C997">
        <f>IFERROR(_xlfn.IFNA(INDEX(Sensors_MANU!$F$2:$F$4692,MATCH($D997,Sensors_MANU!$B$2:$B$4692,0)),INDEX(Sensors_MANU!$F$2:$F$4692,MATCH($P997,Sensors_MANU!$A$2:$A$4692,0))),"")</f>
        <v/>
      </c>
      <c r="D997" t="inlineStr">
        <is>
          <t>E790ADE1386F</t>
        </is>
      </c>
      <c r="E997">
        <f>LEFT(D997,2)&amp;":"&amp;MID(D997,3,2)&amp;":"&amp;MID(D997,5,2)&amp;":"&amp;MID(D997,7,2)&amp;":"&amp;MID(D997,9,2)&amp;":"&amp;RIGHT(D997,2)</f>
        <v/>
      </c>
      <c r="F997" s="29" t="n">
        <v>44910</v>
      </c>
      <c r="G997" s="29" t="inlineStr">
        <is>
          <t>Viezo</t>
        </is>
      </c>
      <c r="H997" t="inlineStr">
        <is>
          <t>7592AA26902BC02A</t>
        </is>
      </c>
      <c r="I997">
        <f>IFERROR(_xlfn.IFNA(INDEX(Sensors_MANU!$C$2:$C$4692,MATCH($D997,Sensors_MANU!$B$2:$B$4692,0)),INDEX(Sensors_MANU!$C$2:$C$4692,MATCH($P997,Sensors_MANU!$A$2:$A$4692,0))),"")</f>
        <v/>
      </c>
      <c r="J997">
        <f>IFERROR(_xlfn.IFNA(INDEX(Sensors_MANU!$D$2:$D$4692,MATCH($D997,Sensors_MANU!$B$2:$B$4692,0)),INDEX(Sensors_MANU!$D$2:$D$4692,MATCH($P997,Sensors_MANU!$A$2:$A$4692,0))),"")</f>
        <v/>
      </c>
      <c r="K997" s="27" t="inlineStr">
        <is>
          <t>33854956699-4</t>
        </is>
      </c>
      <c r="L997" s="27" t="inlineStr">
        <is>
          <t>1a</t>
        </is>
      </c>
      <c r="M997" s="27" t="n">
        <v>88220141</v>
      </c>
      <c r="N997" s="99">
        <f>IFERROR(INDEX(Sensors_MANU!$G$2:$G$4692,MATCH($P997,Sensors_MANU!$A$2:$A$4692,0)),)</f>
        <v/>
      </c>
      <c r="O997" s="6" t="inlineStr">
        <is>
          <t>v16</t>
        </is>
      </c>
      <c r="P997" t="n">
        <v>4978713</v>
      </c>
    </row>
    <row r="998">
      <c r="A998" s="32">
        <f>IFERROR(_xlfn.IFNA(INDEX(Sensors_MANU!$E$2:$E$4692,MATCH($D998,Sensors_MANU!$B$2:$B$4692,0)),INDEX(Sensors_MANU!$E$2:$E$4692,MATCH($P998,Sensors_MANU!$A$2:$A$4692,0))),"")</f>
        <v/>
      </c>
      <c r="B998" s="24">
        <f>IFERROR(INDEX(Companies!$A$3:$A$101,MATCH(A998,Companies!$B$3:$B$101,0)),"")</f>
        <v/>
      </c>
      <c r="C998">
        <f>IFERROR(_xlfn.IFNA(INDEX(Sensors_MANU!$F$2:$F$4692,MATCH($D998,Sensors_MANU!$B$2:$B$4692,0)),INDEX(Sensors_MANU!$F$2:$F$4692,MATCH($P998,Sensors_MANU!$A$2:$A$4692,0))),"")</f>
        <v/>
      </c>
      <c r="D998" t="inlineStr">
        <is>
          <t>E09B251167F0</t>
        </is>
      </c>
      <c r="E998">
        <f>LEFT(D998,2)&amp;":"&amp;MID(D998,3,2)&amp;":"&amp;MID(D998,5,2)&amp;":"&amp;MID(D998,7,2)&amp;":"&amp;MID(D998,9,2)&amp;":"&amp;RIGHT(D998,2)</f>
        <v/>
      </c>
      <c r="F998" s="29" t="n">
        <v>44910</v>
      </c>
      <c r="G998" s="29" t="inlineStr">
        <is>
          <t>Viezo</t>
        </is>
      </c>
      <c r="H998" t="inlineStr">
        <is>
          <t>06F81B3650B4AAB7</t>
        </is>
      </c>
      <c r="I998" s="6">
        <f>IFERROR(_xlfn.IFNA(INDEX(Sensors_MANU!$C$2:$C$4692,MATCH($D998,Sensors_MANU!$B$2:$B$4692,0)),INDEX(Sensors_MANU!$C$2:$C$4692,MATCH($P998,Sensors_MANU!$A$2:$A$4692,0))),"")</f>
        <v/>
      </c>
      <c r="J998" s="24">
        <f>IFERROR(_xlfn.IFNA(INDEX(Sensors_MANU!$D$2:$D$4692,MATCH($D998,Sensors_MANU!$B$2:$B$4692,0)),INDEX(Sensors_MANU!$D$2:$D$4692,MATCH($P998,Sensors_MANU!$A$2:$A$4692,0))),"")</f>
        <v/>
      </c>
      <c r="K998" s="27" t="inlineStr">
        <is>
          <t>31835376007-3</t>
        </is>
      </c>
      <c r="L998" s="27" t="inlineStr">
        <is>
          <t>4L</t>
        </is>
      </c>
      <c r="M998" s="35" t="n"/>
      <c r="N998" s="99">
        <f>IFERROR(INDEX(Sensors_MANU!$G$2:$G$4692,MATCH($P998,Sensors_MANU!$A$2:$A$4692,0)),)</f>
        <v/>
      </c>
      <c r="O998" s="6" t="inlineStr">
        <is>
          <t>v16</t>
        </is>
      </c>
      <c r="P998" t="n">
        <v>4978695</v>
      </c>
    </row>
    <row r="999">
      <c r="A999" s="32">
        <f>IFERROR(_xlfn.IFNA(INDEX(Sensors_MANU!$E$2:$E$4692,MATCH($D999,Sensors_MANU!$B$2:$B$4692,0)),INDEX(Sensors_MANU!$E$2:$E$4692,MATCH($P999,Sensors_MANU!$A$2:$A$4692,0))),"")</f>
        <v/>
      </c>
      <c r="B999" s="24">
        <f>IFERROR(INDEX(Companies!$A$3:$A$101,MATCH(A999,Companies!$B$3:$B$101,0)),"")</f>
        <v/>
      </c>
      <c r="C999">
        <f>IFERROR(_xlfn.IFNA(INDEX(Sensors_MANU!$F$2:$F$4692,MATCH($D999,Sensors_MANU!$B$2:$B$4692,0)),INDEX(Sensors_MANU!$F$2:$F$4692,MATCH($P999,Sensors_MANU!$A$2:$A$4692,0))),"")</f>
        <v/>
      </c>
      <c r="D999" t="inlineStr">
        <is>
          <t>F35A1C90325E</t>
        </is>
      </c>
      <c r="E999" s="24">
        <f>LEFT(D999,2)&amp;":"&amp;MID(D999,3,2)&amp;":"&amp;MID(D999,5,2)&amp;":"&amp;MID(D999,7,2)&amp;":"&amp;MID(D999,9,2)&amp;":"&amp;RIGHT(D999,2)</f>
        <v/>
      </c>
      <c r="F999" s="29" t="n">
        <v>44880</v>
      </c>
      <c r="G999" s="29" t="inlineStr">
        <is>
          <t>Viezo</t>
        </is>
      </c>
      <c r="H999" t="inlineStr">
        <is>
          <t>677C87E432DF9DB8</t>
        </is>
      </c>
      <c r="I999">
        <f>IFERROR(_xlfn.IFNA(INDEX(Sensors_MANU!$C$2:$C$4692,MATCH($D999,Sensors_MANU!$B$2:$B$4692,0)),INDEX(Sensors_MANU!$C$2:$C$4692,MATCH($P999,Sensors_MANU!$A$2:$A$4692,0))),"")</f>
        <v/>
      </c>
      <c r="J999">
        <f>IFERROR(_xlfn.IFNA(INDEX(Sensors_MANU!$D$2:$D$4692,MATCH($D999,Sensors_MANU!$B$2:$B$4692,0)),INDEX(Sensors_MANU!$D$2:$D$4692,MATCH($P999,Sensors_MANU!$A$2:$A$4692,0))),"")</f>
        <v/>
      </c>
      <c r="K999" s="27" t="inlineStr">
        <is>
          <t>83546985084-5</t>
        </is>
      </c>
      <c r="L999" s="27" t="inlineStr">
        <is>
          <t>1L</t>
        </is>
      </c>
      <c r="O999" s="6" t="inlineStr">
        <is>
          <t>V25</t>
        </is>
      </c>
    </row>
    <row r="1000">
      <c r="A1000" s="32" t="inlineStr">
        <is>
          <t>RSA</t>
        </is>
      </c>
      <c r="B1000" s="24">
        <f>IFERROR(INDEX(Companies!$A$3:$A$101,MATCH(A1000,Companies!$B$3:$B$101,0)),"")</f>
        <v/>
      </c>
      <c r="C1000">
        <f>IFERROR(_xlfn.IFNA(INDEX(Sensors_MANU!$F$2:$F$4692,MATCH($D1000,Sensors_MANU!$B$2:$B$4692,0)),INDEX(Sensors_MANU!$F$2:$F$4692,MATCH($P1000,Sensors_MANU!$A$2:$A$4692,0))),"")</f>
        <v/>
      </c>
      <c r="D1000" t="inlineStr">
        <is>
          <t>DCCB49DE7039</t>
        </is>
      </c>
      <c r="E1000" s="24">
        <f>LEFT(D1000,2)&amp;":"&amp;MID(D1000,3,2)&amp;":"&amp;MID(D1000,5,2)&amp;":"&amp;MID(D1000,7,2)&amp;":"&amp;MID(D1000,9,2)&amp;":"&amp;RIGHT(D1000,2)</f>
        <v/>
      </c>
      <c r="H1000" t="inlineStr">
        <is>
          <t>92749D99A0DFDB82</t>
        </is>
      </c>
      <c r="I1000">
        <f>IFERROR(_xlfn.IFNA(INDEX(Sensors_MANU!$C$2:$C$4692,MATCH($D1000,Sensors_MANU!$B$2:$B$4692,0)),INDEX(Sensors_MANU!$C$2:$C$4692,MATCH($P1000,Sensors_MANU!$A$2:$A$4692,0))),"")</f>
        <v/>
      </c>
      <c r="J1000" s="65" t="inlineStr">
        <is>
          <t>PR2206-458</t>
        </is>
      </c>
      <c r="O1000" s="6" t="inlineStr">
        <is>
          <t>V24</t>
        </is>
      </c>
    </row>
    <row r="1001">
      <c r="A1001" s="32">
        <f>IFERROR(_xlfn.IFNA(INDEX(Sensors_MANU!$E$2:$E$4692,MATCH($D1001,Sensors_MANU!$B$2:$B$4692,0)),INDEX(Sensors_MANU!$E$2:$E$4692,MATCH($P1001,Sensors_MANU!$A$2:$A$4692,0))),"")</f>
        <v/>
      </c>
      <c r="B1001" s="24">
        <f>IFERROR(INDEX(Companies!$A$3:$A$101,MATCH(A1001,Companies!$B$3:$B$101,0)),"")</f>
        <v/>
      </c>
      <c r="C1001">
        <f>IFERROR(_xlfn.IFNA(INDEX(Sensors_MANU!$F$2:$F$4692,MATCH($D1001,Sensors_MANU!$B$2:$B$4692,0)),INDEX(Sensors_MANU!$F$2:$F$4692,MATCH($P1001,Sensors_MANU!$A$2:$A$4692,0))),"")</f>
        <v/>
      </c>
      <c r="D1001" s="25" t="inlineStr">
        <is>
          <t>D19967FDD50C</t>
        </is>
      </c>
      <c r="E1001" s="24">
        <f>LEFT(D1001,2)&amp;":"&amp;MID(D1001,3,2)&amp;":"&amp;MID(D1001,5,2)&amp;":"&amp;MID(D1001,7,2)&amp;":"&amp;MID(D1001,9,2)&amp;":"&amp;RIGHT(D1001,2)</f>
        <v/>
      </c>
      <c r="F1001" s="29" t="n">
        <v>44938</v>
      </c>
      <c r="G1001" s="29" t="inlineStr">
        <is>
          <t>Ambrogio</t>
        </is>
      </c>
      <c r="H1001" t="inlineStr">
        <is>
          <t>F5C38FBC403144E4</t>
        </is>
      </c>
      <c r="I1001">
        <f>IFERROR(_xlfn.IFNA(INDEX(Sensors_MANU!$C$2:$C$4692,MATCH($D1001,Sensors_MANU!$B$2:$B$4692,0)),INDEX(Sensors_MANU!$C$2:$C$4692,MATCH($P1001,Sensors_MANU!$A$2:$A$4692,0))),"")</f>
        <v/>
      </c>
      <c r="J1001" s="64">
        <f>IFERROR(_xlfn.IFNA(INDEX(Sensors_MANU!$D$2:$D$4692,MATCH($D1001,Sensors_MANU!$B$2:$B$4692,0)),INDEX(Sensors_MANU!$D$2:$D$4692,MATCH($P1001,Sensors_MANU!$A$2:$A$4692,0))),"")</f>
        <v/>
      </c>
      <c r="K1001" s="27" t="inlineStr">
        <is>
          <t>33-83-495-4-940-6</t>
        </is>
      </c>
      <c r="L1001" s="27" t="inlineStr">
        <is>
          <t>5L</t>
        </is>
      </c>
      <c r="O1001" s="6" t="inlineStr">
        <is>
          <t>V23</t>
        </is>
      </c>
    </row>
    <row r="1002">
      <c r="A1002" s="32">
        <f>IFERROR(_xlfn.IFNA(INDEX(Sensors_MANU!$E$2:$E$4692,MATCH($D1002,Sensors_MANU!$B$2:$B$4692,0)),INDEX(Sensors_MANU!$E$2:$E$4692,MATCH($P1002,Sensors_MANU!$A$2:$A$4692,0))),"")</f>
        <v/>
      </c>
      <c r="B1002" s="24">
        <f>IFERROR(INDEX(Companies!$A$3:$A$101,MATCH(A1002,Companies!$B$3:$B$101,0)),"")</f>
        <v/>
      </c>
      <c r="C1002" t="inlineStr">
        <is>
          <t>cargo</t>
        </is>
      </c>
      <c r="D1002" t="inlineStr">
        <is>
          <t>F2D91205ACDA</t>
        </is>
      </c>
      <c r="E1002">
        <f>LEFT(D1002,2)&amp;":"&amp;MID(D1002,3,2)&amp;":"&amp;MID(D1002,5,2)&amp;":"&amp;MID(D1002,7,2)&amp;":"&amp;MID(D1002,9,2)&amp;":"&amp;RIGHT(D1002,2)</f>
        <v/>
      </c>
      <c r="F1002" s="29" t="n">
        <v>44910</v>
      </c>
      <c r="G1002" s="29" t="inlineStr">
        <is>
          <t>Viezo</t>
        </is>
      </c>
      <c r="H1002" t="inlineStr">
        <is>
          <t>268A44B2E23FBF34</t>
        </is>
      </c>
      <c r="I1002">
        <f>IFERROR(_xlfn.IFNA(INDEX(Sensors_MANU!$C$2:$C$4692,MATCH($D1002,Sensors_MANU!$B$2:$B$4692,0)),INDEX(Sensors_MANU!$C$2:$C$4692,MATCH($P1002,Sensors_MANU!$A$2:$A$4692,0))),"")</f>
        <v/>
      </c>
      <c r="J1002">
        <f>IFERROR(_xlfn.IFNA(INDEX(Sensors_MANU!$D$2:$D$4692,MATCH($D1002,Sensors_MANU!$B$2:$B$4692,0)),INDEX(Sensors_MANU!$D$2:$D$4692,MATCH($P1002,Sensors_MANU!$A$2:$A$4692,0))),"")</f>
        <v/>
      </c>
      <c r="K1002" s="27" t="inlineStr">
        <is>
          <t>33854575320-8</t>
        </is>
      </c>
      <c r="L1002" s="27" t="inlineStr">
        <is>
          <t>3a</t>
        </is>
      </c>
      <c r="M1002" s="27" t="inlineStr">
        <is>
          <t>0 71789</t>
        </is>
      </c>
      <c r="N1002" s="99">
        <f>IFERROR(INDEX(Sensors_MANU!$G$2:$G$4692,MATCH($P1002,Sensors_MANU!$A$2:$A$4692,0)),)</f>
        <v/>
      </c>
      <c r="O1002" s="6" t="inlineStr">
        <is>
          <t>v15</t>
        </is>
      </c>
      <c r="P1002" t="n">
        <v>4978560</v>
      </c>
    </row>
    <row r="1003">
      <c r="A1003" s="32">
        <f>IFERROR(_xlfn.IFNA(INDEX(Sensors_MANU!$E$2:$E$4692,MATCH($D1003,Sensors_MANU!$B$2:$B$4692,0)),INDEX(Sensors_MANU!$E$2:$E$4692,MATCH($P1003,Sensors_MANU!$A$2:$A$4692,0))),"")</f>
        <v/>
      </c>
      <c r="B1003" s="24">
        <f>IFERROR(INDEX(Companies!$A$3:$A$101,MATCH(A1003,Companies!$B$3:$B$101,0)),"")</f>
        <v/>
      </c>
      <c r="C1003">
        <f>IFERROR(_xlfn.IFNA(INDEX(Sensors_MANU!$F$2:$F$4692,MATCH($D1003,Sensors_MANU!$B$2:$B$4692,0)),INDEX(Sensors_MANU!$F$2:$F$4692,MATCH($P1003,Sensors_MANU!$A$2:$A$4692,0))),"")</f>
        <v/>
      </c>
      <c r="D1003" t="inlineStr">
        <is>
          <t>E3BFB14DB9C1</t>
        </is>
      </c>
      <c r="E1003">
        <f>LEFT(D1003,2)&amp;":"&amp;MID(D1003,3,2)&amp;":"&amp;MID(D1003,5,2)&amp;":"&amp;MID(D1003,7,2)&amp;":"&amp;MID(D1003,9,2)&amp;":"&amp;RIGHT(D1003,2)</f>
        <v/>
      </c>
      <c r="F1003" s="29" t="n">
        <v>44910</v>
      </c>
      <c r="G1003" s="29" t="inlineStr">
        <is>
          <t>Viezo</t>
        </is>
      </c>
      <c r="H1003" t="inlineStr">
        <is>
          <t>A89536F9B26422B1</t>
        </is>
      </c>
      <c r="I1003">
        <f>IFERROR(_xlfn.IFNA(INDEX(Sensors_MANU!$C$2:$C$4692,MATCH($D1003,Sensors_MANU!$B$2:$B$4692,0)),INDEX(Sensors_MANU!$C$2:$C$4692,MATCH($P1003,Sensors_MANU!$A$2:$A$4692,0))),"")</f>
        <v/>
      </c>
      <c r="J1003">
        <f>IFERROR(_xlfn.IFNA(INDEX(Sensors_MANU!$D$2:$D$4692,MATCH($D1003,Sensors_MANU!$B$2:$B$4692,0)),INDEX(Sensors_MANU!$D$2:$D$4692,MATCH($P1003,Sensors_MANU!$A$2:$A$4692,0))),"")</f>
        <v/>
      </c>
      <c r="K1003" s="27" t="inlineStr">
        <is>
          <t>33854956478-3</t>
        </is>
      </c>
      <c r="L1003" s="27" t="inlineStr">
        <is>
          <t>12b</t>
        </is>
      </c>
      <c r="M1003" s="61" t="inlineStr">
        <is>
          <t>88192322</t>
        </is>
      </c>
      <c r="N1003" s="99">
        <f>IFERROR(INDEX(Sensors_MANU!$G$2:$G$4692,MATCH($P1003,Sensors_MANU!$A$2:$A$4692,0)),)</f>
        <v/>
      </c>
      <c r="O1003" s="6" t="inlineStr">
        <is>
          <t>v17</t>
        </is>
      </c>
      <c r="P1003" t="n">
        <v>4978773</v>
      </c>
    </row>
    <row r="1004">
      <c r="A1004" s="32">
        <f>IFERROR(_xlfn.IFNA(INDEX(Sensors_MANU!$E$2:$E$4692,MATCH($D1004,Sensors_MANU!$B$2:$B$4692,0)),INDEX(Sensors_MANU!$E$2:$E$4692,MATCH($P1004,Sensors_MANU!$A$2:$A$4692,0))),"")</f>
        <v/>
      </c>
      <c r="B1004" s="24">
        <f>IFERROR(INDEX(Companies!$A$3:$A$101,MATCH(A1004,Companies!$B$3:$B$101,0)),"")</f>
        <v/>
      </c>
      <c r="C1004">
        <f>IFERROR(_xlfn.IFNA(INDEX(Sensors_MANU!$F$2:$F$4692,MATCH($D1004,Sensors_MANU!$B$2:$B$4692,0)),INDEX(Sensors_MANU!$F$2:$F$4692,MATCH($P1004,Sensors_MANU!$A$2:$A$4692,0))),"")</f>
        <v/>
      </c>
      <c r="D1004" t="inlineStr">
        <is>
          <t>EE63A98A1584</t>
        </is>
      </c>
      <c r="E1004" s="24">
        <f>LEFT(D1004,2)&amp;":"&amp;MID(D1004,3,2)&amp;":"&amp;MID(D1004,5,2)&amp;":"&amp;MID(D1004,7,2)&amp;":"&amp;MID(D1004,9,2)&amp;":"&amp;RIGHT(D1004,2)</f>
        <v/>
      </c>
      <c r="F1004" s="29" t="n">
        <v>44918</v>
      </c>
      <c r="G1004" s="29" t="inlineStr">
        <is>
          <t>Hupac</t>
        </is>
      </c>
      <c r="H1004" t="inlineStr">
        <is>
          <t>CFC9390D9312D84D</t>
        </is>
      </c>
      <c r="I1004">
        <f>IFERROR(_xlfn.IFNA(INDEX(Sensors_MANU!$C$2:$C$4692,MATCH($D1004,Sensors_MANU!$B$2:$B$4692,0)),INDEX(Sensors_MANU!$C$2:$C$4692,MATCH($P1004,Sensors_MANU!$A$2:$A$4692,0))),"")</f>
        <v/>
      </c>
      <c r="J1004">
        <f>IFERROR(_xlfn.IFNA(INDEX(Sensors_MANU!$D$2:$D$4692,MATCH($D1004,Sensors_MANU!$B$2:$B$4692,0)),INDEX(Sensors_MANU!$D$2:$D$4692,MATCH($P1004,Sensors_MANU!$A$2:$A$4692,0))),"")</f>
        <v/>
      </c>
      <c r="K1004" s="27" t="inlineStr">
        <is>
          <t>33854956673-9</t>
        </is>
      </c>
      <c r="L1004" s="27" t="inlineStr">
        <is>
          <t>5a</t>
        </is>
      </c>
      <c r="M1004" s="61" t="inlineStr">
        <is>
          <t>88160046</t>
        </is>
      </c>
      <c r="O1004" s="6" t="inlineStr">
        <is>
          <t>V25</t>
        </is>
      </c>
    </row>
    <row r="1005">
      <c r="A1005" s="32">
        <f>IFERROR(_xlfn.IFNA(INDEX(Sensors_MANU!$E$2:$E$4692,MATCH($D1005,Sensors_MANU!$B$2:$B$4692,0)),INDEX(Sensors_MANU!$E$2:$E$4692,MATCH($P1005,Sensors_MANU!$A$2:$A$4692,0))),"")</f>
        <v/>
      </c>
      <c r="B1005" s="24">
        <f>IFERROR(INDEX(Companies!$A$3:$A$101,MATCH(A1005,Companies!$B$3:$B$101,0)),"")</f>
        <v/>
      </c>
      <c r="C1005">
        <f>IFERROR(_xlfn.IFNA(INDEX(Sensors_MANU!$F$2:$F$4692,MATCH($D1005,Sensors_MANU!$B$2:$B$4692,0)),INDEX(Sensors_MANU!$F$2:$F$4692,MATCH($P1005,Sensors_MANU!$A$2:$A$4692,0))),"")</f>
        <v/>
      </c>
      <c r="D1005" t="inlineStr">
        <is>
          <t>CF70EBAC3092</t>
        </is>
      </c>
      <c r="E1005">
        <f>LEFT(D1005,2)&amp;":"&amp;MID(D1005,3,2)&amp;":"&amp;MID(D1005,5,2)&amp;":"&amp;MID(D1005,7,2)&amp;":"&amp;MID(D1005,9,2)&amp;":"&amp;RIGHT(D1005,2)</f>
        <v/>
      </c>
      <c r="F1005" s="29" t="n">
        <v>44918</v>
      </c>
      <c r="G1005" s="29" t="inlineStr">
        <is>
          <t>Hupac</t>
        </is>
      </c>
      <c r="H1005" t="inlineStr">
        <is>
          <t>C15539A8EFE91242</t>
        </is>
      </c>
      <c r="I1005">
        <f>IFERROR(_xlfn.IFNA(INDEX(Sensors_MANU!$C$2:$C$4692,MATCH($D1005,Sensors_MANU!$B$2:$B$4692,0)),INDEX(Sensors_MANU!$C$2:$C$4692,MATCH($P1005,Sensors_MANU!$A$2:$A$4692,0))),"")</f>
        <v/>
      </c>
      <c r="J1005">
        <f>IFERROR(_xlfn.IFNA(INDEX(Sensors_MANU!$D$2:$D$4692,MATCH($D1005,Sensors_MANU!$B$2:$B$4692,0)),INDEX(Sensors_MANU!$D$2:$D$4692,MATCH($P1005,Sensors_MANU!$A$2:$A$4692,0))),"")</f>
        <v/>
      </c>
      <c r="K1005" s="27" t="inlineStr">
        <is>
          <t>33854956710-9</t>
        </is>
      </c>
      <c r="L1005" s="27" t="inlineStr">
        <is>
          <t>12b</t>
        </is>
      </c>
      <c r="M1005" s="61" t="inlineStr">
        <is>
          <t>88150094</t>
        </is>
      </c>
    </row>
    <row r="1006">
      <c r="A1006" s="32">
        <f>IFERROR(_xlfn.IFNA(INDEX(Sensors_MANU!$E$2:$E$4692,MATCH($D1006,Sensors_MANU!$B$2:$B$4692,0)),INDEX(Sensors_MANU!$E$2:$E$4692,MATCH($P1006,Sensors_MANU!$A$2:$A$4692,0))),"")</f>
        <v/>
      </c>
      <c r="B1006" s="24">
        <f>IFERROR(INDEX(Companies!$A$3:$A$101,MATCH(A1006,Companies!$B$3:$B$101,0)),"")</f>
        <v/>
      </c>
      <c r="D1006" t="inlineStr">
        <is>
          <t>C64033A968CD</t>
        </is>
      </c>
      <c r="E1006">
        <f>LEFT(D1006,2)&amp;":"&amp;MID(D1006,3,2)&amp;":"&amp;MID(D1006,5,2)&amp;":"&amp;MID(D1006,7,2)&amp;":"&amp;MID(D1006,9,2)&amp;":"&amp;RIGHT(D1006,2)</f>
        <v/>
      </c>
      <c r="F1006" s="29" t="n">
        <v>44953</v>
      </c>
      <c r="G1006" s="29" t="inlineStr">
        <is>
          <t>Fertagus</t>
        </is>
      </c>
      <c r="H1006" t="inlineStr">
        <is>
          <t>BA37AB80A41E3221</t>
        </is>
      </c>
      <c r="I1006">
        <f>IFERROR(_xlfn.IFNA(INDEX(Sensors_MANU!$C$2:$C$4692,MATCH($D1006,Sensors_MANU!$B$2:$B$4692,0)),INDEX(Sensors_MANU!$C$2:$C$4692,MATCH($P1006,Sensors_MANU!$A$2:$A$4692,0))),"")</f>
        <v/>
      </c>
      <c r="J1006">
        <f>IFERROR(_xlfn.IFNA(INDEX(Sensors_MANU!$D$2:$D$4692,MATCH($D1006,Sensors_MANU!$B$2:$B$4692,0)),INDEX(Sensors_MANU!$D$2:$D$4692,MATCH($P1006,Sensors_MANU!$A$2:$A$4692,0))),"")</f>
        <v/>
      </c>
      <c r="K1006" s="27" t="inlineStr">
        <is>
          <t>R3555</t>
        </is>
      </c>
      <c r="L1006" s="27" t="inlineStr">
        <is>
          <t>1L</t>
        </is>
      </c>
    </row>
    <row r="1007">
      <c r="A1007" s="32">
        <f>IFERROR(_xlfn.IFNA(INDEX(Sensors_MANU!$E$2:$E$4692,MATCH($D1007,Sensors_MANU!$B$2:$B$4692,0)),INDEX(Sensors_MANU!$E$2:$E$4692,MATCH($P1007,Sensors_MANU!$A$2:$A$4692,0))),"")</f>
        <v/>
      </c>
      <c r="B1007" s="24">
        <f>IFERROR(INDEX(Companies!$A$3:$A$101,MATCH(A1007,Companies!$B$3:$B$101,0)),"")</f>
        <v/>
      </c>
      <c r="C1007">
        <f>IFERROR(_xlfn.IFNA(INDEX(Sensors_MANU!$F$2:$F$4692,MATCH($D1007,Sensors_MANU!$B$2:$B$4692,0)),INDEX(Sensors_MANU!$F$2:$F$4692,MATCH($P1007,Sensors_MANU!$A$2:$A$4692,0))),"")</f>
        <v/>
      </c>
      <c r="D1007" t="inlineStr">
        <is>
          <t>C88B6AE82333</t>
        </is>
      </c>
      <c r="E1007">
        <f>LEFT(D1007,2)&amp;":"&amp;MID(D1007,3,2)&amp;":"&amp;MID(D1007,5,2)&amp;":"&amp;MID(D1007,7,2)&amp;":"&amp;MID(D1007,9,2)&amp;":"&amp;RIGHT(D1007,2)</f>
        <v/>
      </c>
      <c r="F1007" s="29" t="n">
        <v>44918</v>
      </c>
      <c r="G1007" s="29" t="inlineStr">
        <is>
          <t>Hupac</t>
        </is>
      </c>
      <c r="H1007" t="inlineStr">
        <is>
          <t>A14895691B73013F</t>
        </is>
      </c>
      <c r="I1007">
        <f>IFERROR(_xlfn.IFNA(INDEX(Sensors_MANU!$C$2:$C$4692,MATCH($D1007,Sensors_MANU!$B$2:$B$4692,0)),INDEX(Sensors_MANU!$C$2:$C$4692,MATCH($P1007,Sensors_MANU!$A$2:$A$4692,0))),"")</f>
        <v/>
      </c>
      <c r="J1007">
        <f>IFERROR(_xlfn.IFNA(INDEX(Sensors_MANU!$D$2:$D$4692,MATCH($D1007,Sensors_MANU!$B$2:$B$4692,0)),INDEX(Sensors_MANU!$D$2:$D$4692,MATCH($P1007,Sensors_MANU!$A$2:$A$4692,0))),"")</f>
        <v/>
      </c>
      <c r="K1007" s="27" t="inlineStr">
        <is>
          <t>33854956673-9</t>
        </is>
      </c>
      <c r="L1007" s="27" t="inlineStr">
        <is>
          <t>1a</t>
        </is>
      </c>
      <c r="M1007" s="61" t="inlineStr">
        <is>
          <t>88150291</t>
        </is>
      </c>
    </row>
    <row r="1008">
      <c r="B1008" s="24">
        <f>IFERROR(INDEX(Companies!$A$3:$A$101,MATCH(A1008,Companies!$B$3:$B$101,0)),"")</f>
        <v/>
      </c>
      <c r="D1008" t="inlineStr">
        <is>
          <t>EBF7FB8D70B7</t>
        </is>
      </c>
      <c r="E1008">
        <f>LEFT(D1008,2)&amp;":"&amp;MID(D1008,3,2)&amp;":"&amp;MID(D1008,5,2)&amp;":"&amp;MID(D1008,7,2)&amp;":"&amp;MID(D1008,9,2)&amp;":"&amp;RIGHT(D1008,2)</f>
        <v/>
      </c>
      <c r="H1008" t="inlineStr">
        <is>
          <t>1D951AA77602613C</t>
        </is>
      </c>
      <c r="I1008">
        <f>IFERROR(_xlfn.IFNA(INDEX(Sensors_MANU!$C$2:$C$4692,MATCH($D1008,Sensors_MANU!$B$2:$B$4692,0)),INDEX(Sensors_MANU!$C$2:$C$4692,MATCH($P1008,Sensors_MANU!$A$2:$A$4692,0))),"")</f>
        <v/>
      </c>
      <c r="J1008">
        <f>IFERROR(_xlfn.IFNA(INDEX(Sensors_MANU!$D$2:$D$4692,MATCH($D1008,Sensors_MANU!$B$2:$B$4692,0)),INDEX(Sensors_MANU!$D$2:$D$4692,MATCH($P1008,Sensors_MANU!$A$2:$A$4692,0))),"")</f>
        <v/>
      </c>
      <c r="N1008" s="99">
        <f>IFERROR(INDEX(Sensors_MANU!$G$2:$G$4692,MATCH($P1008,Sensors_MANU!$A$2:$A$4692,0)),)</f>
        <v/>
      </c>
      <c r="O1008" s="6" t="inlineStr">
        <is>
          <t>v17</t>
        </is>
      </c>
      <c r="P1008" t="n">
        <v>4978610</v>
      </c>
    </row>
    <row r="1009">
      <c r="A1009" s="32">
        <f>IFERROR(_xlfn.IFNA(INDEX(Sensors_MANU!$E$2:$E$4692,MATCH($D1009,Sensors_MANU!$B$2:$B$4692,0)),INDEX(Sensors_MANU!$E$2:$E$4692,MATCH($P1009,Sensors_MANU!$A$2:$A$4692,0))),"")</f>
        <v/>
      </c>
      <c r="B1009" s="24">
        <f>IFERROR(INDEX(Companies!$A$3:$A$101,MATCH(A1009,Companies!$B$3:$B$101,0)),"")</f>
        <v/>
      </c>
      <c r="C1009">
        <f>IFERROR(_xlfn.IFNA(INDEX(Sensors_MANU!$F$2:$F$4692,MATCH($D1009,Sensors_MANU!$B$2:$B$4692,0)),INDEX(Sensors_MANU!$F$2:$F$4692,MATCH($P1009,Sensors_MANU!$A$2:$A$4692,0))),"")</f>
        <v/>
      </c>
      <c r="D1009" t="inlineStr">
        <is>
          <t>CEAAF499AF24</t>
        </is>
      </c>
      <c r="E1009">
        <f>LEFT(D1009,2)&amp;":"&amp;MID(D1009,3,2)&amp;":"&amp;MID(D1009,5,2)&amp;":"&amp;MID(D1009,7,2)&amp;":"&amp;MID(D1009,9,2)&amp;":"&amp;RIGHT(D1009,2)</f>
        <v/>
      </c>
      <c r="F1009" s="29" t="n">
        <v>44918</v>
      </c>
      <c r="G1009" s="29" t="inlineStr">
        <is>
          <t>Hupac</t>
        </is>
      </c>
      <c r="H1009" t="inlineStr">
        <is>
          <t>E376D2BD936D0949</t>
        </is>
      </c>
      <c r="I1009">
        <f>IFERROR(_xlfn.IFNA(INDEX(Sensors_MANU!$C$2:$C$4692,MATCH($D1009,Sensors_MANU!$B$2:$B$4692,0)),INDEX(Sensors_MANU!$C$2:$C$4692,MATCH($P1009,Sensors_MANU!$A$2:$A$4692,0))),"")</f>
        <v/>
      </c>
      <c r="J1009">
        <f>IFERROR(_xlfn.IFNA(INDEX(Sensors_MANU!$D$2:$D$4692,MATCH($D1009,Sensors_MANU!$B$2:$B$4692,0)),INDEX(Sensors_MANU!$D$2:$D$4692,MATCH($P1009,Sensors_MANU!$A$2:$A$4692,0))),"")</f>
        <v/>
      </c>
      <c r="K1009" s="27" t="inlineStr">
        <is>
          <t>33854956673-9</t>
        </is>
      </c>
      <c r="L1009" s="27" t="inlineStr">
        <is>
          <t>11a</t>
        </is>
      </c>
      <c r="M1009" s="61" t="inlineStr">
        <is>
          <t>88150239</t>
        </is>
      </c>
    </row>
    <row r="1010">
      <c r="A1010" s="32">
        <f>IFERROR(_xlfn.IFNA(INDEX(Sensors_MANU!$E$2:$E$4692,MATCH($D1010,Sensors_MANU!$B$2:$B$4692,0)),INDEX(Sensors_MANU!$E$2:$E$4692,MATCH($P1010,Sensors_MANU!$A$2:$A$4692,0))),"")</f>
        <v/>
      </c>
      <c r="B1010" s="24">
        <f>IFERROR(INDEX(Companies!$A$3:$A$101,MATCH(A1010,Companies!$B$3:$B$101,0)),"")</f>
        <v/>
      </c>
      <c r="C1010">
        <f>IFERROR(_xlfn.IFNA(INDEX(Sensors_MANU!$F$2:$F$4692,MATCH($D1010,Sensors_MANU!$B$2:$B$4692,0)),INDEX(Sensors_MANU!$F$2:$F$4692,MATCH($P1010,Sensors_MANU!$A$2:$A$4692,0))),"")</f>
        <v/>
      </c>
      <c r="D1010" t="inlineStr">
        <is>
          <t>CA5943062913</t>
        </is>
      </c>
      <c r="E1010" s="24">
        <f>LEFT(D1010,2)&amp;":"&amp;MID(D1010,3,2)&amp;":"&amp;MID(D1010,5,2)&amp;":"&amp;MID(D1010,7,2)&amp;":"&amp;MID(D1010,9,2)&amp;":"&amp;RIGHT(D1010,2)</f>
        <v/>
      </c>
      <c r="F1010" s="29" t="n">
        <v>44880</v>
      </c>
      <c r="G1010" s="29" t="inlineStr">
        <is>
          <t>Viezo</t>
        </is>
      </c>
      <c r="H1010" t="inlineStr">
        <is>
          <t>41D2A9A57CA5182C</t>
        </is>
      </c>
      <c r="I1010">
        <f>IFERROR(_xlfn.IFNA(INDEX(Sensors_MANU!$C$2:$C$4692,MATCH($D1010,Sensors_MANU!$B$2:$B$4692,0)),INDEX(Sensors_MANU!$C$2:$C$4692,MATCH($P1010,Sensors_MANU!$A$2:$A$4692,0))),"")</f>
        <v/>
      </c>
      <c r="J1010">
        <f>IFERROR(_xlfn.IFNA(INDEX(Sensors_MANU!$D$2:$D$4692,MATCH($D1010,Sensors_MANU!$B$2:$B$4692,0)),INDEX(Sensors_MANU!$D$2:$D$4692,MATCH($P1010,Sensors_MANU!$A$2:$A$4692,0))),"")</f>
        <v/>
      </c>
      <c r="K1010" s="27" t="inlineStr">
        <is>
          <t>83546985085-2</t>
        </is>
      </c>
      <c r="L1010" s="27" t="inlineStr">
        <is>
          <t>3L</t>
        </is>
      </c>
      <c r="O1010" s="6" t="inlineStr">
        <is>
          <t>V25</t>
        </is>
      </c>
    </row>
    <row r="1011">
      <c r="A1011" s="32" t="inlineStr">
        <is>
          <t>RSA</t>
        </is>
      </c>
      <c r="B1011" s="24">
        <f>IFERROR(INDEX(Companies!$A$3:$A$101,MATCH(A1011,Companies!$B$3:$B$101,0)),"")</f>
        <v/>
      </c>
      <c r="C1011">
        <f>IFERROR(_xlfn.IFNA(INDEX(Sensors_MANU!$F$2:$F$4692,MATCH($D1011,Sensors_MANU!$B$2:$B$4692,0)),INDEX(Sensors_MANU!$F$2:$F$4692,MATCH($P1011,Sensors_MANU!$A$2:$A$4692,0))),"")</f>
        <v/>
      </c>
      <c r="D1011" t="inlineStr">
        <is>
          <t>EBF868572A79</t>
        </is>
      </c>
      <c r="E1011" s="24">
        <f>LEFT(D1011,2)&amp;":"&amp;MID(D1011,3,2)&amp;":"&amp;MID(D1011,5,2)&amp;":"&amp;MID(D1011,7,2)&amp;":"&amp;MID(D1011,9,2)&amp;":"&amp;RIGHT(D1011,2)</f>
        <v/>
      </c>
      <c r="H1011" t="inlineStr">
        <is>
          <t>E067B26F023EA628</t>
        </is>
      </c>
      <c r="I1011">
        <f>IFERROR(_xlfn.IFNA(INDEX(Sensors_MANU!$C$2:$C$4692,MATCH($D1011,Sensors_MANU!$B$2:$B$4692,0)),INDEX(Sensors_MANU!$C$2:$C$4692,MATCH($P1011,Sensors_MANU!$A$2:$A$4692,0))),"")</f>
        <v/>
      </c>
      <c r="J1011" s="65" t="inlineStr">
        <is>
          <t>PR2206-469</t>
        </is>
      </c>
      <c r="O1011" s="6" t="inlineStr">
        <is>
          <t>V25</t>
        </is>
      </c>
    </row>
    <row r="1012">
      <c r="A1012" s="32">
        <f>IFERROR(_xlfn.IFNA(INDEX(Sensors_MANU!$E$2:$E$4692,MATCH($D1012,Sensors_MANU!$B$2:$B$4692,0)),INDEX(Sensors_MANU!$E$2:$E$4692,MATCH($P1012,Sensors_MANU!$A$2:$A$4692,0))),"")</f>
        <v/>
      </c>
      <c r="B1012" s="24" t="inlineStr">
        <is>
          <t>64818ba10166b80f8d06f5fa</t>
        </is>
      </c>
      <c r="C1012">
        <f>IFERROR(_xlfn.IFNA(INDEX(Sensors_MANU!$F$2:$F$4692,MATCH($D1012,Sensors_MANU!$B$2:$B$4692,0)),INDEX(Sensors_MANU!$F$2:$F$4692,MATCH($P1012,Sensors_MANU!$A$2:$A$4692,0))),"")</f>
        <v/>
      </c>
      <c r="D1012" t="inlineStr">
        <is>
          <t>F75D7A13F249</t>
        </is>
      </c>
      <c r="E1012" s="24">
        <f>LEFT(D1012,2)&amp;":"&amp;MID(D1012,3,2)&amp;":"&amp;MID(D1012,5,2)&amp;":"&amp;MID(D1012,7,2)&amp;":"&amp;MID(D1012,9,2)&amp;":"&amp;RIGHT(D1012,2)</f>
        <v/>
      </c>
      <c r="F1012" s="29" t="n">
        <v>45090</v>
      </c>
      <c r="G1012" s="29" t="inlineStr">
        <is>
          <t>VIEZO</t>
        </is>
      </c>
      <c r="H1012" t="inlineStr">
        <is>
          <t>17A3C02B92A6915A</t>
        </is>
      </c>
      <c r="I1012">
        <f>IFERROR(_xlfn.IFNA(INDEX(Sensors_MANU!$C$2:$C$4692,MATCH($D1012,Sensors_MANU!$B$2:$B$4692,0)),INDEX(Sensors_MANU!$C$2:$C$4692,MATCH($P1012,Sensors_MANU!$A$2:$A$4692,0))),"")</f>
        <v/>
      </c>
      <c r="J1012">
        <f>IFERROR(_xlfn.IFNA(INDEX(Sensors_MANU!$D$2:$D$4692,MATCH($D1012,Sensors_MANU!$B$2:$B$4692,0)),INDEX(Sensors_MANU!$D$2:$D$4692,MATCH($P1012,Sensors_MANU!$A$2:$A$4692,0))),"")</f>
        <v/>
      </c>
      <c r="K1012" s="27" t="inlineStr">
        <is>
          <t>33802742207-4</t>
        </is>
      </c>
      <c r="L1012" s="27" t="inlineStr">
        <is>
          <t>2R</t>
        </is>
      </c>
      <c r="O1012" s="6" t="inlineStr">
        <is>
          <t>V24</t>
        </is>
      </c>
    </row>
    <row r="1013">
      <c r="A1013" s="32" t="inlineStr">
        <is>
          <t>RSA</t>
        </is>
      </c>
      <c r="B1013" s="24">
        <f>IFERROR(INDEX(Companies!$A$3:$A$101,MATCH(A1013,Companies!$B$3:$B$101,0)),"")</f>
        <v/>
      </c>
      <c r="C1013">
        <f>IFERROR(_xlfn.IFNA(INDEX(Sensors_MANU!$F$2:$F$4692,MATCH($D1013,Sensors_MANU!$B$2:$B$4692,0)),INDEX(Sensors_MANU!$F$2:$F$4692,MATCH($P1013,Sensors_MANU!$A$2:$A$4692,0))),"")</f>
        <v/>
      </c>
      <c r="D1013" t="inlineStr">
        <is>
          <t>D5966719C8B0</t>
        </is>
      </c>
      <c r="E1013">
        <f>LEFT(D1013,2)&amp;":"&amp;MID(D1013,3,2)&amp;":"&amp;MID(D1013,5,2)&amp;":"&amp;MID(D1013,7,2)&amp;":"&amp;MID(D1013,9,2)&amp;":"&amp;RIGHT(D1013,2)</f>
        <v/>
      </c>
      <c r="H1013" t="inlineStr">
        <is>
          <t>0AC7035D4CB9A1F8</t>
        </is>
      </c>
      <c r="J1013" s="65" t="inlineStr">
        <is>
          <t>PR2206-471</t>
        </is>
      </c>
      <c r="M1013" s="27" t="n"/>
      <c r="O1013" s="6" t="inlineStr">
        <is>
          <t>v16</t>
        </is>
      </c>
      <c r="P1013" t="n">
        <v>4978674</v>
      </c>
    </row>
    <row r="1014">
      <c r="A1014" s="32" t="inlineStr">
        <is>
          <t>RENFE</t>
        </is>
      </c>
      <c r="B1014" s="24">
        <f>IFERROR(INDEX(Companies!$A$3:$A$101,MATCH(A1014,Companies!$B$3:$B$101,0)),"")</f>
        <v/>
      </c>
      <c r="C1014">
        <f>IFERROR(_xlfn.IFNA(INDEX(Sensors_MANU!$F$2:$F$4692,MATCH($D1014,Sensors_MANU!$B$2:$B$4692,0)),INDEX(Sensors_MANU!$F$2:$F$4692,MATCH($P1014,Sensors_MANU!$A$2:$A$4692,0))),"")</f>
        <v/>
      </c>
      <c r="D1014" t="inlineStr">
        <is>
          <t>E012C5050FCD</t>
        </is>
      </c>
      <c r="E1014" s="24">
        <f>LEFT(D1014,2)&amp;":"&amp;MID(D1014,3,2)&amp;":"&amp;MID(D1014,5,2)&amp;":"&amp;MID(D1014,7,2)&amp;":"&amp;MID(D1014,9,2)&amp;":"&amp;RIGHT(D1014,2)</f>
        <v/>
      </c>
      <c r="H1014" t="inlineStr">
        <is>
          <t>BBD36922F333F603</t>
        </is>
      </c>
      <c r="I1014">
        <f>IFERROR(_xlfn.IFNA(INDEX(Sensors_MANU!$C$2:$C$4692,MATCH($D1014,Sensors_MANU!$B$2:$B$4692,0)),INDEX(Sensors_MANU!$C$2:$C$4692,MATCH($P1014,Sensors_MANU!$A$2:$A$4692,0))),"")</f>
        <v/>
      </c>
      <c r="J1014" s="68" t="inlineStr">
        <is>
          <t>PR2206-472</t>
        </is>
      </c>
      <c r="K1014" s="27" t="n">
        <v>529004</v>
      </c>
      <c r="L1014" s="27" t="inlineStr">
        <is>
          <t>1L</t>
        </is>
      </c>
      <c r="O1014" s="6" t="inlineStr">
        <is>
          <t>V25</t>
        </is>
      </c>
    </row>
    <row r="1015">
      <c r="A1015" s="32" t="inlineStr">
        <is>
          <t>TRANSWAGGON</t>
        </is>
      </c>
      <c r="B1015" s="24">
        <f>IFERROR(INDEX(Companies!$A$3:$A$101,MATCH(A1015,Companies!$B$3:$B$101,0)),"")</f>
        <v/>
      </c>
      <c r="C1015" t="inlineStr">
        <is>
          <t>cargo</t>
        </is>
      </c>
      <c r="D1015" t="inlineStr">
        <is>
          <t>C5259E1F2352</t>
        </is>
      </c>
      <c r="E1015" s="24">
        <f>LEFT(D1015,2)&amp;":"&amp;MID(D1015,3,2)&amp;":"&amp;MID(D1015,5,2)&amp;":"&amp;MID(D1015,7,2)&amp;":"&amp;MID(D1015,9,2)&amp;":"&amp;RIGHT(D1015,2)</f>
        <v/>
      </c>
      <c r="F1015" s="29" t="n">
        <v>45090</v>
      </c>
      <c r="G1015" s="29" t="inlineStr">
        <is>
          <t>VIEZO</t>
        </is>
      </c>
      <c r="H1015" t="inlineStr">
        <is>
          <t>56482F65460EAF44</t>
        </is>
      </c>
      <c r="I1015">
        <f>IFERROR(_xlfn.IFNA(INDEX(Sensors_MANU!$C$2:$C$4692,MATCH($D1015,Sensors_MANU!$B$2:$B$4692,0)),INDEX(Sensors_MANU!$C$2:$C$4692,MATCH($P1015,Sensors_MANU!$A$2:$A$4692,0))),"")</f>
        <v/>
      </c>
      <c r="J1015" t="inlineStr">
        <is>
          <t>PR2206-474</t>
        </is>
      </c>
      <c r="K1015" s="27" t="inlineStr">
        <is>
          <t>33802742265-2</t>
        </is>
      </c>
      <c r="L1015" s="27" t="inlineStr">
        <is>
          <t>4L</t>
        </is>
      </c>
    </row>
    <row r="1016">
      <c r="A1016" s="32">
        <f>IFERROR(_xlfn.IFNA(INDEX(Sensors_MANU!$E$2:$E$4692,MATCH($D1016,Sensors_MANU!$B$2:$B$4692,0)),INDEX(Sensors_MANU!$E$2:$E$4692,MATCH($P1016,Sensors_MANU!$A$2:$A$4692,0))),"")</f>
        <v/>
      </c>
      <c r="B1016" s="24">
        <f>IFERROR(INDEX(Companies!$A$3:$A$101,MATCH(A1016,Companies!$B$3:$B$101,0)),"")</f>
        <v/>
      </c>
      <c r="C1016">
        <f>IFERROR(_xlfn.IFNA(INDEX(Sensors_MANU!$F$2:$F$4692,MATCH($D1016,Sensors_MANU!$B$2:$B$4692,0)),INDEX(Sensors_MANU!$F$2:$F$4692,MATCH($P1016,Sensors_MANU!$A$2:$A$4692,0))),"")</f>
        <v/>
      </c>
      <c r="D1016" t="inlineStr">
        <is>
          <t>CEFE40D583FA</t>
        </is>
      </c>
      <c r="E1016" s="24">
        <f>LEFT(D1016,2)&amp;":"&amp;MID(D1016,3,2)&amp;":"&amp;MID(D1016,5,2)&amp;":"&amp;MID(D1016,7,2)&amp;":"&amp;MID(D1016,9,2)&amp;":"&amp;RIGHT(D1016,2)</f>
        <v/>
      </c>
      <c r="F1016" s="29" t="n">
        <v>44880</v>
      </c>
      <c r="G1016" s="29" t="inlineStr">
        <is>
          <t>Viezo</t>
        </is>
      </c>
      <c r="H1016" t="inlineStr">
        <is>
          <t>EDA0B4F5FE37A6BE</t>
        </is>
      </c>
      <c r="I1016">
        <f>IFERROR(_xlfn.IFNA(INDEX(Sensors_MANU!$C$2:$C$4692,MATCH($D1016,Sensors_MANU!$B$2:$B$4692,0)),INDEX(Sensors_MANU!$C$2:$C$4692,MATCH($P1016,Sensors_MANU!$A$2:$A$4692,0))),"")</f>
        <v/>
      </c>
      <c r="J1016">
        <f>IFERROR(_xlfn.IFNA(INDEX(Sensors_MANU!$D$2:$D$4692,MATCH($D1016,Sensors_MANU!$B$2:$B$4692,0)),INDEX(Sensors_MANU!$D$2:$D$4692,MATCH($P1016,Sensors_MANU!$A$2:$A$4692,0))),"")</f>
        <v/>
      </c>
      <c r="K1016" s="27" t="inlineStr">
        <is>
          <t>83546985030-8</t>
        </is>
      </c>
      <c r="L1016" s="27" t="inlineStr">
        <is>
          <t>4R</t>
        </is>
      </c>
      <c r="O1016" s="6" t="inlineStr">
        <is>
          <t>V25</t>
        </is>
      </c>
    </row>
    <row r="1017">
      <c r="A1017" s="32">
        <f>IFERROR(_xlfn.IFNA(INDEX(Sensors_MANU!$E$2:$E$4692,MATCH($D1017,Sensors_MANU!$B$2:$B$4692,0)),INDEX(Sensors_MANU!$E$2:$E$4692,MATCH($P1017,Sensors_MANU!$A$2:$A$4692,0))),"")</f>
        <v/>
      </c>
      <c r="B1017" s="24">
        <f>IFERROR(INDEX(Companies!$A$3:$A$101,MATCH(A1017,Companies!$B$3:$B$101,0)),"")</f>
        <v/>
      </c>
      <c r="C1017">
        <f>IFERROR(_xlfn.IFNA(INDEX(Sensors_MANU!$F$2:$F$4692,MATCH($D1017,Sensors_MANU!$B$2:$B$4692,0)),INDEX(Sensors_MANU!$F$2:$F$4692,MATCH($P1017,Sensors_MANU!$A$2:$A$4692,0))),"")</f>
        <v/>
      </c>
      <c r="D1017" t="inlineStr">
        <is>
          <t>F324C0B492CA</t>
        </is>
      </c>
      <c r="E1017" s="24">
        <f>LEFT(D1017,2)&amp;":"&amp;MID(D1017,3,2)&amp;":"&amp;MID(D1017,5,2)&amp;":"&amp;MID(D1017,7,2)&amp;":"&amp;MID(D1017,9,2)&amp;":"&amp;RIGHT(D1017,2)</f>
        <v/>
      </c>
      <c r="H1017" t="inlineStr">
        <is>
          <t>51908CC73F5FBC48</t>
        </is>
      </c>
      <c r="I1017">
        <f>IFERROR(_xlfn.IFNA(INDEX(Sensors_MANU!$C$2:$C$4692,MATCH($D1017,Sensors_MANU!$B$2:$B$4692,0)),INDEX(Sensors_MANU!$C$2:$C$4692,MATCH($P1017,Sensors_MANU!$A$2:$A$4692,0))),"")</f>
        <v/>
      </c>
      <c r="J1017">
        <f>IFERROR(_xlfn.IFNA(INDEX(Sensors_MANU!$D$2:$D$4692,MATCH($D1017,Sensors_MANU!$B$2:$B$4692,0)),INDEX(Sensors_MANU!$D$2:$D$4692,MATCH($P1017,Sensors_MANU!$A$2:$A$4692,0))),"")</f>
        <v/>
      </c>
      <c r="N1017" s="99" t="inlineStr">
        <is>
          <t>The operator has the device or its lost (they paid for it), but we dont monitor it on Ubidots anymore.</t>
        </is>
      </c>
      <c r="O1017" s="6" t="inlineStr">
        <is>
          <t>V25</t>
        </is>
      </c>
    </row>
    <row r="1018">
      <c r="A1018" s="32">
        <f>IFERROR(_xlfn.IFNA(INDEX(Sensors_MANU!$E$2:$E$4692,MATCH($D1018,Sensors_MANU!$B$2:$B$4692,0)),INDEX(Sensors_MANU!$E$2:$E$4692,MATCH($P1018,Sensors_MANU!$A$2:$A$4692,0))),"")</f>
        <v/>
      </c>
      <c r="B1018" s="24">
        <f>IFERROR(INDEX(Companies!$A$3:$A$101,MATCH(A1018,Companies!$B$3:$B$101,0)),"")</f>
        <v/>
      </c>
      <c r="C1018">
        <f>IFERROR(_xlfn.IFNA(INDEX(Sensors_MANU!$F$2:$F$4692,MATCH($D1018,Sensors_MANU!$B$2:$B$4692,0)),INDEX(Sensors_MANU!$F$2:$F$4692,MATCH($P1018,Sensors_MANU!$A$2:$A$4692,0))),"")</f>
        <v/>
      </c>
      <c r="D1018" t="inlineStr">
        <is>
          <t>F0A7A98C8A20</t>
        </is>
      </c>
      <c r="E1018" s="24">
        <f>LEFT(D1018,2)&amp;":"&amp;MID(D1018,3,2)&amp;":"&amp;MID(D1018,5,2)&amp;":"&amp;MID(D1018,7,2)&amp;":"&amp;MID(D1018,9,2)&amp;":"&amp;RIGHT(D1018,2)</f>
        <v/>
      </c>
      <c r="H1018" t="inlineStr">
        <is>
          <t>E769616F896E1B74</t>
        </is>
      </c>
      <c r="I1018">
        <f>IFERROR(_xlfn.IFNA(INDEX(Sensors_MANU!$C$2:$C$4692,MATCH($D1018,Sensors_MANU!$B$2:$B$4692,0)),INDEX(Sensors_MANU!$C$2:$C$4692,MATCH($P1018,Sensors_MANU!$A$2:$A$4692,0))),"")</f>
        <v/>
      </c>
      <c r="J1018">
        <f>IFERROR(_xlfn.IFNA(INDEX(Sensors_MANU!$D$2:$D$4692,MATCH($D1018,Sensors_MANU!$B$2:$B$4692,0)),INDEX(Sensors_MANU!$D$2:$D$4692,MATCH($P1018,Sensors_MANU!$A$2:$A$4692,0))),"")</f>
        <v/>
      </c>
      <c r="N1018" s="99" t="inlineStr">
        <is>
          <t>The operator has the device or its lost (they paid for it), but we dont monitor it on Ubidots anymore.</t>
        </is>
      </c>
      <c r="O1018" s="6" t="inlineStr">
        <is>
          <t>V25</t>
        </is>
      </c>
    </row>
    <row r="1019">
      <c r="A1019" s="32">
        <f>IFERROR(_xlfn.IFNA(INDEX(Sensors_MANU!$E$2:$E$4692,MATCH($D1019,Sensors_MANU!$B$2:$B$4692,0)),INDEX(Sensors_MANU!$E$2:$E$4692,MATCH($P1019,Sensors_MANU!$A$2:$A$4692,0))),"")</f>
        <v/>
      </c>
      <c r="B1019" s="24">
        <f>IFERROR(INDEX(Companies!$A$3:$A$101,MATCH(A1019,Companies!$B$3:$B$101,0)),"")</f>
        <v/>
      </c>
      <c r="C1019">
        <f>IFERROR(_xlfn.IFNA(INDEX(Sensors_MANU!$F$2:$F$4692,MATCH($D1019,Sensors_MANU!$B$2:$B$4692,0)),INDEX(Sensors_MANU!$F$2:$F$4692,MATCH($P1019,Sensors_MANU!$A$2:$A$4692,0))),"")</f>
        <v/>
      </c>
      <c r="D1019" t="inlineStr">
        <is>
          <t>DFAFA6BFA6C9</t>
        </is>
      </c>
      <c r="E1019" s="24">
        <f>LEFT(D1019,2)&amp;":"&amp;MID(D1019,3,2)&amp;":"&amp;MID(D1019,5,2)&amp;":"&amp;MID(D1019,7,2)&amp;":"&amp;MID(D1019,9,2)&amp;":"&amp;RIGHT(D1019,2)</f>
        <v/>
      </c>
      <c r="H1019" t="inlineStr">
        <is>
          <t>1665792142B7C036</t>
        </is>
      </c>
      <c r="I1019">
        <f>IFERROR(_xlfn.IFNA(INDEX(Sensors_MANU!$C$2:$C$4692,MATCH($D1019,Sensors_MANU!$B$2:$B$4692,0)),INDEX(Sensors_MANU!$C$2:$C$4692,MATCH($P1019,Sensors_MANU!$A$2:$A$4692,0))),"")</f>
        <v/>
      </c>
      <c r="J1019">
        <f>IFERROR(_xlfn.IFNA(INDEX(Sensors_MANU!$D$2:$D$4692,MATCH($D1019,Sensors_MANU!$B$2:$B$4692,0)),INDEX(Sensors_MANU!$D$2:$D$4692,MATCH($P1019,Sensors_MANU!$A$2:$A$4692,0))),"")</f>
        <v/>
      </c>
      <c r="N1019" s="99" t="inlineStr">
        <is>
          <t>The operator has the device or its lost (they paid for it), but we dont monitor it on Ubidots anymore.</t>
        </is>
      </c>
      <c r="O1019" s="6" t="inlineStr">
        <is>
          <t>V25</t>
        </is>
      </c>
    </row>
    <row r="1020">
      <c r="A1020" s="32" t="inlineStr">
        <is>
          <t>RSA</t>
        </is>
      </c>
      <c r="B1020" s="24">
        <f>IFERROR(INDEX(Companies!$A$3:$A$101,MATCH(A1020,Companies!$B$3:$B$101,0)),"")</f>
        <v/>
      </c>
      <c r="C1020">
        <f>IFERROR(_xlfn.IFNA(INDEX(Sensors_MANU!$F$2:$F$4692,MATCH($D1020,Sensors_MANU!$B$2:$B$4692,0)),INDEX(Sensors_MANU!$F$2:$F$4692,MATCH($P1020,Sensors_MANU!$A$2:$A$4692,0))),"")</f>
        <v/>
      </c>
      <c r="D1020" t="inlineStr">
        <is>
          <t>C1F1ED9479D9</t>
        </is>
      </c>
      <c r="E1020" s="24">
        <f>LEFT(D1020,2)&amp;":"&amp;MID(D1020,3,2)&amp;":"&amp;MID(D1020,5,2)&amp;":"&amp;MID(D1020,7,2)&amp;":"&amp;MID(D1020,9,2)&amp;":"&amp;RIGHT(D1020,2)</f>
        <v/>
      </c>
      <c r="H1020" t="inlineStr">
        <is>
          <t>7262C6AB276E48F3</t>
        </is>
      </c>
      <c r="I1020">
        <f>IFERROR(_xlfn.IFNA(INDEX(Sensors_MANU!$C$2:$C$4692,MATCH($D1020,Sensors_MANU!$B$2:$B$4692,0)),INDEX(Sensors_MANU!$C$2:$C$4692,MATCH($P1020,Sensors_MANU!$A$2:$A$4692,0))),"")</f>
        <v/>
      </c>
      <c r="J1020" s="65" t="inlineStr">
        <is>
          <t>PR2206-482</t>
        </is>
      </c>
      <c r="O1020" s="6" t="inlineStr">
        <is>
          <t>V24</t>
        </is>
      </c>
    </row>
    <row r="1021">
      <c r="A1021" s="32">
        <f>IFERROR(_xlfn.IFNA(INDEX(Sensors_MANU!$E$2:$E$4692,MATCH($D1021,Sensors_MANU!$B$2:$B$4692,0)),INDEX(Sensors_MANU!$E$2:$E$4692,MATCH($P1021,Sensors_MANU!$A$2:$A$4692,0))),"")</f>
        <v/>
      </c>
      <c r="B1021" s="24">
        <f>IFERROR(INDEX(Companies!$A$3:$A$101,MATCH(A1021,Companies!$B$3:$B$101,0)),"")</f>
        <v/>
      </c>
      <c r="C1021">
        <f>IFERROR(_xlfn.IFNA(INDEX(Sensors_MANU!$F$2:$F$4692,MATCH($D1021,Sensors_MANU!$B$2:$B$4692,0)),INDEX(Sensors_MANU!$F$2:$F$4692,MATCH($P1021,Sensors_MANU!$A$2:$A$4692,0))),"")</f>
        <v/>
      </c>
      <c r="D1021" t="inlineStr">
        <is>
          <t>CF5AB2F5AE9D</t>
        </is>
      </c>
      <c r="E1021" s="24">
        <f>LEFT(D1021,2)&amp;":"&amp;MID(D1021,3,2)&amp;":"&amp;MID(D1021,5,2)&amp;":"&amp;MID(D1021,7,2)&amp;":"&amp;MID(D1021,9,2)&amp;":"&amp;RIGHT(D1021,2)</f>
        <v/>
      </c>
      <c r="H1021" t="inlineStr">
        <is>
          <t>84BB946E4A7DE2CE</t>
        </is>
      </c>
      <c r="I1021">
        <f>IFERROR(_xlfn.IFNA(INDEX(Sensors_MANU!$C$2:$C$4692,MATCH($D1021,Sensors_MANU!$B$2:$B$4692,0)),INDEX(Sensors_MANU!$C$2:$C$4692,MATCH($P1021,Sensors_MANU!$A$2:$A$4692,0))),"")</f>
        <v/>
      </c>
      <c r="J1021">
        <f>IFERROR(_xlfn.IFNA(INDEX(Sensors_MANU!$D$2:$D$4692,MATCH($D1021,Sensors_MANU!$B$2:$B$4692,0)),INDEX(Sensors_MANU!$D$2:$D$4692,MATCH($P1021,Sensors_MANU!$A$2:$A$4692,0))),"")</f>
        <v/>
      </c>
      <c r="N1021" s="99" t="inlineStr">
        <is>
          <t>The operator has the device or its lost (they paid for it), but we dont monitor it on Ubidots anymore.</t>
        </is>
      </c>
      <c r="O1021" s="6" t="inlineStr">
        <is>
          <t>V25</t>
        </is>
      </c>
    </row>
    <row r="1022">
      <c r="A1022" s="32">
        <f>IFERROR(_xlfn.IFNA(INDEX(Sensors_MANU!$E$2:$E$4692,MATCH($D1022,Sensors_MANU!$B$2:$B$4692,0)),INDEX(Sensors_MANU!$E$2:$E$4692,MATCH($P1022,Sensors_MANU!$A$2:$A$4692,0))),"")</f>
        <v/>
      </c>
      <c r="B1022" s="24">
        <f>IFERROR(INDEX(Companies!$A$3:$A$101,MATCH(A1022,Companies!$B$3:$B$101,0)),"")</f>
        <v/>
      </c>
      <c r="D1022" t="inlineStr">
        <is>
          <t>CA7733FE6F86</t>
        </is>
      </c>
      <c r="E1022">
        <f>LEFT(D1022,2)&amp;":"&amp;MID(D1022,3,2)&amp;":"&amp;MID(D1022,5,2)&amp;":"&amp;MID(D1022,7,2)&amp;":"&amp;MID(D1022,9,2)&amp;":"&amp;RIGHT(D1022,2)</f>
        <v/>
      </c>
      <c r="H1022" t="inlineStr">
        <is>
          <t>8F4BB47A7BADBFE7</t>
        </is>
      </c>
      <c r="I1022">
        <f>IFERROR(_xlfn.IFNA(INDEX(Sensors_MANU!$C$2:$C$4692,MATCH($D1022,Sensors_MANU!$B$2:$B$4692,0)),INDEX(Sensors_MANU!$C$2:$C$4692,MATCH($P1022,Sensors_MANU!$A$2:$A$4692,0))),"")</f>
        <v/>
      </c>
      <c r="J1022">
        <f>IFERROR(_xlfn.IFNA(INDEX(Sensors_MANU!$D$2:$D$4692,MATCH($D1022,Sensors_MANU!$B$2:$B$4692,0)),INDEX(Sensors_MANU!$D$2:$D$4692,MATCH($P1022,Sensors_MANU!$A$2:$A$4692,0))),"")</f>
        <v/>
      </c>
      <c r="K1022" s="27" t="inlineStr">
        <is>
          <t>BAH101</t>
        </is>
      </c>
      <c r="L1022" s="27" t="inlineStr">
        <is>
          <t>3L</t>
        </is>
      </c>
    </row>
    <row r="1023">
      <c r="A1023" s="32">
        <f>IFERROR(_xlfn.IFNA(INDEX(Sensors_MANU!$E$2:$E$4692,MATCH($D1023,Sensors_MANU!$B$2:$B$4692,0)),INDEX(Sensors_MANU!$E$2:$E$4692,MATCH($P1023,Sensors_MANU!$A$2:$A$4692,0))),"")</f>
        <v/>
      </c>
      <c r="B1023" s="24">
        <f>IFERROR(INDEX(Companies!$A$3:$A$101,MATCH(A1023,Companies!$B$3:$B$101,0)),"")</f>
        <v/>
      </c>
      <c r="D1023" t="inlineStr">
        <is>
          <t>C950C0F81014</t>
        </is>
      </c>
      <c r="E1023">
        <f>LEFT(D1023,2)&amp;":"&amp;MID(D1023,3,2)&amp;":"&amp;MID(D1023,5,2)&amp;":"&amp;MID(D1023,7,2)&amp;":"&amp;MID(D1023,9,2)&amp;":"&amp;RIGHT(D1023,2)</f>
        <v/>
      </c>
      <c r="F1023" s="29" t="n">
        <v>44910</v>
      </c>
      <c r="G1023" s="29" t="inlineStr">
        <is>
          <t>Viezo</t>
        </is>
      </c>
      <c r="H1023" t="inlineStr">
        <is>
          <t>CD7FCA24615E1517</t>
        </is>
      </c>
      <c r="I1023">
        <f>IFERROR(_xlfn.IFNA(INDEX(Sensors_MANU!$C$2:$C$4692,MATCH($D1023,Sensors_MANU!$B$2:$B$4692,0)),INDEX(Sensors_MANU!$C$2:$C$4692,MATCH($P1023,Sensors_MANU!$A$2:$A$4692,0))),"")</f>
        <v/>
      </c>
      <c r="J1023">
        <f>IFERROR(_xlfn.IFNA(INDEX(Sensors_MANU!$D$2:$D$4692,MATCH($D1023,Sensors_MANU!$B$2:$B$4692,0)),INDEX(Sensors_MANU!$D$2:$D$4692,MATCH($P1023,Sensors_MANU!$A$2:$A$4692,0))),"")</f>
        <v/>
      </c>
      <c r="K1023" s="27" t="inlineStr">
        <is>
          <t>33854506221-2</t>
        </is>
      </c>
      <c r="L1023" s="27" t="inlineStr">
        <is>
          <t>8b</t>
        </is>
      </c>
      <c r="M1023" s="61" t="inlineStr">
        <is>
          <t>20042217</t>
        </is>
      </c>
    </row>
    <row r="1024">
      <c r="A1024" s="32">
        <f>IFERROR(_xlfn.IFNA(INDEX(Sensors_MANU!$E$2:$E$4692,MATCH($D1024,Sensors_MANU!$B$2:$B$4692,0)),INDEX(Sensors_MANU!$E$2:$E$4692,MATCH($P1024,Sensors_MANU!$A$2:$A$4692,0))),"")</f>
        <v/>
      </c>
      <c r="B1024" s="24">
        <f>IFERROR(INDEX(Companies!$A$3:$A$101,MATCH(A1024,Companies!$B$3:$B$101,0)),"")</f>
        <v/>
      </c>
      <c r="D1024" t="inlineStr">
        <is>
          <t>FC568A42C2EA</t>
        </is>
      </c>
      <c r="E1024">
        <f>LEFT(D1024,2)&amp;":"&amp;MID(D1024,3,2)&amp;":"&amp;MID(D1024,5,2)&amp;":"&amp;MID(D1024,7,2)&amp;":"&amp;MID(D1024,9,2)&amp;":"&amp;RIGHT(D1024,2)</f>
        <v/>
      </c>
      <c r="H1024" t="inlineStr">
        <is>
          <t>29C23DA05892754D</t>
        </is>
      </c>
      <c r="I1024">
        <f>IFERROR(_xlfn.IFNA(INDEX(Sensors_MANU!$C$2:$C$4692,MATCH($D1024,Sensors_MANU!$B$2:$B$4692,0)),INDEX(Sensors_MANU!$C$2:$C$4692,MATCH($P1024,Sensors_MANU!$A$2:$A$4692,0))),"")</f>
        <v/>
      </c>
      <c r="J1024">
        <f>IFERROR(_xlfn.IFNA(INDEX(Sensors_MANU!$D$2:$D$4692,MATCH($D1024,Sensors_MANU!$B$2:$B$4692,0)),INDEX(Sensors_MANU!$D$2:$D$4692,MATCH($P1024,Sensors_MANU!$A$2:$A$4692,0))),"")</f>
        <v/>
      </c>
      <c r="K1024" s="27" t="inlineStr">
        <is>
          <t>BAH101</t>
        </is>
      </c>
      <c r="L1024" s="27" t="inlineStr">
        <is>
          <t>1L</t>
        </is>
      </c>
    </row>
    <row r="1025">
      <c r="A1025" s="32">
        <f>IFERROR(_xlfn.IFNA(INDEX(Sensors_MANU!$E$2:$E$4692,MATCH($D1025,Sensors_MANU!$B$2:$B$4692,0)),INDEX(Sensors_MANU!$E$2:$E$4692,MATCH($P1025,Sensors_MANU!$A$2:$A$4692,0))),"")</f>
        <v/>
      </c>
      <c r="B1025" s="24">
        <f>IFERROR(INDEX(Companies!$A$3:$A$101,MATCH(A1025,Companies!$B$3:$B$101,0)),"")</f>
        <v/>
      </c>
      <c r="D1025" t="inlineStr">
        <is>
          <t>D1EE6787A5D5</t>
        </is>
      </c>
      <c r="E1025">
        <f>LEFT(D1025,2)&amp;":"&amp;MID(D1025,3,2)&amp;":"&amp;MID(D1025,5,2)&amp;":"&amp;MID(D1025,7,2)&amp;":"&amp;MID(D1025,9,2)&amp;":"&amp;RIGHT(D1025,2)</f>
        <v/>
      </c>
      <c r="F1025" s="29" t="n">
        <v>44953</v>
      </c>
      <c r="G1025" s="29" t="inlineStr">
        <is>
          <t>Fertagus</t>
        </is>
      </c>
      <c r="H1025" t="inlineStr">
        <is>
          <t>B44EB87BDE8E458B</t>
        </is>
      </c>
      <c r="I1025">
        <f>IFERROR(_xlfn.IFNA(INDEX(Sensors_MANU!$C$2:$C$4692,MATCH($D1025,Sensors_MANU!$B$2:$B$4692,0)),INDEX(Sensors_MANU!$C$2:$C$4692,MATCH($P1025,Sensors_MANU!$A$2:$A$4692,0))),"")</f>
        <v/>
      </c>
      <c r="J1025">
        <f>IFERROR(_xlfn.IFNA(INDEX(Sensors_MANU!$D$2:$D$4692,MATCH($D1025,Sensors_MANU!$B$2:$B$4692,0)),INDEX(Sensors_MANU!$D$2:$D$4692,MATCH($P1025,Sensors_MANU!$A$2:$A$4692,0))),"")</f>
        <v/>
      </c>
      <c r="K1025" s="27" t="inlineStr">
        <is>
          <t>R3505</t>
        </is>
      </c>
      <c r="L1025" s="27" t="inlineStr">
        <is>
          <t>3R</t>
        </is>
      </c>
    </row>
    <row r="1026">
      <c r="A1026" s="32">
        <f>IFERROR(_xlfn.IFNA(INDEX(Sensors_MANU!$E$2:$E$4692,MATCH($D1026,Sensors_MANU!$B$2:$B$4692,0)),INDEX(Sensors_MANU!$E$2:$E$4692,MATCH($P1026,Sensors_MANU!$A$2:$A$4692,0))),"")</f>
        <v/>
      </c>
      <c r="B1026" s="24">
        <f>IFERROR(INDEX(Companies!$A$3:$A$101,MATCH(A1026,Companies!$B$3:$B$101,0)),"")</f>
        <v/>
      </c>
      <c r="C1026" t="inlineStr">
        <is>
          <t>cargo</t>
        </is>
      </c>
      <c r="D1026" t="inlineStr">
        <is>
          <t>CE2CA30AC1A5</t>
        </is>
      </c>
      <c r="E1026">
        <f>LEFT(D1026,2)&amp;":"&amp;MID(D1026,3,2)&amp;":"&amp;MID(D1026,5,2)&amp;":"&amp;MID(D1026,7,2)&amp;":"&amp;MID(D1026,9,2)&amp;":"&amp;RIGHT(D1026,2)</f>
        <v/>
      </c>
      <c r="F1026" s="29" t="n">
        <v>44910</v>
      </c>
      <c r="G1026" s="29" t="inlineStr">
        <is>
          <t>Viezo</t>
        </is>
      </c>
      <c r="H1026" t="inlineStr">
        <is>
          <t>CC17631F5E0D39A3</t>
        </is>
      </c>
      <c r="I1026">
        <f>IFERROR(_xlfn.IFNA(INDEX(Sensors_MANU!$C$2:$C$4692,MATCH($D1026,Sensors_MANU!$B$2:$B$4692,0)),INDEX(Sensors_MANU!$C$2:$C$4692,MATCH($P1026,Sensors_MANU!$A$2:$A$4692,0))),"")</f>
        <v/>
      </c>
      <c r="J1026">
        <f>IFERROR(_xlfn.IFNA(INDEX(Sensors_MANU!$D$2:$D$4692,MATCH($D1026,Sensors_MANU!$B$2:$B$4692,0)),INDEX(Sensors_MANU!$D$2:$D$4692,MATCH($P1026,Sensors_MANU!$A$2:$A$4692,0))),"")</f>
        <v/>
      </c>
      <c r="K1026" s="27" t="inlineStr">
        <is>
          <t>33854506221-2</t>
        </is>
      </c>
      <c r="L1026" s="27" t="inlineStr">
        <is>
          <t>4b</t>
        </is>
      </c>
      <c r="M1026" s="27" t="inlineStr">
        <is>
          <t>0 71284</t>
        </is>
      </c>
      <c r="N1026" s="99">
        <f>IFERROR(INDEX(Sensors_MANU!$G$2:$G$4692,MATCH($P1026,Sensors_MANU!$A$2:$A$4692,0)),)</f>
        <v/>
      </c>
      <c r="O1026" s="6" t="inlineStr">
        <is>
          <t>v15</t>
        </is>
      </c>
      <c r="P1026" t="n">
        <v>4978680</v>
      </c>
    </row>
    <row r="1027">
      <c r="A1027" s="32">
        <f>IFERROR(_xlfn.IFNA(INDEX(Sensors_MANU!$E$2:$E$4692,MATCH($D1027,Sensors_MANU!$B$2:$B$4692,0)),INDEX(Sensors_MANU!$E$2:$E$4692,MATCH($P1027,Sensors_MANU!$A$2:$A$4692,0))),"")</f>
        <v/>
      </c>
      <c r="B1027" s="24">
        <f>IFERROR(INDEX(Companies!$A$3:$A$101,MATCH(A1027,Companies!$B$3:$B$101,0)),"")</f>
        <v/>
      </c>
      <c r="C1027">
        <f>IFERROR(_xlfn.IFNA(INDEX(Sensors_MANU!$F$2:$F$4692,MATCH($D1027,Sensors_MANU!$B$2:$B$4692,0)),INDEX(Sensors_MANU!$F$2:$F$4692,MATCH($P1027,Sensors_MANU!$A$2:$A$4692,0))),"")</f>
        <v/>
      </c>
      <c r="D1027" t="inlineStr">
        <is>
          <t>C7FD546A3E71</t>
        </is>
      </c>
      <c r="E1027">
        <f>LEFT(D1027,2)&amp;":"&amp;MID(D1027,3,2)&amp;":"&amp;MID(D1027,5,2)&amp;":"&amp;MID(D1027,7,2)&amp;":"&amp;MID(D1027,9,2)&amp;":"&amp;RIGHT(D1027,2)</f>
        <v/>
      </c>
      <c r="F1027" s="29" t="n">
        <v>44909</v>
      </c>
      <c r="G1027" s="29" t="inlineStr">
        <is>
          <t>HVLE</t>
        </is>
      </c>
      <c r="H1027" t="inlineStr">
        <is>
          <t>8F485907AB9A77A5</t>
        </is>
      </c>
      <c r="I1027">
        <f>IFERROR(_xlfn.IFNA(INDEX(Sensors_MANU!$C$2:$C$4692,MATCH($D1027,Sensors_MANU!$B$2:$B$4692,0)),INDEX(Sensors_MANU!$C$2:$C$4692,MATCH($P1027,Sensors_MANU!$A$2:$A$4692,0))),"")</f>
        <v/>
      </c>
      <c r="J1027">
        <f>IFERROR(_xlfn.IFNA(INDEX(Sensors_MANU!$D$2:$D$4692,MATCH($D1027,Sensors_MANU!$B$2:$B$4692,0)),INDEX(Sensors_MANU!$D$2:$D$4692,MATCH($P1027,Sensors_MANU!$A$2:$A$4692,0))),"")</f>
        <v/>
      </c>
      <c r="K1027" s="27" t="inlineStr">
        <is>
          <t>83546985088-6</t>
        </is>
      </c>
      <c r="L1027" s="27" t="inlineStr">
        <is>
          <t>2R</t>
        </is>
      </c>
      <c r="M1027" s="27" t="n"/>
      <c r="N1027" s="99">
        <f>IFERROR(INDEX(Sensors_MANU!$G$2:$G$4692,MATCH($P1027,Sensors_MANU!$A$2:$A$4692,0)),)</f>
        <v/>
      </c>
      <c r="O1027" s="6" t="inlineStr">
        <is>
          <t>v16</t>
        </is>
      </c>
      <c r="P1027" t="n">
        <v>4978903</v>
      </c>
    </row>
    <row r="1028">
      <c r="B1028" s="24">
        <f>IFERROR(INDEX(Companies!$A$3:$A$101,MATCH(A1028,Companies!$B$3:$B$101,0)),"")</f>
        <v/>
      </c>
      <c r="C1028">
        <f>IFERROR(_xlfn.IFNA(INDEX(Sensors_MANU!$F$2:$F$4692,MATCH($D1028,Sensors_MANU!$B$2:$B$4692,0)),INDEX(Sensors_MANU!$F$2:$F$4692,MATCH($P1028,Sensors_MANU!$A$2:$A$4692,0))),"")</f>
        <v/>
      </c>
      <c r="D1028" t="inlineStr">
        <is>
          <t>C27C2EB3C28F</t>
        </is>
      </c>
      <c r="E1028">
        <f>LEFT(D1028,2)&amp;":"&amp;MID(D1028,3,2)&amp;":"&amp;MID(D1028,5,2)&amp;":"&amp;MID(D1028,7,2)&amp;":"&amp;MID(D1028,9,2)&amp;":"&amp;RIGHT(D1028,2)</f>
        <v/>
      </c>
      <c r="H1028" t="inlineStr">
        <is>
          <t>163391A1497B0A50</t>
        </is>
      </c>
      <c r="I1028">
        <f>IFERROR(_xlfn.IFNA(INDEX(Sensors_MANU!$C$2:$C$4692,MATCH($D1028,Sensors_MANU!$B$2:$B$4692,0)),INDEX(Sensors_MANU!$C$2:$C$4692,MATCH($P1028,Sensors_MANU!$A$2:$A$4692,0))),"")</f>
        <v/>
      </c>
      <c r="J1028">
        <f>IFERROR(_xlfn.IFNA(INDEX(Sensors_MANU!$D$2:$D$4692,MATCH($D1028,Sensors_MANU!$B$2:$B$4692,0)),INDEX(Sensors_MANU!$D$2:$D$4692,MATCH($P1028,Sensors_MANU!$A$2:$A$4692,0))),"")</f>
        <v/>
      </c>
      <c r="M1028" s="27" t="n"/>
      <c r="N1028" s="99">
        <f>IFERROR(INDEX(Sensors_MANU!$G$2:$G$4692,MATCH($P1028,Sensors_MANU!$A$2:$A$4692,0)),)</f>
        <v/>
      </c>
      <c r="O1028" s="6" t="inlineStr">
        <is>
          <t>v16</t>
        </is>
      </c>
      <c r="P1028" t="n">
        <v>4978537</v>
      </c>
    </row>
    <row r="1029">
      <c r="A1029" s="32">
        <f>IFERROR(_xlfn.IFNA(INDEX(Sensors_MANU!$E$2:$E$4692,MATCH($D1029,Sensors_MANU!$B$2:$B$4692,0)),INDEX(Sensors_MANU!$E$2:$E$4692,MATCH($P1029,Sensors_MANU!$A$2:$A$4692,0))),"")</f>
        <v/>
      </c>
      <c r="B1029" s="24">
        <f>IFERROR(INDEX(Companies!$A$3:$A$101,MATCH(A1029,Companies!$B$3:$B$101,0)),"")</f>
        <v/>
      </c>
      <c r="D1029" t="inlineStr">
        <is>
          <t>EFE67569A6C7</t>
        </is>
      </c>
      <c r="E1029">
        <f>LEFT(D1029,2)&amp;":"&amp;MID(D1029,3,2)&amp;":"&amp;MID(D1029,5,2)&amp;":"&amp;MID(D1029,7,2)&amp;":"&amp;MID(D1029,9,2)&amp;":"&amp;RIGHT(D1029,2)</f>
        <v/>
      </c>
      <c r="F1029" s="29" t="n">
        <v>44953</v>
      </c>
      <c r="G1029" s="29" t="inlineStr">
        <is>
          <t>Fertagus</t>
        </is>
      </c>
      <c r="H1029" t="inlineStr">
        <is>
          <t>A9A5DAA80ACB7F19</t>
        </is>
      </c>
      <c r="I1029">
        <f>IFERROR(_xlfn.IFNA(INDEX(Sensors_MANU!$C$2:$C$4692,MATCH($D1029,Sensors_MANU!$B$2:$B$4692,0)),INDEX(Sensors_MANU!$C$2:$C$4692,MATCH($P1029,Sensors_MANU!$A$2:$A$4692,0))),"")</f>
        <v/>
      </c>
      <c r="J1029">
        <f>IFERROR(_xlfn.IFNA(INDEX(Sensors_MANU!$D$2:$D$4692,MATCH($D1029,Sensors_MANU!$B$2:$B$4692,0)),INDEX(Sensors_MANU!$D$2:$D$4692,MATCH($P1029,Sensors_MANU!$A$2:$A$4692,0))),"")</f>
        <v/>
      </c>
      <c r="K1029" s="27" t="inlineStr">
        <is>
          <t>R3505</t>
        </is>
      </c>
      <c r="L1029" s="27" t="inlineStr">
        <is>
          <t>4L</t>
        </is>
      </c>
    </row>
    <row r="1030">
      <c r="B1030" s="24">
        <f>IFERROR(INDEX(Companies!$A$3:$A$101,MATCH(A1030,Companies!$B$3:$B$101,0)),"")</f>
        <v/>
      </c>
      <c r="C1030">
        <f>IFERROR(_xlfn.IFNA(INDEX(Sensors_MANU!$F$2:$F$4692,MATCH($D1030,Sensors_MANU!$B$2:$B$4692,0)),INDEX(Sensors_MANU!$F$2:$F$4692,MATCH($P1030,Sensors_MANU!$A$2:$A$4692,0))),"")</f>
        <v/>
      </c>
      <c r="D1030" t="inlineStr">
        <is>
          <t>C1D14E2D9AD7</t>
        </is>
      </c>
      <c r="E1030">
        <f>LEFT(D1030,2)&amp;":"&amp;MID(D1030,3,2)&amp;":"&amp;MID(D1030,5,2)&amp;":"&amp;MID(D1030,7,2)&amp;":"&amp;MID(D1030,9,2)&amp;":"&amp;RIGHT(D1030,2)</f>
        <v/>
      </c>
      <c r="H1030" t="inlineStr">
        <is>
          <t>CAE0F0892B69B43C</t>
        </is>
      </c>
      <c r="I1030">
        <f>IFERROR(_xlfn.IFNA(INDEX(Sensors_MANU!$C$2:$C$4692,MATCH($D1030,Sensors_MANU!$B$2:$B$4692,0)),INDEX(Sensors_MANU!$C$2:$C$4692,MATCH($P1030,Sensors_MANU!$A$2:$A$4692,0))),"")</f>
        <v/>
      </c>
      <c r="J1030">
        <f>IFERROR(_xlfn.IFNA(INDEX(Sensors_MANU!$D$2:$D$4692,MATCH($D1030,Sensors_MANU!$B$2:$B$4692,0)),INDEX(Sensors_MANU!$D$2:$D$4692,MATCH($P1030,Sensors_MANU!$A$2:$A$4692,0))),"")</f>
        <v/>
      </c>
    </row>
    <row r="1031">
      <c r="A1031" s="32">
        <f>IFERROR(_xlfn.IFNA(INDEX(Sensors_MANU!$E$2:$E$4692,MATCH($D1031,Sensors_MANU!$B$2:$B$4692,0)),INDEX(Sensors_MANU!$E$2:$E$4692,MATCH($P1031,Sensors_MANU!$A$2:$A$4692,0))),"")</f>
        <v/>
      </c>
      <c r="B1031" s="24">
        <f>IFERROR(INDEX(Companies!$A$3:$A$101,MATCH(A1031,Companies!$B$3:$B$101,0)),"")</f>
        <v/>
      </c>
      <c r="C1031">
        <f>IFERROR(_xlfn.IFNA(INDEX(Sensors_MANU!$F$2:$F$4692,MATCH($D1031,Sensors_MANU!$B$2:$B$4692,0)),INDEX(Sensors_MANU!$F$2:$F$4692,MATCH($P1031,Sensors_MANU!$A$2:$A$4692,0))),"")</f>
        <v/>
      </c>
      <c r="D1031" t="inlineStr">
        <is>
          <t>DEDC45EFA4B5</t>
        </is>
      </c>
      <c r="E1031">
        <f>LEFT(D1031,2)&amp;":"&amp;MID(D1031,3,2)&amp;":"&amp;MID(D1031,5,2)&amp;":"&amp;MID(D1031,7,2)&amp;":"&amp;MID(D1031,9,2)&amp;":"&amp;RIGHT(D1031,2)</f>
        <v/>
      </c>
      <c r="F1031" s="29" t="n">
        <v>44910</v>
      </c>
      <c r="G1031" s="29" t="inlineStr">
        <is>
          <t>Viezo</t>
        </is>
      </c>
      <c r="H1031" t="inlineStr">
        <is>
          <t>66FE0F12CA440E47</t>
        </is>
      </c>
      <c r="I1031" s="6">
        <f>IFERROR(_xlfn.IFNA(INDEX(Sensors_MANU!$C$2:$C$4692,MATCH($D1031,Sensors_MANU!$B$2:$B$4692,0)),INDEX(Sensors_MANU!$C$2:$C$4692,MATCH($P1031,Sensors_MANU!$A$2:$A$4692,0))),"")</f>
        <v/>
      </c>
      <c r="J1031">
        <f>IFERROR(_xlfn.IFNA(INDEX(Sensors_MANU!$D$2:$D$4692,MATCH($D1031,Sensors_MANU!$B$2:$B$4692,0)),INDEX(Sensors_MANU!$D$2:$D$4692,MATCH($P1031,Sensors_MANU!$A$2:$A$4692,0))),"")</f>
        <v/>
      </c>
      <c r="K1031" s="27" t="inlineStr">
        <is>
          <t>33854575320-8</t>
        </is>
      </c>
      <c r="L1031" s="27" t="inlineStr">
        <is>
          <t>6b</t>
        </is>
      </c>
      <c r="M1031" s="27" t="n">
        <v>20011175</v>
      </c>
      <c r="O1031" s="6" t="inlineStr">
        <is>
          <t>v15</t>
        </is>
      </c>
      <c r="P1031" t="n">
        <v>4978627</v>
      </c>
    </row>
    <row r="1032">
      <c r="B1032" s="24">
        <f>IFERROR(INDEX(Companies!$A$3:$A$101,MATCH(A1032,Companies!$B$3:$B$101,0)),"")</f>
        <v/>
      </c>
      <c r="C1032">
        <f>IFERROR(_xlfn.IFNA(INDEX(Sensors_MANU!$F$2:$F$4692,MATCH($D1032,Sensors_MANU!$B$2:$B$4692,0)),INDEX(Sensors_MANU!$F$2:$F$4692,MATCH($P1032,Sensors_MANU!$A$2:$A$4692,0))),"")</f>
        <v/>
      </c>
      <c r="D1032" t="inlineStr">
        <is>
          <t>F70FD72637AD</t>
        </is>
      </c>
      <c r="E1032">
        <f>LEFT(D1032,2)&amp;":"&amp;MID(D1032,3,2)&amp;":"&amp;MID(D1032,5,2)&amp;":"&amp;MID(D1032,7,2)&amp;":"&amp;MID(D1032,9,2)&amp;":"&amp;RIGHT(D1032,2)</f>
        <v/>
      </c>
      <c r="H1032" t="inlineStr">
        <is>
          <t>7A1492B2D37FF89B</t>
        </is>
      </c>
      <c r="J1032" s="65" t="inlineStr">
        <is>
          <t>PR2206-496</t>
        </is>
      </c>
      <c r="M1032" s="27" t="n"/>
      <c r="N1032" s="99">
        <f>IFERROR(INDEX(Sensors_MANU!$G$2:$G$4692,MATCH($P1032,Sensors_MANU!$A$2:$A$4692,0)),)</f>
        <v/>
      </c>
      <c r="O1032" s="6" t="inlineStr">
        <is>
          <t>v16</t>
        </is>
      </c>
      <c r="P1032" t="n">
        <v>4978865</v>
      </c>
    </row>
    <row r="1033">
      <c r="B1033" s="24">
        <f>IFERROR(INDEX(Companies!$A$3:$A$101,MATCH(A1033,Companies!$B$3:$B$101,0)),"")</f>
        <v/>
      </c>
      <c r="C1033">
        <f>IFERROR(_xlfn.IFNA(INDEX(Sensors_MANU!$F$2:$F$4692,MATCH($D1033,Sensors_MANU!$B$2:$B$4692,0)),INDEX(Sensors_MANU!$F$2:$F$4692,MATCH($P1033,Sensors_MANU!$A$2:$A$4692,0))),"")</f>
        <v/>
      </c>
      <c r="D1033" t="inlineStr">
        <is>
          <t>E8A382AC52F2</t>
        </is>
      </c>
      <c r="E1033">
        <f>LEFT(D1033,2)&amp;":"&amp;MID(D1033,3,2)&amp;":"&amp;MID(D1033,5,2)&amp;":"&amp;MID(D1033,7,2)&amp;":"&amp;MID(D1033,9,2)&amp;":"&amp;RIGHT(D1033,2)</f>
        <v/>
      </c>
      <c r="H1033" s="18" t="inlineStr">
        <is>
          <t>4E7711F796AF5DAE</t>
        </is>
      </c>
      <c r="I1033">
        <f>IFERROR(_xlfn.IFNA(INDEX(Sensors_MANU!$C$2:$C$4692,MATCH($D1033,Sensors_MANU!$B$2:$B$4692,0)),INDEX(Sensors_MANU!$C$2:$C$4692,MATCH($P1033,Sensors_MANU!$A$2:$A$4692,0))),"")</f>
        <v/>
      </c>
      <c r="J1033" s="65" t="inlineStr">
        <is>
          <t>PR2206-497</t>
        </is>
      </c>
      <c r="M1033" s="27" t="n"/>
      <c r="N1033" s="99">
        <f>IFERROR(INDEX(Sensors_MANU!$G$2:$G$4692,MATCH($P1033,Sensors_MANU!$A$2:$A$4692,0)),)</f>
        <v/>
      </c>
      <c r="O1033" s="6" t="inlineStr">
        <is>
          <t>v16</t>
        </is>
      </c>
      <c r="P1033" t="n">
        <v>4978484</v>
      </c>
    </row>
    <row r="1034">
      <c r="B1034" s="24">
        <f>IFERROR(INDEX(Companies!$A$3:$A$101,MATCH(A1034,Companies!$B$3:$B$101,0)),"")</f>
        <v/>
      </c>
      <c r="C1034">
        <f>IFERROR(_xlfn.IFNA(INDEX(Sensors_MANU!$F$2:$F$4692,MATCH($D1034,Sensors_MANU!$B$2:$B$4692,0)),INDEX(Sensors_MANU!$F$2:$F$4692,MATCH($P1034,Sensors_MANU!$A$2:$A$4692,0))),"")</f>
        <v/>
      </c>
      <c r="D1034" t="inlineStr">
        <is>
          <t>EB298965773B</t>
        </is>
      </c>
      <c r="E1034" s="24">
        <f>LEFT(D1034,2)&amp;":"&amp;MID(D1034,3,2)&amp;":"&amp;MID(D1034,5,2)&amp;":"&amp;MID(D1034,7,2)&amp;":"&amp;MID(D1034,9,2)&amp;":"&amp;RIGHT(D1034,2)</f>
        <v/>
      </c>
      <c r="H1034" t="inlineStr">
        <is>
          <t>0DDCF05BE60DF120</t>
        </is>
      </c>
      <c r="I1034">
        <f>IFERROR(_xlfn.IFNA(INDEX(Sensors_MANU!$C$2:$C$4692,MATCH($D1034,Sensors_MANU!$B$2:$B$4692,0)),INDEX(Sensors_MANU!$C$2:$C$4692,MATCH($P1034,Sensors_MANU!$A$2:$A$4692,0))),"")</f>
        <v/>
      </c>
      <c r="J1034" s="65" t="inlineStr">
        <is>
          <t>PR2206-498</t>
        </is>
      </c>
      <c r="O1034" s="6" t="inlineStr">
        <is>
          <t>V24</t>
        </is>
      </c>
    </row>
    <row r="1035">
      <c r="A1035" s="32">
        <f>IFERROR(_xlfn.IFNA(INDEX(Sensors_MANU!$E$2:$E$4692,MATCH($D1035,Sensors_MANU!$B$2:$B$4692,0)),INDEX(Sensors_MANU!$E$2:$E$4692,MATCH($P1035,Sensors_MANU!$A$2:$A$4692,0))),"")</f>
        <v/>
      </c>
      <c r="B1035" s="24">
        <f>IFERROR(INDEX(Companies!$A$3:$A$101,MATCH(A1035,Companies!$B$3:$B$101,0)),"")</f>
        <v/>
      </c>
      <c r="C1035">
        <f>IFERROR(_xlfn.IFNA(INDEX(Sensors_MANU!$F$2:$F$4692,MATCH($D1035,Sensors_MANU!$B$2:$B$4692,0)),INDEX(Sensors_MANU!$F$2:$F$4692,MATCH($P1035,Sensors_MANU!$A$2:$A$4692,0))),"")</f>
        <v/>
      </c>
      <c r="D1035" t="inlineStr">
        <is>
          <t>D2C9D2A47FEB</t>
        </is>
      </c>
      <c r="E1035">
        <f>LEFT(D1035,2)&amp;":"&amp;MID(D1035,3,2)&amp;":"&amp;MID(D1035,5,2)&amp;":"&amp;MID(D1035,7,2)&amp;":"&amp;MID(D1035,9,2)&amp;":"&amp;RIGHT(D1035,2)</f>
        <v/>
      </c>
      <c r="F1035" s="29" t="n">
        <v>44880</v>
      </c>
      <c r="G1035" s="29" t="inlineStr">
        <is>
          <t>Viezo</t>
        </is>
      </c>
      <c r="H1035" t="inlineStr">
        <is>
          <t>893B49382FC7BA93</t>
        </is>
      </c>
      <c r="I1035">
        <f>IFERROR(_xlfn.IFNA(INDEX(Sensors_MANU!$C$2:$C$4692,MATCH($D1035,Sensors_MANU!$B$2:$B$4692,0)),INDEX(Sensors_MANU!$C$2:$C$4692,MATCH($P1035,Sensors_MANU!$A$2:$A$4692,0))),"")</f>
        <v/>
      </c>
      <c r="J1035" s="7">
        <f>IFERROR(_xlfn.IFNA(INDEX(Sensors_MANU!$D$2:$D$4692,MATCH($D1035,Sensors_MANU!$B$2:$B$4692,0)),INDEX(Sensors_MANU!$D$2:$D$4692,MATCH($P1035,Sensors_MANU!$A$2:$A$4692,0))),"")</f>
        <v/>
      </c>
      <c r="K1035" s="27" t="inlineStr">
        <is>
          <t>83546985015-9</t>
        </is>
      </c>
      <c r="L1035" s="27" t="inlineStr">
        <is>
          <t>4R</t>
        </is>
      </c>
      <c r="N1035" s="99" t="inlineStr">
        <is>
          <t>no response; (could be 308)</t>
        </is>
      </c>
      <c r="O1035" s="6" t="inlineStr">
        <is>
          <t>v16</t>
        </is>
      </c>
      <c r="P1035" t="n">
        <v>4978744</v>
      </c>
    </row>
    <row r="1036">
      <c r="A1036" s="32">
        <f>IFERROR(_xlfn.IFNA(INDEX(Sensors_MANU!$E$2:$E$4692,MATCH($D1036,Sensors_MANU!$B$2:$B$4692,0)),INDEX(Sensors_MANU!$E$2:$E$4692,MATCH($P1036,Sensors_MANU!$A$2:$A$4692,0))),"")</f>
        <v/>
      </c>
      <c r="B1036" s="24" t="inlineStr">
        <is>
          <t>64818ba10166b80f8d06f5fa</t>
        </is>
      </c>
      <c r="C1036">
        <f>IFERROR(_xlfn.IFNA(INDEX(Sensors_MANU!$F$2:$F$4692,MATCH($D1036,Sensors_MANU!$B$2:$B$4692,0)),INDEX(Sensors_MANU!$F$2:$F$4692,MATCH($P1036,Sensors_MANU!$A$2:$A$4692,0))),"")</f>
        <v/>
      </c>
      <c r="D1036" t="inlineStr">
        <is>
          <t>D82A2D4894EF</t>
        </is>
      </c>
      <c r="E1036" s="24">
        <f>LEFT(D1036,2)&amp;":"&amp;MID(D1036,3,2)&amp;":"&amp;MID(D1036,5,2)&amp;":"&amp;MID(D1036,7,2)&amp;":"&amp;MID(D1036,9,2)&amp;":"&amp;RIGHT(D1036,2)</f>
        <v/>
      </c>
      <c r="F1036" s="29" t="n">
        <v>45097</v>
      </c>
      <c r="G1036" s="29" t="inlineStr">
        <is>
          <t>TRANSWAGG</t>
        </is>
      </c>
      <c r="H1036" t="inlineStr">
        <is>
          <t>42AE7483705D4065</t>
        </is>
      </c>
      <c r="I1036">
        <f>IFERROR(_xlfn.IFNA(INDEX(Sensors_MANU!$C$2:$C$4692,MATCH($D1036,Sensors_MANU!$B$2:$B$4692,0)),INDEX(Sensors_MANU!$C$2:$C$4692,MATCH($P1036,Sensors_MANU!$A$2:$A$4692,0))),"")</f>
        <v/>
      </c>
      <c r="J1036">
        <f>IFERROR(_xlfn.IFNA(INDEX(Sensors_MANU!$D$2:$D$4692,MATCH($D1036,Sensors_MANU!$B$2:$B$4692,0)),INDEX(Sensors_MANU!$D$2:$D$4692,MATCH($P1036,Sensors_MANU!$A$2:$A$4692,0))),"")</f>
        <v/>
      </c>
      <c r="K1036" s="27" t="inlineStr">
        <is>
          <t>33802742527-5</t>
        </is>
      </c>
      <c r="L1036" s="27" t="inlineStr">
        <is>
          <t>2L</t>
        </is>
      </c>
      <c r="O1036" s="6" t="inlineStr">
        <is>
          <t>V25</t>
        </is>
      </c>
    </row>
    <row r="1037">
      <c r="A1037" s="32">
        <f>IFERROR(_xlfn.IFNA(INDEX(Sensors_MANU!$E$2:$E$4692,MATCH($D1037,Sensors_MANU!$B$2:$B$4692,0)),INDEX(Sensors_MANU!$E$2:$E$4692,MATCH($P1037,Sensors_MANU!$A$2:$A$4692,0))),"")</f>
        <v/>
      </c>
      <c r="B1037" s="24" t="inlineStr">
        <is>
          <t>64818ba10166b80f8d06f5fa</t>
        </is>
      </c>
      <c r="C1037">
        <f>IFERROR(_xlfn.IFNA(INDEX(Sensors_MANU!$F$2:$F$4692,MATCH($D1037,Sensors_MANU!$B$2:$B$4692,0)),INDEX(Sensors_MANU!$F$2:$F$4692,MATCH($P1037,Sensors_MANU!$A$2:$A$4692,0))),"")</f>
        <v/>
      </c>
      <c r="D1037" t="inlineStr">
        <is>
          <t>FE6C7958A87E</t>
        </is>
      </c>
      <c r="E1037" s="24">
        <f>LEFT(D1037,2)&amp;":"&amp;MID(D1037,3,2)&amp;":"&amp;MID(D1037,5,2)&amp;":"&amp;MID(D1037,7,2)&amp;":"&amp;MID(D1037,9,2)&amp;":"&amp;RIGHT(D1037,2)</f>
        <v/>
      </c>
      <c r="F1037" s="29" t="n">
        <v>45090</v>
      </c>
      <c r="G1037" s="29" t="inlineStr">
        <is>
          <t>VIEZO</t>
        </is>
      </c>
      <c r="H1037" t="inlineStr">
        <is>
          <t>9A31CAF08516127C</t>
        </is>
      </c>
      <c r="I1037">
        <f>IFERROR(_xlfn.IFNA(INDEX(Sensors_MANU!$C$2:$C$4692,MATCH($D1037,Sensors_MANU!$B$2:$B$4692,0)),INDEX(Sensors_MANU!$C$2:$C$4692,MATCH($P1037,Sensors_MANU!$A$2:$A$4692,0))),"")</f>
        <v/>
      </c>
      <c r="J1037">
        <f>IFERROR(_xlfn.IFNA(INDEX(Sensors_MANU!$D$2:$D$4692,MATCH($D1037,Sensors_MANU!$B$2:$B$4692,0)),INDEX(Sensors_MANU!$D$2:$D$4692,MATCH($P1037,Sensors_MANU!$A$2:$A$4692,0))),"")</f>
        <v/>
      </c>
      <c r="K1037" s="27" t="inlineStr">
        <is>
          <t>33802742207-4</t>
        </is>
      </c>
      <c r="L1037" s="27" t="inlineStr">
        <is>
          <t>3R</t>
        </is>
      </c>
      <c r="N1037" s="99">
        <f>IFERROR(INDEX(Sensors_MANU!$G$2:$G$4692,MATCH($P1037,Sensors_MANU!$A$2:$A$4692,0)),)</f>
        <v/>
      </c>
      <c r="O1037" s="6" t="inlineStr">
        <is>
          <t>v17</t>
        </is>
      </c>
      <c r="P1037" t="n">
        <v>4978613</v>
      </c>
    </row>
    <row r="1038">
      <c r="B1038" s="24">
        <f>IFERROR(INDEX(Companies!$A$3:$A$101,MATCH(A1038,Companies!$B$3:$B$101,0)),"")</f>
        <v/>
      </c>
      <c r="C1038">
        <f>IFERROR(_xlfn.IFNA(INDEX(Sensors_MANU!$F$2:$F$4692,MATCH($D1038,Sensors_MANU!$B$2:$B$4692,0)),INDEX(Sensors_MANU!$F$2:$F$4692,MATCH($P1038,Sensors_MANU!$A$2:$A$4692,0))),"")</f>
        <v/>
      </c>
      <c r="D1038" t="inlineStr">
        <is>
          <t>EFA46ACE4161</t>
        </is>
      </c>
      <c r="E1038">
        <f>LEFT(D1038,2)&amp;":"&amp;MID(D1038,3,2)&amp;":"&amp;MID(D1038,5,2)&amp;":"&amp;MID(D1038,7,2)&amp;":"&amp;MID(D1038,9,2)&amp;":"&amp;RIGHT(D1038,2)</f>
        <v/>
      </c>
      <c r="H1038" t="inlineStr">
        <is>
          <t>8F479073EC3C9C27</t>
        </is>
      </c>
      <c r="I1038">
        <f>IFERROR(_xlfn.IFNA(INDEX(Sensors_MANU!$C$2:$C$4692,MATCH($D1038,Sensors_MANU!$B$2:$B$4692,0)),INDEX(Sensors_MANU!$C$2:$C$4692,MATCH($P1038,Sensors_MANU!$A$2:$A$4692,0))),"")</f>
        <v/>
      </c>
      <c r="J1038">
        <f>IFERROR(_xlfn.IFNA(INDEX(Sensors_MANU!$D$2:$D$4692,MATCH($D1038,Sensors_MANU!$B$2:$B$4692,0)),INDEX(Sensors_MANU!$D$2:$D$4692,MATCH($P1038,Sensors_MANU!$A$2:$A$4692,0))),"")</f>
        <v/>
      </c>
    </row>
    <row r="1039">
      <c r="A1039" s="32">
        <f>IFERROR(_xlfn.IFNA(INDEX(Sensors_MANU!$E$2:$E$4692,MATCH($D1039,Sensors_MANU!$B$2:$B$4692,0)),INDEX(Sensors_MANU!$E$2:$E$4692,MATCH($P1039,Sensors_MANU!$A$2:$A$4692,0))),"")</f>
        <v/>
      </c>
      <c r="B1039" s="24">
        <f>IFERROR(INDEX(Companies!$A$3:$A$101,MATCH(A1039,Companies!$B$3:$B$101,0)),"")</f>
        <v/>
      </c>
      <c r="D1039" t="inlineStr">
        <is>
          <t>CAC518F4F81D</t>
        </is>
      </c>
      <c r="E1039">
        <f>LEFT(D1039,2)&amp;":"&amp;MID(D1039,3,2)&amp;":"&amp;MID(D1039,5,2)&amp;":"&amp;MID(D1039,7,2)&amp;":"&amp;MID(D1039,9,2)&amp;":"&amp;RIGHT(D1039,2)</f>
        <v/>
      </c>
      <c r="F1039" s="29" t="n">
        <v>44953</v>
      </c>
      <c r="G1039" s="29" t="inlineStr">
        <is>
          <t>Fertagus</t>
        </is>
      </c>
      <c r="H1039" t="inlineStr">
        <is>
          <t>A6568896C196CF4F</t>
        </is>
      </c>
      <c r="I1039">
        <f>IFERROR(_xlfn.IFNA(INDEX(Sensors_MANU!$C$2:$C$4692,MATCH($D1039,Sensors_MANU!$B$2:$B$4692,0)),INDEX(Sensors_MANU!$C$2:$C$4692,MATCH($P1039,Sensors_MANU!$A$2:$A$4692,0))),"")</f>
        <v/>
      </c>
      <c r="J1039">
        <f>IFERROR(_xlfn.IFNA(INDEX(Sensors_MANU!$D$2:$D$4692,MATCH($D1039,Sensors_MANU!$B$2:$B$4692,0)),INDEX(Sensors_MANU!$D$2:$D$4692,MATCH($P1039,Sensors_MANU!$A$2:$A$4692,0))),"")</f>
        <v/>
      </c>
      <c r="K1039" s="27" t="inlineStr">
        <is>
          <t>M3505</t>
        </is>
      </c>
      <c r="L1039" s="27" t="inlineStr">
        <is>
          <t>3R</t>
        </is>
      </c>
    </row>
    <row r="1040">
      <c r="A1040" s="32" t="inlineStr">
        <is>
          <t>RSA</t>
        </is>
      </c>
      <c r="B1040" s="24">
        <f>IFERROR(INDEX(Companies!$A$3:$A$101,MATCH(A1040,Companies!$B$3:$B$101,0)),"")</f>
        <v/>
      </c>
      <c r="C1040">
        <f>IFERROR(_xlfn.IFNA(INDEX(Sensors_MANU!$F$2:$F$4692,MATCH($D1040,Sensors_MANU!$B$2:$B$4692,0)),INDEX(Sensors_MANU!$F$2:$F$4692,MATCH($P1040,Sensors_MANU!$A$2:$A$4692,0))),"")</f>
        <v/>
      </c>
      <c r="D1040" t="inlineStr">
        <is>
          <t>EF3FD7F74F40</t>
        </is>
      </c>
      <c r="E1040" s="24">
        <f>LEFT(D1040,2)&amp;":"&amp;MID(D1040,3,2)&amp;":"&amp;MID(D1040,5,2)&amp;":"&amp;MID(D1040,7,2)&amp;":"&amp;MID(D1040,9,2)&amp;":"&amp;RIGHT(D1040,2)</f>
        <v/>
      </c>
      <c r="H1040" t="inlineStr">
        <is>
          <t>294AD90A2EDB727A</t>
        </is>
      </c>
      <c r="I1040">
        <f>IFERROR(_xlfn.IFNA(INDEX(Sensors_MANU!$C$2:$C$4692,MATCH($D1040,Sensors_MANU!$B$2:$B$4692,0)),INDEX(Sensors_MANU!$C$2:$C$4692,MATCH($P1040,Sensors_MANU!$A$2:$A$4692,0))),"")</f>
        <v/>
      </c>
      <c r="J1040" s="65" t="inlineStr">
        <is>
          <t>PR2206-504</t>
        </is>
      </c>
      <c r="O1040" s="6" t="inlineStr">
        <is>
          <t>V25</t>
        </is>
      </c>
    </row>
    <row r="1041">
      <c r="A1041" s="32">
        <f>IFERROR(_xlfn.IFNA(INDEX(Sensors_MANU!$E$2:$E$4692,MATCH($D1041,Sensors_MANU!$B$2:$B$4692,0)),INDEX(Sensors_MANU!$E$2:$E$4692,MATCH($P1041,Sensors_MANU!$A$2:$A$4692,0))),"")</f>
        <v/>
      </c>
      <c r="B1041" s="24">
        <f>IFERROR(INDEX(Companies!$A$3:$A$101,MATCH(A1041,Companies!$B$3:$B$101,0)),"")</f>
        <v/>
      </c>
      <c r="C1041">
        <f>IFERROR(_xlfn.IFNA(INDEX(Sensors_MANU!$F$2:$F$4692,MATCH($D1041,Sensors_MANU!$B$2:$B$4692,0)),INDEX(Sensors_MANU!$F$2:$F$4692,MATCH($P1041,Sensors_MANU!$A$2:$A$4692,0))),"")</f>
        <v/>
      </c>
      <c r="D1041" s="25" t="inlineStr">
        <is>
          <t>E157C8F4E8CE</t>
        </is>
      </c>
      <c r="E1041" s="24">
        <f>LEFT(D1041,2)&amp;":"&amp;MID(D1041,3,2)&amp;":"&amp;MID(D1041,5,2)&amp;":"&amp;MID(D1041,7,2)&amp;":"&amp;MID(D1041,9,2)&amp;":"&amp;RIGHT(D1041,2)</f>
        <v/>
      </c>
      <c r="F1041" s="29" t="n">
        <v>44880</v>
      </c>
      <c r="G1041" s="29" t="inlineStr">
        <is>
          <t>Viezo</t>
        </is>
      </c>
      <c r="H1041" t="inlineStr">
        <is>
          <t>7D94A8ABF6F2E749</t>
        </is>
      </c>
      <c r="I1041">
        <f>IFERROR(_xlfn.IFNA(INDEX(Sensors_MANU!$C$2:$C$4692,MATCH($D1041,Sensors_MANU!$B$2:$B$4692,0)),INDEX(Sensors_MANU!$C$2:$C$4692,MATCH($P1041,Sensors_MANU!$A$2:$A$4692,0))),"")</f>
        <v/>
      </c>
      <c r="J1041">
        <f>IFERROR(_xlfn.IFNA(INDEX(Sensors_MANU!$D$2:$D$4692,MATCH($D1041,Sensors_MANU!$B$2:$B$4692,0)),INDEX(Sensors_MANU!$D$2:$D$4692,MATCH($P1041,Sensors_MANU!$A$2:$A$4692,0))),"")</f>
        <v/>
      </c>
      <c r="K1041" s="27" t="inlineStr">
        <is>
          <t>83546985030-8</t>
        </is>
      </c>
      <c r="L1041" s="27" t="inlineStr">
        <is>
          <t>2L</t>
        </is>
      </c>
      <c r="O1041" s="6" t="inlineStr">
        <is>
          <t>V23</t>
        </is>
      </c>
    </row>
    <row r="1042">
      <c r="A1042" s="32" t="inlineStr">
        <is>
          <t>RENFE</t>
        </is>
      </c>
      <c r="B1042" s="24">
        <f>IFERROR(INDEX(Companies!$A$3:$A$101,MATCH(A1042,Companies!$B$3:$B$101,0)),"")</f>
        <v/>
      </c>
      <c r="C1042">
        <f>IFERROR(_xlfn.IFNA(INDEX(Sensors_MANU!$F$2:$F$4692,MATCH($D1042,Sensors_MANU!$B$2:$B$4692,0)),INDEX(Sensors_MANU!$F$2:$F$4692,MATCH($P1042,Sensors_MANU!$A$2:$A$4692,0))),"")</f>
        <v/>
      </c>
      <c r="D1042" t="inlineStr">
        <is>
          <t>E4FD8C2F5FFA</t>
        </is>
      </c>
      <c r="E1042" s="24">
        <f>LEFT(D1042,2)&amp;":"&amp;MID(D1042,3,2)&amp;":"&amp;MID(D1042,5,2)&amp;":"&amp;MID(D1042,7,2)&amp;":"&amp;MID(D1042,9,2)&amp;":"&amp;RIGHT(D1042,2)</f>
        <v/>
      </c>
      <c r="F1042" s="29" t="n">
        <v>45083</v>
      </c>
      <c r="G1042" s="29" t="inlineStr">
        <is>
          <t>Renfe</t>
        </is>
      </c>
      <c r="H1042" t="inlineStr">
        <is>
          <t>1F6BE9B6F1704D79</t>
        </is>
      </c>
      <c r="I1042">
        <f>IFERROR(_xlfn.IFNA(INDEX(Sensors_MANU!$C$2:$C$4692,MATCH($D1042,Sensors_MANU!$B$2:$B$4692,0)),INDEX(Sensors_MANU!$C$2:$C$4692,MATCH($P1042,Sensors_MANU!$A$2:$A$4692,0))),"")</f>
        <v/>
      </c>
      <c r="J1042" s="64" t="inlineStr">
        <is>
          <t>PR2206-507</t>
        </is>
      </c>
      <c r="K1042" s="27" t="n">
        <v>527015</v>
      </c>
      <c r="L1042" s="27" t="inlineStr">
        <is>
          <t>3R</t>
        </is>
      </c>
      <c r="O1042" s="6" t="inlineStr">
        <is>
          <t>V25</t>
        </is>
      </c>
    </row>
    <row r="1043">
      <c r="A1043" s="32">
        <f>IFERROR(_xlfn.IFNA(INDEX(Sensors_MANU!$E$2:$E$4692,MATCH($D1043,Sensors_MANU!$B$2:$B$4692,0)),INDEX(Sensors_MANU!$E$2:$E$4692,MATCH($P1043,Sensors_MANU!$A$2:$A$4692,0))),"")</f>
        <v/>
      </c>
      <c r="B1043" s="24">
        <f>IFERROR(INDEX(Companies!$A$3:$A$101,MATCH(A1043,Companies!$B$3:$B$101,0)),"")</f>
        <v/>
      </c>
      <c r="C1043">
        <f>IFERROR(_xlfn.IFNA(INDEX(Sensors_MANU!$F$2:$F$4692,MATCH($D1043,Sensors_MANU!$B$2:$B$4692,0)),INDEX(Sensors_MANU!$F$2:$F$4692,MATCH($P1043,Sensors_MANU!$A$2:$A$4692,0))),"")</f>
        <v/>
      </c>
      <c r="D1043" t="inlineStr">
        <is>
          <t>D6374B77CCA8</t>
        </is>
      </c>
      <c r="E1043">
        <f>LEFT(D1043,2)&amp;":"&amp;MID(D1043,3,2)&amp;":"&amp;MID(D1043,5,2)&amp;":"&amp;MID(D1043,7,2)&amp;":"&amp;MID(D1043,9,2)&amp;":"&amp;RIGHT(D1043,2)</f>
        <v/>
      </c>
      <c r="F1043" s="29" t="n">
        <v>44880</v>
      </c>
      <c r="G1043" s="29" t="inlineStr">
        <is>
          <t>Viezo</t>
        </is>
      </c>
      <c r="H1043" t="inlineStr">
        <is>
          <t>4565EAD062C25E78</t>
        </is>
      </c>
      <c r="I1043">
        <f>IFERROR(_xlfn.IFNA(INDEX(Sensors_MANU!$C$2:$C$4692,MATCH($D1043,Sensors_MANU!$B$2:$B$4692,0)),INDEX(Sensors_MANU!$C$2:$C$4692,MATCH($P1043,Sensors_MANU!$A$2:$A$4692,0))),"")</f>
        <v/>
      </c>
      <c r="J1043">
        <f>IFERROR(_xlfn.IFNA(INDEX(Sensors_MANU!$D$2:$D$4692,MATCH($D1043,Sensors_MANU!$B$2:$B$4692,0)),INDEX(Sensors_MANU!$D$2:$D$4692,MATCH($P1043,Sensors_MANU!$A$2:$A$4692,0))),"")</f>
        <v/>
      </c>
      <c r="K1043" s="27" t="inlineStr">
        <is>
          <t>83546985065-4</t>
        </is>
      </c>
      <c r="L1043" s="27" t="inlineStr">
        <is>
          <t>4L</t>
        </is>
      </c>
      <c r="M1043" s="27" t="n"/>
      <c r="N1043" s="99">
        <f>IFERROR(INDEX(Sensors_MANU!$G$2:$G$4692,MATCH($P1043,Sensors_MANU!$A$2:$A$4692,0)),)</f>
        <v/>
      </c>
      <c r="O1043" s="6" t="inlineStr">
        <is>
          <t>v17</t>
        </is>
      </c>
      <c r="P1043" t="n">
        <v>4978657</v>
      </c>
    </row>
    <row r="1044">
      <c r="A1044" s="32">
        <f>IFERROR(_xlfn.IFNA(INDEX(Sensors_MANU!$E$2:$E$4692,MATCH($D1044,Sensors_MANU!$B$2:$B$4692,0)),INDEX(Sensors_MANU!$E$2:$E$4692,MATCH($P1044,Sensors_MANU!$A$2:$A$4692,0))),"")</f>
        <v/>
      </c>
      <c r="B1044" s="24">
        <f>IFERROR(INDEX(Companies!$A$3:$A$101,MATCH(A1044,Companies!$B$3:$B$101,0)),"")</f>
        <v/>
      </c>
      <c r="C1044">
        <f>IFERROR(_xlfn.IFNA(INDEX(Sensors_MANU!$F$2:$F$4692,MATCH($D1044,Sensors_MANU!$B$2:$B$4692,0)),INDEX(Sensors_MANU!$F$2:$F$4692,MATCH($P1044,Sensors_MANU!$A$2:$A$4692,0))),"")</f>
        <v/>
      </c>
      <c r="D1044" t="inlineStr">
        <is>
          <t>F79A51E25181</t>
        </is>
      </c>
      <c r="E1044" s="24">
        <f>LEFT(D1044,2)&amp;":"&amp;MID(D1044,3,2)&amp;":"&amp;MID(D1044,5,2)&amp;":"&amp;MID(D1044,7,2)&amp;":"&amp;MID(D1044,9,2)&amp;":"&amp;RIGHT(D1044,2)</f>
        <v/>
      </c>
      <c r="F1044" s="29" t="n">
        <v>44880</v>
      </c>
      <c r="G1044" s="29" t="inlineStr">
        <is>
          <t>Viezo</t>
        </is>
      </c>
      <c r="H1044" t="inlineStr">
        <is>
          <t>5486ECB690C397FB</t>
        </is>
      </c>
      <c r="I1044">
        <f>IFERROR(_xlfn.IFNA(INDEX(Sensors_MANU!$C$2:$C$4692,MATCH($D1044,Sensors_MANU!$B$2:$B$4692,0)),INDEX(Sensors_MANU!$C$2:$C$4692,MATCH($P1044,Sensors_MANU!$A$2:$A$4692,0))),"")</f>
        <v/>
      </c>
      <c r="J1044">
        <f>IFERROR(_xlfn.IFNA(INDEX(Sensors_MANU!$D$2:$D$4692,MATCH($D1044,Sensors_MANU!$B$2:$B$4692,0)),INDEX(Sensors_MANU!$D$2:$D$4692,MATCH($P1044,Sensors_MANU!$A$2:$A$4692,0))),"")</f>
        <v/>
      </c>
      <c r="K1044" s="27" t="inlineStr">
        <is>
          <t>83546985065-4</t>
        </is>
      </c>
      <c r="L1044" s="27" t="inlineStr">
        <is>
          <t>3L</t>
        </is>
      </c>
      <c r="O1044" s="6" t="inlineStr">
        <is>
          <t>V25</t>
        </is>
      </c>
    </row>
    <row r="1045">
      <c r="A1045" s="32" t="inlineStr">
        <is>
          <t>RSA</t>
        </is>
      </c>
      <c r="B1045" s="24">
        <f>IFERROR(INDEX(Companies!$A$3:$A$101,MATCH(A1045,Companies!$B$3:$B$101,0)),"")</f>
        <v/>
      </c>
      <c r="C1045">
        <f>IFERROR(_xlfn.IFNA(INDEX(Sensors_MANU!$F$2:$F$4692,MATCH($D1045,Sensors_MANU!$B$2:$B$4692,0)),INDEX(Sensors_MANU!$F$2:$F$4692,MATCH($P1045,Sensors_MANU!$A$2:$A$4692,0))),"")</f>
        <v/>
      </c>
      <c r="D1045" t="inlineStr">
        <is>
          <t>C47858BACBEE</t>
        </is>
      </c>
      <c r="E1045">
        <f>LEFT(D1045,2)&amp;":"&amp;MID(D1045,3,2)&amp;":"&amp;MID(D1045,5,2)&amp;":"&amp;MID(D1045,7,2)&amp;":"&amp;MID(D1045,9,2)&amp;":"&amp;RIGHT(D1045,2)</f>
        <v/>
      </c>
      <c r="H1045" t="inlineStr">
        <is>
          <t>9736659B705E9059</t>
        </is>
      </c>
      <c r="J1045" s="65" t="inlineStr">
        <is>
          <t>PR2206-511</t>
        </is>
      </c>
      <c r="M1045" s="27" t="n"/>
      <c r="O1045" s="6" t="inlineStr">
        <is>
          <t>v16</t>
        </is>
      </c>
      <c r="P1045" t="n">
        <v>4978849</v>
      </c>
    </row>
    <row r="1046">
      <c r="A1046" s="32">
        <f>IFERROR(_xlfn.IFNA(INDEX(Sensors_MANU!$E$2:$E$4692,MATCH($D1046,Sensors_MANU!$B$2:$B$4692,0)),INDEX(Sensors_MANU!$E$2:$E$4692,MATCH($P1046,Sensors_MANU!$A$2:$A$4692,0))),"")</f>
        <v/>
      </c>
      <c r="B1046" s="24">
        <f>IFERROR(INDEX(Companies!$A$3:$A$101,MATCH(A1046,Companies!$B$3:$B$101,0)),"")</f>
        <v/>
      </c>
      <c r="C1046">
        <f>IFERROR(_xlfn.IFNA(INDEX(Sensors_MANU!$F$2:$F$4692,MATCH($D1046,Sensors_MANU!$B$2:$B$4692,0)),INDEX(Sensors_MANU!$F$2:$F$4692,MATCH($P1046,Sensors_MANU!$A$2:$A$4692,0))),"")</f>
        <v/>
      </c>
      <c r="D1046" t="inlineStr">
        <is>
          <t>F1BBF552CD6F</t>
        </is>
      </c>
      <c r="E1046" s="24">
        <f>LEFT(D1046,2)&amp;":"&amp;MID(D1046,3,2)&amp;":"&amp;MID(D1046,5,2)&amp;":"&amp;MID(D1046,7,2)&amp;":"&amp;MID(D1046,9,2)&amp;":"&amp;RIGHT(D1046,2)</f>
        <v/>
      </c>
      <c r="F1046" s="29" t="n">
        <v>44880</v>
      </c>
      <c r="G1046" s="29" t="inlineStr">
        <is>
          <t>Viezo</t>
        </is>
      </c>
      <c r="H1046" t="inlineStr">
        <is>
          <t>BE0F98BAE6AB21B3</t>
        </is>
      </c>
      <c r="I1046">
        <f>IFERROR(_xlfn.IFNA(INDEX(Sensors_MANU!$C$2:$C$4692,MATCH($D1046,Sensors_MANU!$B$2:$B$4692,0)),INDEX(Sensors_MANU!$C$2:$C$4692,MATCH($P1046,Sensors_MANU!$A$2:$A$4692,0))),"")</f>
        <v/>
      </c>
      <c r="J1046">
        <f>IFERROR(_xlfn.IFNA(INDEX(Sensors_MANU!$D$2:$D$4692,MATCH($D1046,Sensors_MANU!$B$2:$B$4692,0)),INDEX(Sensors_MANU!$D$2:$D$4692,MATCH($P1046,Sensors_MANU!$A$2:$A$4692,0))),"")</f>
        <v/>
      </c>
      <c r="K1046" s="27" t="inlineStr">
        <is>
          <t>83546985095-1</t>
        </is>
      </c>
      <c r="L1046" s="27" t="inlineStr">
        <is>
          <t>1L</t>
        </is>
      </c>
      <c r="O1046" s="6" t="inlineStr">
        <is>
          <t>V25</t>
        </is>
      </c>
    </row>
    <row r="1047">
      <c r="A1047" s="32">
        <f>IFERROR(_xlfn.IFNA(INDEX(Sensors_MANU!$E$2:$E$4692,MATCH($D1047,Sensors_MANU!$B$2:$B$4692,0)),INDEX(Sensors_MANU!$E$2:$E$4692,MATCH($P1047,Sensors_MANU!$A$2:$A$4692,0))),"")</f>
        <v/>
      </c>
      <c r="B1047" s="24">
        <f>IFERROR(INDEX(Companies!$A$3:$A$101,MATCH(A1047,Companies!$B$3:$B$101,0)),"")</f>
        <v/>
      </c>
      <c r="C1047">
        <f>IFERROR(_xlfn.IFNA(INDEX(Sensors_MANU!$F$2:$F$4692,MATCH($D1047,Sensors_MANU!$B$2:$B$4692,0)),INDEX(Sensors_MANU!$F$2:$F$4692,MATCH($P1047,Sensors_MANU!$A$2:$A$4692,0))),"")</f>
        <v/>
      </c>
      <c r="D1047" t="inlineStr">
        <is>
          <t>EDD75BB766AD</t>
        </is>
      </c>
      <c r="E1047" s="24">
        <f>LEFT(D1047,2)&amp;":"&amp;MID(D1047,3,2)&amp;":"&amp;MID(D1047,5,2)&amp;":"&amp;MID(D1047,7,2)&amp;":"&amp;MID(D1047,9,2)&amp;":"&amp;RIGHT(D1047,2)</f>
        <v/>
      </c>
      <c r="F1047" s="29" t="n">
        <v>44909</v>
      </c>
      <c r="G1047" s="29" t="inlineStr">
        <is>
          <t>HVLE</t>
        </is>
      </c>
      <c r="H1047" t="inlineStr">
        <is>
          <t>0138472A44F74C1E</t>
        </is>
      </c>
      <c r="I1047">
        <f>IFERROR(_xlfn.IFNA(INDEX(Sensors_MANU!$C$2:$C$4692,MATCH($D1047,Sensors_MANU!$B$2:$B$4692,0)),INDEX(Sensors_MANU!$C$2:$C$4692,MATCH($P1047,Sensors_MANU!$A$2:$A$4692,0))),"")</f>
        <v/>
      </c>
      <c r="J1047">
        <f>IFERROR(_xlfn.IFNA(INDEX(Sensors_MANU!$D$2:$D$4692,MATCH($D1047,Sensors_MANU!$B$2:$B$4692,0)),INDEX(Sensors_MANU!$D$2:$D$4692,MATCH($P1047,Sensors_MANU!$A$2:$A$4692,0))),"")</f>
        <v/>
      </c>
      <c r="K1047" s="27" t="inlineStr">
        <is>
          <t>83546985088-6</t>
        </is>
      </c>
      <c r="L1047" s="27" t="inlineStr">
        <is>
          <t>3R</t>
        </is>
      </c>
      <c r="O1047" s="6" t="inlineStr">
        <is>
          <t>V25</t>
        </is>
      </c>
    </row>
    <row r="1048">
      <c r="A1048" s="32">
        <f>IFERROR(_xlfn.IFNA(INDEX(Sensors_MANU!$E$2:$E$4692,MATCH($D1048,Sensors_MANU!$B$2:$B$4692,0)),INDEX(Sensors_MANU!$E$2:$E$4692,MATCH($P1048,Sensors_MANU!$A$2:$A$4692,0))),"")</f>
        <v/>
      </c>
      <c r="B1048" s="24">
        <f>IFERROR(INDEX(Companies!$A$3:$A$101,MATCH(A1048,Companies!$B$3:$B$101,0)),"")</f>
        <v/>
      </c>
      <c r="C1048">
        <f>IFERROR(_xlfn.IFNA(INDEX(Sensors_MANU!$F$2:$F$4692,MATCH($D1048,Sensors_MANU!$B$2:$B$4692,0)),INDEX(Sensors_MANU!$F$2:$F$4692,MATCH($P1048,Sensors_MANU!$A$2:$A$4692,0))),"")</f>
        <v/>
      </c>
      <c r="D1048" t="inlineStr">
        <is>
          <t>C189D25762DB</t>
        </is>
      </c>
      <c r="E1048" s="24">
        <f>LEFT(D1048,2)&amp;":"&amp;MID(D1048,3,2)&amp;":"&amp;MID(D1048,5,2)&amp;":"&amp;MID(D1048,7,2)&amp;":"&amp;MID(D1048,9,2)&amp;":"&amp;RIGHT(D1048,2)</f>
        <v/>
      </c>
      <c r="F1048" s="29" t="n">
        <v>44880</v>
      </c>
      <c r="G1048" s="29" t="inlineStr">
        <is>
          <t>Viezo</t>
        </is>
      </c>
      <c r="H1048" t="inlineStr">
        <is>
          <t>2407908C025AED55</t>
        </is>
      </c>
      <c r="I1048">
        <f>IFERROR(_xlfn.IFNA(INDEX(Sensors_MANU!$C$2:$C$4692,MATCH($D1048,Sensors_MANU!$B$2:$B$4692,0)),INDEX(Sensors_MANU!$C$2:$C$4692,MATCH($P1048,Sensors_MANU!$A$2:$A$4692,0))),"")</f>
        <v/>
      </c>
      <c r="J1048">
        <f>IFERROR(_xlfn.IFNA(INDEX(Sensors_MANU!$D$2:$D$4692,MATCH($D1048,Sensors_MANU!$B$2:$B$4692,0)),INDEX(Sensors_MANU!$D$2:$D$4692,MATCH($P1048,Sensors_MANU!$A$2:$A$4692,0))),"")</f>
        <v/>
      </c>
      <c r="K1048" s="27" t="inlineStr">
        <is>
          <t>83546985015-9</t>
        </is>
      </c>
      <c r="L1048" s="27" t="inlineStr">
        <is>
          <t>3R</t>
        </is>
      </c>
      <c r="O1048" s="6" t="inlineStr">
        <is>
          <t>V25</t>
        </is>
      </c>
    </row>
    <row r="1049">
      <c r="A1049" s="32">
        <f>IFERROR(_xlfn.IFNA(INDEX(Sensors_MANU!$E$2:$E$4692,MATCH($D1049,Sensors_MANU!$B$2:$B$4692,0)),INDEX(Sensors_MANU!$E$2:$E$4692,MATCH($P1049,Sensors_MANU!$A$2:$A$4692,0))),"")</f>
        <v/>
      </c>
      <c r="B1049" s="24">
        <f>IFERROR(INDEX(Companies!$A$3:$A$101,MATCH(A1049,Companies!$B$3:$B$101,0)),"")</f>
        <v/>
      </c>
      <c r="C1049">
        <f>IFERROR(_xlfn.IFNA(INDEX(Sensors_MANU!$F$2:$F$4692,MATCH($D1049,Sensors_MANU!$B$2:$B$4692,0)),INDEX(Sensors_MANU!$F$2:$F$4692,MATCH($P1049,Sensors_MANU!$A$2:$A$4692,0))),"")</f>
        <v/>
      </c>
      <c r="D1049" t="inlineStr">
        <is>
          <t>EDD05633F890</t>
        </is>
      </c>
      <c r="E1049" s="24">
        <f>LEFT(D1049,2)&amp;":"&amp;MID(D1049,3,2)&amp;":"&amp;MID(D1049,5,2)&amp;":"&amp;MID(D1049,7,2)&amp;":"&amp;MID(D1049,9,2)&amp;":"&amp;RIGHT(D1049,2)</f>
        <v/>
      </c>
      <c r="F1049" s="29" t="n">
        <v>44880</v>
      </c>
      <c r="G1049" s="29" t="inlineStr">
        <is>
          <t>Viezo</t>
        </is>
      </c>
      <c r="H1049" t="inlineStr">
        <is>
          <t>3933BCB1F0DFD6BF</t>
        </is>
      </c>
      <c r="I1049">
        <f>IFERROR(_xlfn.IFNA(INDEX(Sensors_MANU!$C$2:$C$4692,MATCH($D1049,Sensors_MANU!$B$2:$B$4692,0)),INDEX(Sensors_MANU!$C$2:$C$4692,MATCH($P1049,Sensors_MANU!$A$2:$A$4692,0))),"")</f>
        <v/>
      </c>
      <c r="J1049">
        <f>IFERROR(_xlfn.IFNA(INDEX(Sensors_MANU!$D$2:$D$4692,MATCH($D1049,Sensors_MANU!$B$2:$B$4692,0)),INDEX(Sensors_MANU!$D$2:$D$4692,MATCH($P1049,Sensors_MANU!$A$2:$A$4692,0))),"")</f>
        <v/>
      </c>
      <c r="K1049" s="27" t="inlineStr">
        <is>
          <t>83546985085-2</t>
        </is>
      </c>
      <c r="L1049" s="27" t="inlineStr">
        <is>
          <t>1R</t>
        </is>
      </c>
      <c r="O1049" s="6" t="inlineStr">
        <is>
          <t>V25</t>
        </is>
      </c>
    </row>
    <row r="1050">
      <c r="B1050" s="24">
        <f>IFERROR(INDEX(Companies!$A$3:$A$101,MATCH(A1050,Companies!$B$3:$B$101,0)),"")</f>
        <v/>
      </c>
      <c r="C1050">
        <f>IFERROR(_xlfn.IFNA(INDEX(Sensors_MANU!$F$2:$F$4692,MATCH($D1050,Sensors_MANU!$B$2:$B$4692,0)),INDEX(Sensors_MANU!$F$2:$F$4692,MATCH($P1050,Sensors_MANU!$A$2:$A$4692,0))),"")</f>
        <v/>
      </c>
      <c r="D1050" s="25" t="inlineStr">
        <is>
          <t>DBBBB26176F0</t>
        </is>
      </c>
      <c r="E1050" s="24">
        <f>LEFT(D1050,2)&amp;":"&amp;MID(D1050,3,2)&amp;":"&amp;MID(D1050,5,2)&amp;":"&amp;MID(D1050,7,2)&amp;":"&amp;MID(D1050,9,2)&amp;":"&amp;RIGHT(D1050,2)</f>
        <v/>
      </c>
      <c r="H1050" t="inlineStr">
        <is>
          <t>2F0129B52550DEFE</t>
        </is>
      </c>
      <c r="I1050">
        <f>IFERROR(_xlfn.IFNA(INDEX(Sensors_MANU!$C$2:$C$4692,MATCH($D1050,Sensors_MANU!$B$2:$B$4692,0)),INDEX(Sensors_MANU!$C$2:$C$4692,MATCH($P1050,Sensors_MANU!$A$2:$A$4692,0))),"")</f>
        <v/>
      </c>
      <c r="J1050">
        <f>IFERROR(_xlfn.IFNA(INDEX(Sensors_MANU!$D$2:$D$4692,MATCH($D1050,Sensors_MANU!$B$2:$B$4692,0)),INDEX(Sensors_MANU!$D$2:$D$4692,MATCH($P1050,Sensors_MANU!$A$2:$A$4692,0))),"")</f>
        <v/>
      </c>
      <c r="O1050" s="6" t="inlineStr">
        <is>
          <t>V23</t>
        </is>
      </c>
    </row>
    <row r="1051">
      <c r="A1051" s="32">
        <f>IFERROR(_xlfn.IFNA(INDEX(Sensors_MANU!$E$2:$E$4692,MATCH($D1051,Sensors_MANU!$B$2:$B$4692,0)),INDEX(Sensors_MANU!$E$2:$E$4692,MATCH($P1051,Sensors_MANU!$A$2:$A$4692,0))),"")</f>
        <v/>
      </c>
      <c r="B1051" s="24">
        <f>IFERROR(INDEX(Companies!$A$3:$A$101,MATCH(A1051,Companies!$B$3:$B$101,0)),"")</f>
        <v/>
      </c>
      <c r="C1051">
        <f>IFERROR(_xlfn.IFNA(INDEX(Sensors_MANU!$F$2:$F$4692,MATCH($D1051,Sensors_MANU!$B$2:$B$4692,0)),INDEX(Sensors_MANU!$F$2:$F$4692,MATCH($P1051,Sensors_MANU!$A$2:$A$4692,0))),"")</f>
        <v/>
      </c>
      <c r="D1051" t="inlineStr">
        <is>
          <t>D5755F12B5A1</t>
        </is>
      </c>
      <c r="E1051" s="24">
        <f>LEFT(D1051,2)&amp;":"&amp;MID(D1051,3,2)&amp;":"&amp;MID(D1051,5,2)&amp;":"&amp;MID(D1051,7,2)&amp;":"&amp;MID(D1051,9,2)&amp;":"&amp;RIGHT(D1051,2)</f>
        <v/>
      </c>
      <c r="H1051" t="inlineStr">
        <is>
          <t>21C08880650A60DE</t>
        </is>
      </c>
      <c r="I1051">
        <f>IFERROR(_xlfn.IFNA(INDEX(Sensors_MANU!$C$2:$C$4692,MATCH($D1051,Sensors_MANU!$B$2:$B$4692,0)),INDEX(Sensors_MANU!$C$2:$C$4692,MATCH($P1051,Sensors_MANU!$A$2:$A$4692,0))),"")</f>
        <v/>
      </c>
      <c r="J1051">
        <f>IFERROR(_xlfn.IFNA(INDEX(Sensors_MANU!$D$2:$D$4692,MATCH($D1051,Sensors_MANU!$B$2:$B$4692,0)),INDEX(Sensors_MANU!$D$2:$D$4692,MATCH($P1051,Sensors_MANU!$A$2:$A$4692,0))),"")</f>
        <v/>
      </c>
      <c r="N1051" s="99" t="inlineStr">
        <is>
          <t>The operator has the device or its lost (they paid for it), but we dont monitor it on Ubidots anymore.</t>
        </is>
      </c>
      <c r="O1051" s="6" t="inlineStr">
        <is>
          <t>V25</t>
        </is>
      </c>
    </row>
    <row r="1052">
      <c r="A1052" s="32">
        <f>IFERROR(_xlfn.IFNA(INDEX(Sensors_MANU!$E$2:$E$4692,MATCH($D1052,Sensors_MANU!$B$2:$B$4692,0)),INDEX(Sensors_MANU!$E$2:$E$4692,MATCH($P1052,Sensors_MANU!$A$2:$A$4692,0))),"")</f>
        <v/>
      </c>
      <c r="B1052" s="24">
        <f>IFERROR(INDEX(Companies!$A$3:$A$101,MATCH(A1052,Companies!$B$3:$B$101,0)),"")</f>
        <v/>
      </c>
      <c r="D1052" t="inlineStr">
        <is>
          <t>FA2EDB2A18A2</t>
        </is>
      </c>
      <c r="E1052">
        <f>LEFT(D1052,2)&amp;":"&amp;MID(D1052,3,2)&amp;":"&amp;MID(D1052,5,2)&amp;":"&amp;MID(D1052,7,2)&amp;":"&amp;MID(D1052,9,2)&amp;":"&amp;RIGHT(D1052,2)</f>
        <v/>
      </c>
      <c r="H1052" t="inlineStr">
        <is>
          <t>1B1E78A40D8397EA</t>
        </is>
      </c>
      <c r="I1052">
        <f>IFERROR(_xlfn.IFNA(INDEX(Sensors_MANU!$C$2:$C$4692,MATCH($D1052,Sensors_MANU!$B$2:$B$4692,0)),INDEX(Sensors_MANU!$C$2:$C$4692,MATCH($P1052,Sensors_MANU!$A$2:$A$4692,0))),"")</f>
        <v/>
      </c>
      <c r="J1052">
        <f>IFERROR(_xlfn.IFNA(INDEX(Sensors_MANU!$D$2:$D$4692,MATCH($D1052,Sensors_MANU!$B$2:$B$4692,0)),INDEX(Sensors_MANU!$D$2:$D$4692,MATCH($P1052,Sensors_MANU!$A$2:$A$4692,0))),"")</f>
        <v/>
      </c>
      <c r="K1052" s="27" t="inlineStr">
        <is>
          <t>BP08</t>
        </is>
      </c>
      <c r="L1052" s="27" t="inlineStr">
        <is>
          <t>3L</t>
        </is>
      </c>
    </row>
    <row r="1053">
      <c r="A1053" s="32">
        <f>IFERROR(_xlfn.IFNA(INDEX(Sensors_MANU!$E$2:$E$4692,MATCH($D1053,Sensors_MANU!$B$2:$B$4692,0)),INDEX(Sensors_MANU!$E$2:$E$4692,MATCH($P1053,Sensors_MANU!$A$2:$A$4692,0))),"")</f>
        <v/>
      </c>
      <c r="B1053" s="24">
        <f>IFERROR(INDEX(Companies!$A$3:$A$101,MATCH(A1053,Companies!$B$3:$B$101,0)),"")</f>
        <v/>
      </c>
      <c r="C1053">
        <f>IFERROR(_xlfn.IFNA(INDEX(Sensors_MANU!$F$2:$F$4692,MATCH($D1053,Sensors_MANU!$B$2:$B$4692,0)),INDEX(Sensors_MANU!$F$2:$F$4692,MATCH($P1053,Sensors_MANU!$A$2:$A$4692,0))),"")</f>
        <v/>
      </c>
      <c r="D1053" t="inlineStr">
        <is>
          <t>F0AC697532AB</t>
        </is>
      </c>
      <c r="E1053" s="24">
        <f>LEFT(D1053,2)&amp;":"&amp;MID(D1053,3,2)&amp;":"&amp;MID(D1053,5,2)&amp;":"&amp;MID(D1053,7,2)&amp;":"&amp;MID(D1053,9,2)&amp;":"&amp;RIGHT(D1053,2)</f>
        <v/>
      </c>
      <c r="H1053" t="inlineStr">
        <is>
          <t>8BF14D1F5A44A7B5</t>
        </is>
      </c>
      <c r="I1053">
        <f>IFERROR(_xlfn.IFNA(INDEX(Sensors_MANU!$C$2:$C$4692,MATCH($D1053,Sensors_MANU!$B$2:$B$4692,0)),INDEX(Sensors_MANU!$C$2:$C$4692,MATCH($P1053,Sensors_MANU!$A$2:$A$4692,0))),"")</f>
        <v/>
      </c>
      <c r="J1053">
        <f>IFERROR(_xlfn.IFNA(INDEX(Sensors_MANU!$D$2:$D$4692,MATCH($D1053,Sensors_MANU!$B$2:$B$4692,0)),INDEX(Sensors_MANU!$D$2:$D$4692,MATCH($P1053,Sensors_MANU!$A$2:$A$4692,0))),"")</f>
        <v/>
      </c>
      <c r="N1053" s="99" t="inlineStr">
        <is>
          <t>The operator has the device or its lost (they paid for it), but we dont monitor it on Ubidots anymore.</t>
        </is>
      </c>
      <c r="O1053" s="6" t="inlineStr">
        <is>
          <t>V25</t>
        </is>
      </c>
    </row>
    <row r="1054">
      <c r="B1054" s="24">
        <f>IFERROR(INDEX(Companies!$A$3:$A$101,MATCH(A1054,Companies!$B$3:$B$101,0)),"")</f>
        <v/>
      </c>
      <c r="C1054">
        <f>IFERROR(_xlfn.IFNA(INDEX(Sensors_MANU!$F$2:$F$4692,MATCH($D1054,Sensors_MANU!$B$2:$B$4692,0)),INDEX(Sensors_MANU!$F$2:$F$4692,MATCH($P1054,Sensors_MANU!$A$2:$A$4692,0))),"")</f>
        <v/>
      </c>
      <c r="D1054" t="inlineStr">
        <is>
          <t>E9CAE79831C6</t>
        </is>
      </c>
      <c r="E1054">
        <f>LEFT(D1054,2)&amp;":"&amp;MID(D1054,3,2)&amp;":"&amp;MID(D1054,5,2)&amp;":"&amp;MID(D1054,7,2)&amp;":"&amp;MID(D1054,9,2)&amp;":"&amp;RIGHT(D1054,2)</f>
        <v/>
      </c>
      <c r="H1054" t="inlineStr">
        <is>
          <t>D2E069EA6A6817DB</t>
        </is>
      </c>
      <c r="I1054">
        <f>IFERROR(_xlfn.IFNA(INDEX(Sensors_MANU!$C$2:$C$4692,MATCH($D1054,Sensors_MANU!$B$2:$B$4692,0)),INDEX(Sensors_MANU!$C$2:$C$4692,MATCH($P1054,Sensors_MANU!$A$2:$A$4692,0))),"")</f>
        <v/>
      </c>
      <c r="J1054">
        <f>IFERROR(_xlfn.IFNA(INDEX(Sensors_MANU!$D$2:$D$4692,MATCH($D1054,Sensors_MANU!$B$2:$B$4692,0)),INDEX(Sensors_MANU!$D$2:$D$4692,MATCH($P1054,Sensors_MANU!$A$2:$A$4692,0))),"")</f>
        <v/>
      </c>
      <c r="M1054" s="27" t="n"/>
      <c r="O1054" s="6" t="inlineStr">
        <is>
          <t>v16</t>
        </is>
      </c>
      <c r="P1054" t="n">
        <v>4978633</v>
      </c>
    </row>
    <row r="1055">
      <c r="A1055" s="32">
        <f>IFERROR(_xlfn.IFNA(INDEX(Sensors_MANU!$E$2:$E$4692,MATCH($D1055,Sensors_MANU!$B$2:$B$4692,0)),INDEX(Sensors_MANU!$E$2:$E$4692,MATCH($P1055,Sensors_MANU!$A$2:$A$4692,0))),"")</f>
        <v/>
      </c>
      <c r="B1055" s="24">
        <f>IFERROR(INDEX(Companies!$A$3:$A$101,MATCH(A1055,Companies!$B$3:$B$101,0)),"")</f>
        <v/>
      </c>
      <c r="D1055" t="inlineStr">
        <is>
          <t>E33D0DF829D4</t>
        </is>
      </c>
      <c r="E1055">
        <f>LEFT(D1055,2)&amp;":"&amp;MID(D1055,3,2)&amp;":"&amp;MID(D1055,5,2)&amp;":"&amp;MID(D1055,7,2)&amp;":"&amp;MID(D1055,9,2)&amp;":"&amp;RIGHT(D1055,2)</f>
        <v/>
      </c>
      <c r="F1055" s="29" t="n">
        <v>44953</v>
      </c>
      <c r="G1055" s="29" t="inlineStr">
        <is>
          <t>Fertagus</t>
        </is>
      </c>
      <c r="H1055" t="inlineStr">
        <is>
          <t>3C80D83ED1F7A626</t>
        </is>
      </c>
      <c r="I1055">
        <f>IFERROR(_xlfn.IFNA(INDEX(Sensors_MANU!$C$2:$C$4692,MATCH($D1055,Sensors_MANU!$B$2:$B$4692,0)),INDEX(Sensors_MANU!$C$2:$C$4692,MATCH($P1055,Sensors_MANU!$A$2:$A$4692,0))),"")</f>
        <v/>
      </c>
      <c r="J1055">
        <f>IFERROR(_xlfn.IFNA(INDEX(Sensors_MANU!$D$2:$D$4692,MATCH($D1055,Sensors_MANU!$B$2:$B$4692,0)),INDEX(Sensors_MANU!$D$2:$D$4692,MATCH($P1055,Sensors_MANU!$A$2:$A$4692,0))),"")</f>
        <v/>
      </c>
      <c r="K1055" s="27" t="inlineStr">
        <is>
          <t>M3555</t>
        </is>
      </c>
      <c r="L1055" s="27" t="inlineStr">
        <is>
          <t>3R</t>
        </is>
      </c>
    </row>
    <row r="1056">
      <c r="A1056" s="32">
        <f>IFERROR(_xlfn.IFNA(INDEX(Sensors_MANU!$E$2:$E$4692,MATCH($D1056,Sensors_MANU!$B$2:$B$4692,0)),INDEX(Sensors_MANU!$E$2:$E$4692,MATCH($P1056,Sensors_MANU!$A$2:$A$4692,0))),"")</f>
        <v/>
      </c>
      <c r="B1056" s="24">
        <f>IFERROR(INDEX(Companies!$A$3:$A$101,MATCH(A1056,Companies!$B$3:$B$101,0)),"")</f>
        <v/>
      </c>
      <c r="C1056">
        <f>IFERROR(_xlfn.IFNA(INDEX(Sensors_MANU!$F$2:$F$4692,MATCH($D1056,Sensors_MANU!$B$2:$B$4692,0)),INDEX(Sensors_MANU!$F$2:$F$4692,MATCH($P1056,Sensors_MANU!$A$2:$A$4692,0))),"")</f>
        <v/>
      </c>
      <c r="D1056" t="inlineStr">
        <is>
          <t>DA107CB8D6C8</t>
        </is>
      </c>
      <c r="E1056" s="24">
        <f>LEFT(D1056,2)&amp;":"&amp;MID(D1056,3,2)&amp;":"&amp;MID(D1056,5,2)&amp;":"&amp;MID(D1056,7,2)&amp;":"&amp;MID(D1056,9,2)&amp;":"&amp;RIGHT(D1056,2)</f>
        <v/>
      </c>
      <c r="F1056" s="29" t="n">
        <v>44880</v>
      </c>
      <c r="G1056" s="29" t="inlineStr">
        <is>
          <t>Viezo</t>
        </is>
      </c>
      <c r="H1056" t="inlineStr">
        <is>
          <t>EE6B20444B64A9E0</t>
        </is>
      </c>
      <c r="I1056">
        <f>IFERROR(_xlfn.IFNA(INDEX(Sensors_MANU!$C$2:$C$4692,MATCH($D1056,Sensors_MANU!$B$2:$B$4692,0)),INDEX(Sensors_MANU!$C$2:$C$4692,MATCH($P1056,Sensors_MANU!$A$2:$A$4692,0))),"")</f>
        <v/>
      </c>
      <c r="J1056">
        <f>IFERROR(_xlfn.IFNA(INDEX(Sensors_MANU!$D$2:$D$4692,MATCH($D1056,Sensors_MANU!$B$2:$B$4692,0)),INDEX(Sensors_MANU!$D$2:$D$4692,MATCH($P1056,Sensors_MANU!$A$2:$A$4692,0))),"")</f>
        <v/>
      </c>
      <c r="K1056" s="27" t="inlineStr">
        <is>
          <t>83546985085-2</t>
        </is>
      </c>
      <c r="L1056" s="27" t="inlineStr">
        <is>
          <t>2L</t>
        </is>
      </c>
      <c r="O1056" s="6" t="inlineStr">
        <is>
          <t>V25</t>
        </is>
      </c>
    </row>
    <row r="1057">
      <c r="A1057" s="32">
        <f>IFERROR(_xlfn.IFNA(INDEX(Sensors_MANU!$E$2:$E$4692,MATCH($D1057,Sensors_MANU!$B$2:$B$4692,0)),INDEX(Sensors_MANU!$E$2:$E$4692,MATCH($P1057,Sensors_MANU!$A$2:$A$4692,0))),"")</f>
        <v/>
      </c>
      <c r="B1057" s="24">
        <f>IFERROR(INDEX(Companies!$A$3:$A$101,MATCH(A1057,Companies!$B$3:$B$101,0)),"")</f>
        <v/>
      </c>
      <c r="D1057" t="inlineStr">
        <is>
          <t>E4484D2CE659</t>
        </is>
      </c>
      <c r="E1057">
        <f>LEFT(D1057,2)&amp;":"&amp;MID(D1057,3,2)&amp;":"&amp;MID(D1057,5,2)&amp;":"&amp;MID(D1057,7,2)&amp;":"&amp;MID(D1057,9,2)&amp;":"&amp;RIGHT(D1057,2)</f>
        <v/>
      </c>
      <c r="F1057" s="29" t="n">
        <v>44910</v>
      </c>
      <c r="G1057" s="29" t="inlineStr">
        <is>
          <t>Viezo</t>
        </is>
      </c>
      <c r="H1057" t="inlineStr">
        <is>
          <t>DD4B6E5C394B7F82</t>
        </is>
      </c>
      <c r="I1057">
        <f>IFERROR(_xlfn.IFNA(INDEX(Sensors_MANU!$C$2:$C$4692,MATCH($D1057,Sensors_MANU!$B$2:$B$4692,0)),INDEX(Sensors_MANU!$C$2:$C$4692,MATCH($P1057,Sensors_MANU!$A$2:$A$4692,0))),"")</f>
        <v/>
      </c>
      <c r="J1057">
        <f>IFERROR(_xlfn.IFNA(INDEX(Sensors_MANU!$D$2:$D$4692,MATCH($D1057,Sensors_MANU!$B$2:$B$4692,0)),INDEX(Sensors_MANU!$D$2:$D$4692,MATCH($P1057,Sensors_MANU!$A$2:$A$4692,0))),"")</f>
        <v/>
      </c>
      <c r="K1057" s="27" t="inlineStr">
        <is>
          <t>33854956699-4</t>
        </is>
      </c>
      <c r="L1057" s="27" t="inlineStr">
        <is>
          <t>6b</t>
        </is>
      </c>
      <c r="M1057" s="61" t="inlineStr">
        <is>
          <t>88220132</t>
        </is>
      </c>
    </row>
    <row r="1058">
      <c r="A1058" s="32">
        <f>IFERROR(_xlfn.IFNA(INDEX(Sensors_MANU!$E$2:$E$4692,MATCH($D1058,Sensors_MANU!$B$2:$B$4692,0)),INDEX(Sensors_MANU!$E$2:$E$4692,MATCH($P1058,Sensors_MANU!$A$2:$A$4692,0))),"")</f>
        <v/>
      </c>
      <c r="B1058" s="24">
        <f>IFERROR(INDEX(Companies!$A$3:$A$101,MATCH(A1058,Companies!$B$3:$B$101,0)),"")</f>
        <v/>
      </c>
      <c r="D1058" t="inlineStr">
        <is>
          <t>FB1BF991AB3B</t>
        </is>
      </c>
      <c r="E1058">
        <f>LEFT(D1058,2)&amp;":"&amp;MID(D1058,3,2)&amp;":"&amp;MID(D1058,5,2)&amp;":"&amp;MID(D1058,7,2)&amp;":"&amp;MID(D1058,9,2)&amp;":"&amp;RIGHT(D1058,2)</f>
        <v/>
      </c>
      <c r="F1058" s="29" t="n">
        <v>44910</v>
      </c>
      <c r="G1058" s="29" t="inlineStr">
        <is>
          <t>Viezo</t>
        </is>
      </c>
      <c r="H1058" t="inlineStr">
        <is>
          <t>A8F1254B2BE010D5</t>
        </is>
      </c>
      <c r="I1058">
        <f>IFERROR(_xlfn.IFNA(INDEX(Sensors_MANU!$C$2:$C$4692,MATCH($D1058,Sensors_MANU!$B$2:$B$4692,0)),INDEX(Sensors_MANU!$C$2:$C$4692,MATCH($P1058,Sensors_MANU!$A$2:$A$4692,0))),"")</f>
        <v/>
      </c>
      <c r="J1058">
        <f>IFERROR(_xlfn.IFNA(INDEX(Sensors_MANU!$D$2:$D$4692,MATCH($D1058,Sensors_MANU!$B$2:$B$4692,0)),INDEX(Sensors_MANU!$D$2:$D$4692,MATCH($P1058,Sensors_MANU!$A$2:$A$4692,0))),"")</f>
        <v/>
      </c>
      <c r="K1058" s="27" t="inlineStr">
        <is>
          <t>33854956478-3</t>
        </is>
      </c>
      <c r="L1058" s="27" t="inlineStr">
        <is>
          <t>9a</t>
        </is>
      </c>
      <c r="M1058" s="61" t="inlineStr">
        <is>
          <t>88190528</t>
        </is>
      </c>
    </row>
    <row r="1059">
      <c r="A1059" s="32">
        <f>IFERROR(_xlfn.IFNA(INDEX(Sensors_MANU!$E$2:$E$4692,MATCH($D1059,Sensors_MANU!$B$2:$B$4692,0)),INDEX(Sensors_MANU!$E$2:$E$4692,MATCH($P1059,Sensors_MANU!$A$2:$A$4692,0))),"")</f>
        <v/>
      </c>
      <c r="B1059" s="24">
        <f>IFERROR(INDEX(Companies!$A$3:$A$101,MATCH(A1059,Companies!$B$3:$B$101,0)),"")</f>
        <v/>
      </c>
      <c r="D1059" t="inlineStr">
        <is>
          <t>E92B0B73675D</t>
        </is>
      </c>
      <c r="E1059">
        <f>LEFT(D1059,2)&amp;":"&amp;MID(D1059,3,2)&amp;":"&amp;MID(D1059,5,2)&amp;":"&amp;MID(D1059,7,2)&amp;":"&amp;MID(D1059,9,2)&amp;":"&amp;RIGHT(D1059,2)</f>
        <v/>
      </c>
      <c r="H1059" t="inlineStr">
        <is>
          <t>CAB911358B9D3C86</t>
        </is>
      </c>
      <c r="I1059">
        <f>IFERROR(_xlfn.IFNA(INDEX(Sensors_MANU!$C$2:$C$4692,MATCH($D1059,Sensors_MANU!$B$2:$B$4692,0)),INDEX(Sensors_MANU!$C$2:$C$4692,MATCH($P1059,Sensors_MANU!$A$2:$A$4692,0))),"")</f>
        <v/>
      </c>
      <c r="J1059">
        <f>IFERROR(_xlfn.IFNA(INDEX(Sensors_MANU!$D$2:$D$4692,MATCH($D1059,Sensors_MANU!$B$2:$B$4692,0)),INDEX(Sensors_MANU!$D$2:$D$4692,MATCH($P1059,Sensors_MANU!$A$2:$A$4692,0))),"")</f>
        <v/>
      </c>
      <c r="K1059" s="27" t="inlineStr">
        <is>
          <t>BAH103</t>
        </is>
      </c>
      <c r="L1059" s="27" t="inlineStr">
        <is>
          <t>4R</t>
        </is>
      </c>
    </row>
    <row r="1060">
      <c r="A1060" s="32">
        <f>IFERROR(_xlfn.IFNA(INDEX(Sensors_MANU!$E$2:$E$4692,MATCH($D1060,Sensors_MANU!$B$2:$B$4692,0)),INDEX(Sensors_MANU!$E$2:$E$4692,MATCH($P1060,Sensors_MANU!$A$2:$A$4692,0))),"")</f>
        <v/>
      </c>
      <c r="B1060" s="24">
        <f>IFERROR(INDEX(Companies!$A$3:$A$101,MATCH(A1060,Companies!$B$3:$B$101,0)),"")</f>
        <v/>
      </c>
      <c r="D1060" t="inlineStr">
        <is>
          <t>C6F6BFC82FDD</t>
        </is>
      </c>
      <c r="E1060">
        <f>LEFT(D1060,2)&amp;":"&amp;MID(D1060,3,2)&amp;":"&amp;MID(D1060,5,2)&amp;":"&amp;MID(D1060,7,2)&amp;":"&amp;MID(D1060,9,2)&amp;":"&amp;RIGHT(D1060,2)</f>
        <v/>
      </c>
      <c r="F1060" s="29" t="n">
        <v>44953</v>
      </c>
      <c r="G1060" s="29" t="inlineStr">
        <is>
          <t>Fertagus</t>
        </is>
      </c>
      <c r="H1060" t="inlineStr">
        <is>
          <t>2481D847409802DE</t>
        </is>
      </c>
      <c r="I1060">
        <f>IFERROR(_xlfn.IFNA(INDEX(Sensors_MANU!$C$2:$C$4692,MATCH($D1060,Sensors_MANU!$B$2:$B$4692,0)),INDEX(Sensors_MANU!$C$2:$C$4692,MATCH($P1060,Sensors_MANU!$A$2:$A$4692,0))),"")</f>
        <v/>
      </c>
      <c r="J1060">
        <f>IFERROR(_xlfn.IFNA(INDEX(Sensors_MANU!$D$2:$D$4692,MATCH($D1060,Sensors_MANU!$B$2:$B$4692,0)),INDEX(Sensors_MANU!$D$2:$D$4692,MATCH($P1060,Sensors_MANU!$A$2:$A$4692,0))),"")</f>
        <v/>
      </c>
      <c r="K1060" s="27" t="inlineStr">
        <is>
          <t>M3555</t>
        </is>
      </c>
      <c r="L1060" s="27" t="inlineStr">
        <is>
          <t>1L</t>
        </is>
      </c>
    </row>
    <row r="1061">
      <c r="A1061" s="32">
        <f>IFERROR(_xlfn.IFNA(INDEX(Sensors_MANU!$E$2:$E$4692,MATCH($D1061,Sensors_MANU!$B$2:$B$4692,0)),INDEX(Sensors_MANU!$E$2:$E$4692,MATCH($P1061,Sensors_MANU!$A$2:$A$4692,0))),"")</f>
        <v/>
      </c>
      <c r="B1061" s="24">
        <f>IFERROR(INDEX(Companies!$A$3:$A$101,MATCH(A1061,Companies!$B$3:$B$101,0)),"")</f>
        <v/>
      </c>
      <c r="C1061" s="25" t="inlineStr">
        <is>
          <t>sggmrs</t>
        </is>
      </c>
      <c r="D1061" t="inlineStr">
        <is>
          <t>C9B22CF84004</t>
        </is>
      </c>
      <c r="E1061">
        <f>LEFT(D1061,2)&amp;":"&amp;MID(D1061,3,2)&amp;":"&amp;MID(D1061,5,2)&amp;":"&amp;MID(D1061,7,2)&amp;":"&amp;MID(D1061,9,2)&amp;":"&amp;RIGHT(D1061,2)</f>
        <v/>
      </c>
      <c r="F1061" s="29" t="n">
        <v>44938</v>
      </c>
      <c r="G1061" s="29" t="inlineStr">
        <is>
          <t>Ambrogio</t>
        </is>
      </c>
      <c r="H1061" t="inlineStr">
        <is>
          <t>668FC48DED540CEA</t>
        </is>
      </c>
      <c r="I1061">
        <f>IFERROR(_xlfn.IFNA(INDEX(Sensors_MANU!$C$2:$C$4692,MATCH($D1061,Sensors_MANU!$B$2:$B$4692,0)),INDEX(Sensors_MANU!$C$2:$C$4692,MATCH($P1061,Sensors_MANU!$A$2:$A$4692,0))),"")</f>
        <v/>
      </c>
      <c r="J1061" s="64">
        <f>IFERROR(_xlfn.IFNA(INDEX(Sensors_MANU!$D$2:$D$4692,MATCH($D1061,Sensors_MANU!$B$2:$B$4692,0)),INDEX(Sensors_MANU!$D$2:$D$4692,MATCH($P1061,Sensors_MANU!$A$2:$A$4692,0))),"")</f>
        <v/>
      </c>
      <c r="K1061" s="27" t="inlineStr">
        <is>
          <t>33-83-495-4-940-6</t>
        </is>
      </c>
      <c r="L1061" s="27" t="inlineStr">
        <is>
          <t>3R</t>
        </is>
      </c>
    </row>
    <row r="1062">
      <c r="A1062" s="32" t="inlineStr">
        <is>
          <t>RAILRELEASE</t>
        </is>
      </c>
      <c r="B1062" s="24">
        <f>IFERROR(INDEX(Companies!$A$3:$A$101,MATCH(A1062,Companies!$B$3:$B$101,0)),"")</f>
        <v/>
      </c>
      <c r="D1062" t="inlineStr">
        <is>
          <t>FB3F37A6A849</t>
        </is>
      </c>
      <c r="E1062" s="24">
        <f>LEFT(D1062,2)&amp;":"&amp;MID(D1062,3,2)&amp;":"&amp;MID(D1062,5,2)&amp;":"&amp;MID(D1062,7,2)&amp;":"&amp;MID(D1062,9,2)&amp;":"&amp;RIGHT(D1062,2)</f>
        <v/>
      </c>
      <c r="F1062" s="29" t="n">
        <v>45064</v>
      </c>
      <c r="G1062" s="29" t="inlineStr">
        <is>
          <t>Viezo</t>
        </is>
      </c>
      <c r="H1062" t="inlineStr">
        <is>
          <t>20C30175CAE9594B</t>
        </is>
      </c>
      <c r="J1062" s="71" t="inlineStr">
        <is>
          <t>PR2206-533</t>
        </is>
      </c>
      <c r="K1062" s="27" t="inlineStr">
        <is>
          <t>37844576158-8</t>
        </is>
      </c>
      <c r="L1062" s="27" t="inlineStr">
        <is>
          <t>4L</t>
        </is>
      </c>
      <c r="N1062" s="99">
        <f>IFERROR(INDEX(Sensors_MANU!$G$2:$G$4692,MATCH($P1062,Sensors_MANU!$A$2:$A$4692,0)),)</f>
        <v/>
      </c>
      <c r="O1062" s="6" t="inlineStr">
        <is>
          <t>v17</t>
        </is>
      </c>
      <c r="P1062" t="n">
        <v>4978566</v>
      </c>
    </row>
    <row r="1063">
      <c r="A1063" s="32">
        <f>IFERROR(_xlfn.IFNA(INDEX(Sensors_MANU!$E$2:$E$4692,MATCH($D1063,Sensors_MANU!$B$2:$B$4692,0)),INDEX(Sensors_MANU!$E$2:$E$4692,MATCH($P1063,Sensors_MANU!$A$2:$A$4692,0))),"")</f>
        <v/>
      </c>
      <c r="B1063" s="24">
        <f>IFERROR(INDEX(Companies!$A$3:$A$101,MATCH(A1063,Companies!$B$3:$B$101,0)),"")</f>
        <v/>
      </c>
      <c r="C1063">
        <f>IFERROR(_xlfn.IFNA(INDEX(Sensors_MANU!$F$2:$F$4692,MATCH($D1063,Sensors_MANU!$B$2:$B$4692,0)),INDEX(Sensors_MANU!$F$2:$F$4692,MATCH($P1063,Sensors_MANU!$A$2:$A$4692,0))),"")</f>
        <v/>
      </c>
      <c r="D1063" t="inlineStr">
        <is>
          <t>D7253FFB943A</t>
        </is>
      </c>
      <c r="E1063">
        <f>LEFT(D1063,2)&amp;":"&amp;MID(D1063,3,2)&amp;":"&amp;MID(D1063,5,2)&amp;":"&amp;MID(D1063,7,2)&amp;":"&amp;MID(D1063,9,2)&amp;":"&amp;RIGHT(D1063,2)</f>
        <v/>
      </c>
      <c r="F1063" s="29" t="n">
        <v>44910</v>
      </c>
      <c r="G1063" s="29" t="inlineStr">
        <is>
          <t>Viezo</t>
        </is>
      </c>
      <c r="H1063" t="inlineStr">
        <is>
          <t>757486480A2C9CCB</t>
        </is>
      </c>
      <c r="I1063">
        <f>IFERROR(_xlfn.IFNA(INDEX(Sensors_MANU!$C$2:$C$4692,MATCH($D1063,Sensors_MANU!$B$2:$B$4692,0)),INDEX(Sensors_MANU!$C$2:$C$4692,MATCH($P1063,Sensors_MANU!$A$2:$A$4692,0))),"")</f>
        <v/>
      </c>
      <c r="J1063">
        <f>IFERROR(_xlfn.IFNA(INDEX(Sensors_MANU!$D$2:$D$4692,MATCH($D1063,Sensors_MANU!$B$2:$B$4692,0)),INDEX(Sensors_MANU!$D$2:$D$4692,MATCH($P1063,Sensors_MANU!$A$2:$A$4692,0))),"")</f>
        <v/>
      </c>
      <c r="K1063" s="27" t="inlineStr">
        <is>
          <t>33854575320-8</t>
        </is>
      </c>
      <c r="L1063" s="27" t="inlineStr">
        <is>
          <t>2b</t>
        </is>
      </c>
      <c r="M1063" s="27" t="inlineStr">
        <is>
          <t>0 80811</t>
        </is>
      </c>
      <c r="N1063" s="99">
        <f>IFERROR(INDEX(Sensors_MANU!$G$2:$G$4692,MATCH($P1063,Sensors_MANU!$A$2:$A$4692,0)),)</f>
        <v/>
      </c>
      <c r="O1063" s="6" t="inlineStr">
        <is>
          <t>v16</t>
        </is>
      </c>
      <c r="P1063" t="n">
        <v>4978531</v>
      </c>
    </row>
    <row r="1064">
      <c r="A1064" s="32">
        <f>IFERROR(_xlfn.IFNA(INDEX(Sensors_MANU!$E$2:$E$4692,MATCH($D1064,Sensors_MANU!$B$2:$B$4692,0)),INDEX(Sensors_MANU!$E$2:$E$4692,MATCH($P1064,Sensors_MANU!$A$2:$A$4692,0))),"")</f>
        <v/>
      </c>
      <c r="B1064" s="24">
        <f>IFERROR(INDEX(Companies!$A$3:$A$101,MATCH(A1064,Companies!$B$3:$B$101,0)),"")</f>
        <v/>
      </c>
      <c r="C1064">
        <f>IFERROR(_xlfn.IFNA(INDEX(Sensors_MANU!$F$2:$F$4692,MATCH($D1064,Sensors_MANU!$B$2:$B$4692,0)),INDEX(Sensors_MANU!$F$2:$F$4692,MATCH($P1064,Sensors_MANU!$A$2:$A$4692,0))),"")</f>
        <v/>
      </c>
      <c r="D1064" t="inlineStr">
        <is>
          <t>DB44F9BC9563</t>
        </is>
      </c>
      <c r="E1064">
        <f>LEFT(D1064,2)&amp;":"&amp;MID(D1064,3,2)&amp;":"&amp;MID(D1064,5,2)&amp;":"&amp;MID(D1064,7,2)&amp;":"&amp;MID(D1064,9,2)&amp;":"&amp;RIGHT(D1064,2)</f>
        <v/>
      </c>
      <c r="F1064" s="29" t="n">
        <v>44918</v>
      </c>
      <c r="G1064" s="29" t="inlineStr">
        <is>
          <t>Hupac</t>
        </is>
      </c>
      <c r="H1064" t="inlineStr">
        <is>
          <t>4A3B93E12697AF25</t>
        </is>
      </c>
      <c r="I1064">
        <f>IFERROR(_xlfn.IFNA(INDEX(Sensors_MANU!$C$2:$C$4692,MATCH($D1064,Sensors_MANU!$B$2:$B$4692,0)),INDEX(Sensors_MANU!$C$2:$C$4692,MATCH($P1064,Sensors_MANU!$A$2:$A$4692,0))),"")</f>
        <v/>
      </c>
      <c r="J1064">
        <f>IFERROR(_xlfn.IFNA(INDEX(Sensors_MANU!$D$2:$D$4692,MATCH($D1064,Sensors_MANU!$B$2:$B$4692,0)),INDEX(Sensors_MANU!$D$2:$D$4692,MATCH($P1064,Sensors_MANU!$A$2:$A$4692,0))),"")</f>
        <v/>
      </c>
      <c r="K1064" s="27" t="inlineStr">
        <is>
          <t>33854956710-9</t>
        </is>
      </c>
      <c r="L1064" s="27" t="inlineStr">
        <is>
          <t>11a</t>
        </is>
      </c>
      <c r="M1064" s="61" t="inlineStr">
        <is>
          <t>88150094</t>
        </is>
      </c>
    </row>
    <row r="1065">
      <c r="A1065" s="32">
        <f>IFERROR(_xlfn.IFNA(INDEX(Sensors_MANU!$E$2:$E$4692,MATCH($D1065,Sensors_MANU!$B$2:$B$4692,0)),INDEX(Sensors_MANU!$E$2:$E$4692,MATCH($P1065,Sensors_MANU!$A$2:$A$4692,0))),"")</f>
        <v/>
      </c>
      <c r="B1065" s="24">
        <f>IFERROR(INDEX(Companies!$A$3:$A$101,MATCH(A1065,Companies!$B$3:$B$101,0)),"")</f>
        <v/>
      </c>
      <c r="C1065">
        <f>IFERROR(_xlfn.IFNA(INDEX(Sensors_MANU!$F$2:$F$4692,MATCH($D1065,Sensors_MANU!$B$2:$B$4692,0)),INDEX(Sensors_MANU!$F$2:$F$4692,MATCH($P1065,Sensors_MANU!$A$2:$A$4692,0))),"")</f>
        <v/>
      </c>
      <c r="D1065" t="inlineStr">
        <is>
          <t>FD235F67C53C</t>
        </is>
      </c>
      <c r="E1065" s="24">
        <f>LEFT(D1065,2)&amp;":"&amp;MID(D1065,3,2)&amp;":"&amp;MID(D1065,5,2)&amp;":"&amp;MID(D1065,7,2)&amp;":"&amp;MID(D1065,9,2)&amp;":"&amp;RIGHT(D1065,2)</f>
        <v/>
      </c>
      <c r="F1065" s="29" t="n">
        <v>44880</v>
      </c>
      <c r="G1065" s="29" t="inlineStr">
        <is>
          <t>Viezo</t>
        </is>
      </c>
      <c r="H1065" t="inlineStr">
        <is>
          <t>C5CAD9BDAB032D7D</t>
        </is>
      </c>
      <c r="I1065">
        <f>IFERROR(_xlfn.IFNA(INDEX(Sensors_MANU!$C$2:$C$4692,MATCH($D1065,Sensors_MANU!$B$2:$B$4692,0)),INDEX(Sensors_MANU!$C$2:$C$4692,MATCH($P1065,Sensors_MANU!$A$2:$A$4692,0))),"")</f>
        <v/>
      </c>
      <c r="J1065">
        <f>IFERROR(_xlfn.IFNA(INDEX(Sensors_MANU!$D$2:$D$4692,MATCH($D1065,Sensors_MANU!$B$2:$B$4692,0)),INDEX(Sensors_MANU!$D$2:$D$4692,MATCH($P1065,Sensors_MANU!$A$2:$A$4692,0))),"")</f>
        <v/>
      </c>
      <c r="K1065" s="27" t="inlineStr">
        <is>
          <t>83546985085-2</t>
        </is>
      </c>
      <c r="L1065" s="27" t="inlineStr">
        <is>
          <t>1L</t>
        </is>
      </c>
      <c r="O1065" s="6" t="inlineStr">
        <is>
          <t>V25</t>
        </is>
      </c>
    </row>
    <row r="1066">
      <c r="A1066" s="32">
        <f>IFERROR(_xlfn.IFNA(INDEX(Sensors_MANU!$E$2:$E$4692,MATCH($D1066,Sensors_MANU!$B$2:$B$4692,0)),INDEX(Sensors_MANU!$E$2:$E$4692,MATCH($P1066,Sensors_MANU!$A$2:$A$4692,0))),"")</f>
        <v/>
      </c>
      <c r="B1066" s="24">
        <f>IFERROR(INDEX(Companies!$A$3:$A$101,MATCH(A1066,Companies!$B$3:$B$101,0)),"")</f>
        <v/>
      </c>
      <c r="C1066">
        <f>IFERROR(_xlfn.IFNA(INDEX(Sensors_MANU!$F$2:$F$4692,MATCH($D1066,Sensors_MANU!$B$2:$B$4692,0)),INDEX(Sensors_MANU!$F$2:$F$4692,MATCH($P1066,Sensors_MANU!$A$2:$A$4692,0))),"")</f>
        <v/>
      </c>
      <c r="D1066" s="25" t="inlineStr">
        <is>
          <t>CE9E3F15A109</t>
        </is>
      </c>
      <c r="E1066" s="24">
        <f>LEFT(D1066,2)&amp;":"&amp;MID(D1066,3,2)&amp;":"&amp;MID(D1066,5,2)&amp;":"&amp;MID(D1066,7,2)&amp;":"&amp;MID(D1066,9,2)&amp;":"&amp;RIGHT(D1066,2)</f>
        <v/>
      </c>
      <c r="F1066" s="29" t="n">
        <v>44880</v>
      </c>
      <c r="G1066" s="29" t="inlineStr">
        <is>
          <t>Viezo</t>
        </is>
      </c>
      <c r="H1066" t="inlineStr">
        <is>
          <t>DE8B19687082226C</t>
        </is>
      </c>
      <c r="I1066">
        <f>IFERROR(_xlfn.IFNA(INDEX(Sensors_MANU!$C$2:$C$4692,MATCH($D1066,Sensors_MANU!$B$2:$B$4692,0)),INDEX(Sensors_MANU!$C$2:$C$4692,MATCH($P1066,Sensors_MANU!$A$2:$A$4692,0))),"")</f>
        <v/>
      </c>
      <c r="J1066">
        <f>IFERROR(_xlfn.IFNA(INDEX(Sensors_MANU!$D$2:$D$4692,MATCH($D1066,Sensors_MANU!$B$2:$B$4692,0)),INDEX(Sensors_MANU!$D$2:$D$4692,MATCH($P1066,Sensors_MANU!$A$2:$A$4692,0))),"")</f>
        <v/>
      </c>
      <c r="K1066" s="27" t="inlineStr">
        <is>
          <t>83546985015-9</t>
        </is>
      </c>
      <c r="L1066" s="27" t="inlineStr">
        <is>
          <t>3L</t>
        </is>
      </c>
      <c r="O1066" s="6" t="inlineStr">
        <is>
          <t>V23</t>
        </is>
      </c>
    </row>
    <row r="1067">
      <c r="A1067" s="32" t="inlineStr">
        <is>
          <t>RENFE</t>
        </is>
      </c>
      <c r="B1067" s="24">
        <f>IFERROR(INDEX(Companies!$A$3:$A$101,MATCH(A1067,Companies!$B$3:$B$101,0)),"")</f>
        <v/>
      </c>
      <c r="C1067">
        <f>IFERROR(_xlfn.IFNA(INDEX(Sensors_MANU!$F$2:$F$4692,MATCH($D1067,Sensors_MANU!$B$2:$B$4692,0)),INDEX(Sensors_MANU!$F$2:$F$4692,MATCH($P1067,Sensors_MANU!$A$2:$A$4692,0))),"")</f>
        <v/>
      </c>
      <c r="D1067" t="inlineStr">
        <is>
          <t>D5D229509ED7</t>
        </is>
      </c>
      <c r="E1067" s="24">
        <f>LEFT(D1067,2)&amp;":"&amp;MID(D1067,3,2)&amp;":"&amp;MID(D1067,5,2)&amp;":"&amp;MID(D1067,7,2)&amp;":"&amp;MID(D1067,9,2)&amp;":"&amp;RIGHT(D1067,2)</f>
        <v/>
      </c>
      <c r="F1067" s="29" t="n">
        <v>45083</v>
      </c>
      <c r="G1067" s="29" t="inlineStr">
        <is>
          <t>Renfe</t>
        </is>
      </c>
      <c r="H1067" t="inlineStr">
        <is>
          <t>1590675F79D1D229</t>
        </is>
      </c>
      <c r="I1067">
        <f>IFERROR(_xlfn.IFNA(INDEX(Sensors_MANU!$C$2:$C$4692,MATCH($D1067,Sensors_MANU!$B$2:$B$4692,0)),INDEX(Sensors_MANU!$C$2:$C$4692,MATCH($P1067,Sensors_MANU!$A$2:$A$4692,0))),"")</f>
        <v/>
      </c>
      <c r="J1067" s="64" t="inlineStr">
        <is>
          <t>PR2206-538</t>
        </is>
      </c>
      <c r="K1067" s="27" t="n">
        <v>527015</v>
      </c>
      <c r="L1067" s="27" t="inlineStr">
        <is>
          <t>3L</t>
        </is>
      </c>
      <c r="O1067" s="6" t="inlineStr">
        <is>
          <t>V25</t>
        </is>
      </c>
    </row>
    <row r="1068">
      <c r="B1068" s="24">
        <f>IFERROR(INDEX(Companies!$A$3:$A$101,MATCH(A1068,Companies!$B$3:$B$101,0)),"")</f>
        <v/>
      </c>
      <c r="C1068">
        <f>IFERROR(_xlfn.IFNA(INDEX(Sensors_MANU!$F$2:$F$4692,MATCH($D1068,Sensors_MANU!$B$2:$B$4692,0)),INDEX(Sensors_MANU!$F$2:$F$4692,MATCH($P1068,Sensors_MANU!$A$2:$A$4692,0))),"")</f>
        <v/>
      </c>
      <c r="D1068" t="inlineStr">
        <is>
          <t>C62526019B13</t>
        </is>
      </c>
      <c r="E1068">
        <f>LEFT(D1068,2)&amp;":"&amp;MID(D1068,3,2)&amp;":"&amp;MID(D1068,5,2)&amp;":"&amp;MID(D1068,7,2)&amp;":"&amp;MID(D1068,9,2)&amp;":"&amp;RIGHT(D1068,2)</f>
        <v/>
      </c>
      <c r="H1068" t="inlineStr">
        <is>
          <t>21AFDC7C6E01042F</t>
        </is>
      </c>
      <c r="J1068" s="65" t="inlineStr">
        <is>
          <t>PR2206-539</t>
        </is>
      </c>
      <c r="M1068" s="27" t="n"/>
      <c r="N1068" s="99">
        <f>IFERROR(INDEX(Sensors_MANU!$G$2:$G$4692,MATCH($P1068,Sensors_MANU!$A$2:$A$4692,0)),)</f>
        <v/>
      </c>
      <c r="O1068" s="6" t="inlineStr">
        <is>
          <t>v16</t>
        </is>
      </c>
      <c r="P1068" t="n">
        <v>4978777</v>
      </c>
    </row>
    <row r="1069">
      <c r="A1069" s="32" t="inlineStr">
        <is>
          <t>RSA</t>
        </is>
      </c>
      <c r="B1069" s="24">
        <f>IFERROR(INDEX(Companies!$A$3:$A$101,MATCH(A1069,Companies!$B$3:$B$101,0)),"")</f>
        <v/>
      </c>
      <c r="C1069">
        <f>IFERROR(_xlfn.IFNA(INDEX(Sensors_MANU!$F$2:$F$4692,MATCH($D1069,Sensors_MANU!$B$2:$B$4692,0)),INDEX(Sensors_MANU!$F$2:$F$4692,MATCH($P1069,Sensors_MANU!$A$2:$A$4692,0))),"")</f>
        <v/>
      </c>
      <c r="D1069" t="inlineStr">
        <is>
          <t>E1863CA33BFB</t>
        </is>
      </c>
      <c r="E1069" s="24">
        <f>LEFT(D1069,2)&amp;":"&amp;MID(D1069,3,2)&amp;":"&amp;MID(D1069,5,2)&amp;":"&amp;MID(D1069,7,2)&amp;":"&amp;MID(D1069,9,2)&amp;":"&amp;RIGHT(D1069,2)</f>
        <v/>
      </c>
      <c r="H1069" t="inlineStr">
        <is>
          <t>5246B8F56393806E</t>
        </is>
      </c>
      <c r="I1069">
        <f>IFERROR(_xlfn.IFNA(INDEX(Sensors_MANU!$C$2:$C$4692,MATCH($D1069,Sensors_MANU!$B$2:$B$4692,0)),INDEX(Sensors_MANU!$C$2:$C$4692,MATCH($P1069,Sensors_MANU!$A$2:$A$4692,0))),"")</f>
        <v/>
      </c>
      <c r="J1069" s="65" t="inlineStr">
        <is>
          <t>PR2206-540</t>
        </is>
      </c>
      <c r="O1069" s="6" t="inlineStr">
        <is>
          <t>V25</t>
        </is>
      </c>
    </row>
    <row r="1070">
      <c r="A1070" s="32" t="inlineStr">
        <is>
          <t>RSA</t>
        </is>
      </c>
      <c r="B1070" s="24">
        <f>IFERROR(INDEX(Companies!$A$3:$A$101,MATCH(A1070,Companies!$B$3:$B$101,0)),"")</f>
        <v/>
      </c>
      <c r="C1070">
        <f>IFERROR(_xlfn.IFNA(INDEX(Sensors_MANU!$F$2:$F$4692,MATCH($D1070,Sensors_MANU!$B$2:$B$4692,0)),INDEX(Sensors_MANU!$F$2:$F$4692,MATCH($P1070,Sensors_MANU!$A$2:$A$4692,0))),"")</f>
        <v/>
      </c>
      <c r="D1070" t="inlineStr">
        <is>
          <t>E93D1BBD8264</t>
        </is>
      </c>
      <c r="E1070">
        <f>LEFT(D1070,2)&amp;":"&amp;MID(D1070,3,2)&amp;":"&amp;MID(D1070,5,2)&amp;":"&amp;MID(D1070,7,2)&amp;":"&amp;MID(D1070,9,2)&amp;":"&amp;RIGHT(D1070,2)</f>
        <v/>
      </c>
      <c r="H1070" t="inlineStr">
        <is>
          <t>C85E420AF5C1BEC8</t>
        </is>
      </c>
      <c r="J1070" s="65" t="inlineStr">
        <is>
          <t>PR2206-542</t>
        </is>
      </c>
      <c r="M1070" s="27" t="n"/>
      <c r="O1070" s="6" t="inlineStr">
        <is>
          <t>v16</t>
        </is>
      </c>
      <c r="P1070" t="n">
        <v>4978858</v>
      </c>
    </row>
    <row r="1071">
      <c r="A1071" s="32">
        <f>IFERROR(_xlfn.IFNA(INDEX(Sensors_MANU!$E$2:$E$4692,MATCH($D1071,Sensors_MANU!$B$2:$B$4692,0)),INDEX(Sensors_MANU!$E$2:$E$4692,MATCH($P1071,Sensors_MANU!$A$2:$A$4692,0))),"")</f>
        <v/>
      </c>
      <c r="B1071" s="24">
        <f>IFERROR(INDEX(Companies!$A$3:$A$101,MATCH(A1071,Companies!$B$3:$B$101,0)),"")</f>
        <v/>
      </c>
      <c r="C1071">
        <f>IFERROR(_xlfn.IFNA(INDEX(Sensors_MANU!$F$2:$F$4692,MATCH($D1071,Sensors_MANU!$B$2:$B$4692,0)),INDEX(Sensors_MANU!$F$2:$F$4692,MATCH($P1071,Sensors_MANU!$A$2:$A$4692,0))),"")</f>
        <v/>
      </c>
      <c r="D1071" t="inlineStr">
        <is>
          <t>DD90049CCCC1</t>
        </is>
      </c>
      <c r="E1071">
        <f>LEFT(D1071,2)&amp;":"&amp;MID(D1071,3,2)&amp;":"&amp;MID(D1071,5,2)&amp;":"&amp;MID(D1071,7,2)&amp;":"&amp;MID(D1071,9,2)&amp;":"&amp;RIGHT(D1071,2)</f>
        <v/>
      </c>
      <c r="F1071" s="29" t="n">
        <v>44880</v>
      </c>
      <c r="G1071" s="29" t="inlineStr">
        <is>
          <t>Viezo</t>
        </is>
      </c>
      <c r="H1071" t="inlineStr">
        <is>
          <t>E107F6B90992885C</t>
        </is>
      </c>
      <c r="I1071">
        <f>IFERROR(_xlfn.IFNA(INDEX(Sensors_MANU!$C$2:$C$4692,MATCH($D1071,Sensors_MANU!$B$2:$B$4692,0)),INDEX(Sensors_MANU!$C$2:$C$4692,MATCH($P1071,Sensors_MANU!$A$2:$A$4692,0))),"")</f>
        <v/>
      </c>
      <c r="J1071">
        <f>IFERROR(_xlfn.IFNA(INDEX(Sensors_MANU!$D$2:$D$4692,MATCH($D1071,Sensors_MANU!$B$2:$B$4692,0)),INDEX(Sensors_MANU!$D$2:$D$4692,MATCH($P1071,Sensors_MANU!$A$2:$A$4692,0))),"")</f>
        <v/>
      </c>
      <c r="K1071" s="27" t="inlineStr">
        <is>
          <t>83546985012-6</t>
        </is>
      </c>
      <c r="L1071" s="27" t="inlineStr">
        <is>
          <t>3L</t>
        </is>
      </c>
      <c r="M1071" s="27" t="n"/>
      <c r="N1071" s="99" t="inlineStr">
        <is>
          <t>duplicate pcb_sn</t>
        </is>
      </c>
      <c r="O1071" s="6" t="inlineStr">
        <is>
          <t>v16</t>
        </is>
      </c>
      <c r="P1071" t="n">
        <v>4978637</v>
      </c>
    </row>
    <row r="1072">
      <c r="A1072" s="32">
        <f>IFERROR(_xlfn.IFNA(INDEX(Sensors_MANU!$E$2:$E$4692,MATCH($D1072,Sensors_MANU!$B$2:$B$4692,0)),INDEX(Sensors_MANU!$E$2:$E$4692,MATCH($P1072,Sensors_MANU!$A$2:$A$4692,0))),"")</f>
        <v/>
      </c>
      <c r="B1072" s="24" t="inlineStr">
        <is>
          <t>64818ba10166b80f8d06f5fa</t>
        </is>
      </c>
      <c r="C1072">
        <f>IFERROR(_xlfn.IFNA(INDEX(Sensors_MANU!$F$2:$F$4692,MATCH($D1072,Sensors_MANU!$B$2:$B$4692,0)),INDEX(Sensors_MANU!$F$2:$F$4692,MATCH($P1072,Sensors_MANU!$A$2:$A$4692,0))),"")</f>
        <v/>
      </c>
      <c r="D1072" t="inlineStr">
        <is>
          <t>C5C78BD5F85D</t>
        </is>
      </c>
      <c r="E1072">
        <f>LEFT(D1072,2)&amp;":"&amp;MID(D1072,3,2)&amp;":"&amp;MID(D1072,5,2)&amp;":"&amp;MID(D1072,7,2)&amp;":"&amp;MID(D1072,9,2)&amp;":"&amp;RIGHT(D1072,2)</f>
        <v/>
      </c>
      <c r="F1072" s="29" t="n">
        <v>45090</v>
      </c>
      <c r="G1072" s="29" t="inlineStr">
        <is>
          <t>VIEZO</t>
        </is>
      </c>
      <c r="H1072" t="inlineStr">
        <is>
          <t>3E0E5372B8BE1ED7</t>
        </is>
      </c>
      <c r="I1072">
        <f>IFERROR(_xlfn.IFNA(INDEX(Sensors_MANU!$C$2:$C$4692,MATCH($D1072,Sensors_MANU!$B$2:$B$4692,0)),INDEX(Sensors_MANU!$C$2:$C$4692,MATCH($P1072,Sensors_MANU!$A$2:$A$4692,0))),"")</f>
        <v/>
      </c>
      <c r="J1072">
        <f>IFERROR(_xlfn.IFNA(INDEX(Sensors_MANU!$D$2:$D$4692,MATCH($D1072,Sensors_MANU!$B$2:$B$4692,0)),INDEX(Sensors_MANU!$D$2:$D$4692,MATCH($P1072,Sensors_MANU!$A$2:$A$4692,0))),"")</f>
        <v/>
      </c>
      <c r="K1072" s="27" t="inlineStr">
        <is>
          <t>33802742481-5</t>
        </is>
      </c>
      <c r="L1072" s="27" t="inlineStr">
        <is>
          <t>2R</t>
        </is>
      </c>
      <c r="N1072" s="99">
        <f>IFERROR(INDEX(Sensors_MANU!$G$2:$G$4692,MATCH($P1072,Sensors_MANU!$A$2:$A$4692,0)),)</f>
        <v/>
      </c>
      <c r="O1072" s="6" t="inlineStr">
        <is>
          <t>v17</t>
        </is>
      </c>
      <c r="P1072" t="n">
        <v>4978598</v>
      </c>
    </row>
    <row r="1073">
      <c r="A1073" s="32">
        <f>IFERROR(_xlfn.IFNA(INDEX(Sensors_MANU!$E$2:$E$4692,MATCH($D1073,Sensors_MANU!$B$2:$B$4692,0)),INDEX(Sensors_MANU!$E$2:$E$4692,MATCH($P1073,Sensors_MANU!$A$2:$A$4692,0))),"")</f>
        <v/>
      </c>
      <c r="B1073" s="24" t="inlineStr">
        <is>
          <t>64818ba10166b80f8d06f5fa</t>
        </is>
      </c>
      <c r="C1073">
        <f>IFERROR(_xlfn.IFNA(INDEX(Sensors_MANU!$F$2:$F$4692,MATCH($D1073,Sensors_MANU!$B$2:$B$4692,0)),INDEX(Sensors_MANU!$F$2:$F$4692,MATCH($P1073,Sensors_MANU!$A$2:$A$4692,0))),"")</f>
        <v/>
      </c>
      <c r="D1073" t="inlineStr">
        <is>
          <t>CA5F0E3D5205</t>
        </is>
      </c>
      <c r="E1073" s="24">
        <f>LEFT(D1073,2)&amp;":"&amp;MID(D1073,3,2)&amp;":"&amp;MID(D1073,5,2)&amp;":"&amp;MID(D1073,7,2)&amp;":"&amp;MID(D1073,9,2)&amp;":"&amp;RIGHT(D1073,2)</f>
        <v/>
      </c>
      <c r="F1073" s="29" t="n">
        <v>45097</v>
      </c>
      <c r="G1073" s="29" t="inlineStr">
        <is>
          <t>TRANSWAGG</t>
        </is>
      </c>
      <c r="H1073" t="inlineStr">
        <is>
          <t>81ADC9A5D5730F53</t>
        </is>
      </c>
      <c r="I1073">
        <f>IFERROR(_xlfn.IFNA(INDEX(Sensors_MANU!$C$2:$C$4692,MATCH($D1073,Sensors_MANU!$B$2:$B$4692,0)),INDEX(Sensors_MANU!$C$2:$C$4692,MATCH($P1073,Sensors_MANU!$A$2:$A$4692,0))),"")</f>
        <v/>
      </c>
      <c r="J1073">
        <f>IFERROR(_xlfn.IFNA(INDEX(Sensors_MANU!$D$2:$D$4692,MATCH($D1073,Sensors_MANU!$B$2:$B$4692,0)),INDEX(Sensors_MANU!$D$2:$D$4692,MATCH($P1073,Sensors_MANU!$A$2:$A$4692,0))),"")</f>
        <v/>
      </c>
      <c r="K1073" s="27" t="inlineStr">
        <is>
          <t>33802742527-5</t>
        </is>
      </c>
      <c r="L1073" s="27" t="inlineStr">
        <is>
          <t>1L</t>
        </is>
      </c>
      <c r="O1073" s="6" t="inlineStr">
        <is>
          <t>V25</t>
        </is>
      </c>
    </row>
    <row r="1074">
      <c r="A1074" s="32">
        <f>IFERROR(_xlfn.IFNA(INDEX(Sensors_MANU!$E$2:$E$4692,MATCH($D1074,Sensors_MANU!$B$2:$B$4692,0)),INDEX(Sensors_MANU!$E$2:$E$4692,MATCH($P1074,Sensors_MANU!$A$2:$A$4692,0))),"")</f>
        <v/>
      </c>
      <c r="B1074" s="24">
        <f>IFERROR(INDEX(Companies!$A$3:$A$101,MATCH(A1074,Companies!$B$3:$B$101,0)),"")</f>
        <v/>
      </c>
      <c r="C1074">
        <f>IFERROR(_xlfn.IFNA(INDEX(Sensors_MANU!$F$2:$F$4692,MATCH($D1074,Sensors_MANU!$B$2:$B$4692,0)),INDEX(Sensors_MANU!$F$2:$F$4692,MATCH($P1074,Sensors_MANU!$A$2:$A$4692,0))),"")</f>
        <v/>
      </c>
      <c r="D1074" t="inlineStr">
        <is>
          <t>C5903DB4D448</t>
        </is>
      </c>
      <c r="E1074" s="24">
        <f>LEFT(D1074,2)&amp;":"&amp;MID(D1074,3,2)&amp;":"&amp;MID(D1074,5,2)&amp;":"&amp;MID(D1074,7,2)&amp;":"&amp;MID(D1074,9,2)&amp;":"&amp;RIGHT(D1074,2)</f>
        <v/>
      </c>
      <c r="F1074" s="29" t="n">
        <v>44880</v>
      </c>
      <c r="G1074" s="29" t="inlineStr">
        <is>
          <t>Viezo</t>
        </is>
      </c>
      <c r="H1074" t="inlineStr">
        <is>
          <t>7A15AEB3F246F0AF</t>
        </is>
      </c>
      <c r="I1074">
        <f>IFERROR(_xlfn.IFNA(INDEX(Sensors_MANU!$C$2:$C$4692,MATCH($D1074,Sensors_MANU!$B$2:$B$4692,0)),INDEX(Sensors_MANU!$C$2:$C$4692,MATCH($P1074,Sensors_MANU!$A$2:$A$4692,0))),"")</f>
        <v/>
      </c>
      <c r="J1074">
        <f>IFERROR(_xlfn.IFNA(INDEX(Sensors_MANU!$D$2:$D$4692,MATCH($D1074,Sensors_MANU!$B$2:$B$4692,0)),INDEX(Sensors_MANU!$D$2:$D$4692,MATCH($P1074,Sensors_MANU!$A$2:$A$4692,0))),"")</f>
        <v/>
      </c>
      <c r="K1074" s="27" t="inlineStr">
        <is>
          <t>83546985079-5</t>
        </is>
      </c>
      <c r="L1074" s="27" t="inlineStr">
        <is>
          <t>2R</t>
        </is>
      </c>
      <c r="O1074" s="6" t="inlineStr">
        <is>
          <t>V25</t>
        </is>
      </c>
    </row>
    <row r="1075">
      <c r="A1075" s="32">
        <f>IFERROR(_xlfn.IFNA(INDEX(Sensors_MANU!$E$2:$E$4692,MATCH($D1075,Sensors_MANU!$B$2:$B$4692,0)),INDEX(Sensors_MANU!$E$2:$E$4692,MATCH($P1075,Sensors_MANU!$A$2:$A$4692,0))),"")</f>
        <v/>
      </c>
      <c r="B1075" s="24">
        <f>IFERROR(INDEX(Companies!$A$3:$A$101,MATCH(A1075,Companies!$B$3:$B$101,0)),"")</f>
        <v/>
      </c>
      <c r="D1075" t="inlineStr">
        <is>
          <t>F43C9048F67F</t>
        </is>
      </c>
      <c r="E1075">
        <f>LEFT(D1075,2)&amp;":"&amp;MID(D1075,3,2)&amp;":"&amp;MID(D1075,5,2)&amp;":"&amp;MID(D1075,7,2)&amp;":"&amp;MID(D1075,9,2)&amp;":"&amp;RIGHT(D1075,2)</f>
        <v/>
      </c>
      <c r="F1075" s="29" t="n">
        <v>44910</v>
      </c>
      <c r="G1075" s="29" t="inlineStr">
        <is>
          <t>Viezo</t>
        </is>
      </c>
      <c r="H1075" t="inlineStr">
        <is>
          <t>E7EC40EAE31E87FE</t>
        </is>
      </c>
      <c r="I1075">
        <f>IFERROR(_xlfn.IFNA(INDEX(Sensors_MANU!$C$2:$C$4692,MATCH($D1075,Sensors_MANU!$B$2:$B$4692,0)),INDEX(Sensors_MANU!$C$2:$C$4692,MATCH($P1075,Sensors_MANU!$A$2:$A$4692,0))),"")</f>
        <v/>
      </c>
      <c r="J1075">
        <f>IFERROR(_xlfn.IFNA(INDEX(Sensors_MANU!$D$2:$D$4692,MATCH($D1075,Sensors_MANU!$B$2:$B$4692,0)),INDEX(Sensors_MANU!$D$2:$D$4692,MATCH($P1075,Sensors_MANU!$A$2:$A$4692,0))),"")</f>
        <v/>
      </c>
      <c r="K1075" s="27" t="inlineStr">
        <is>
          <t>33854956699-4</t>
        </is>
      </c>
      <c r="L1075" s="27" t="inlineStr">
        <is>
          <t>7a</t>
        </is>
      </c>
      <c r="M1075" s="61" t="inlineStr">
        <is>
          <t>88220136</t>
        </is>
      </c>
    </row>
    <row r="1076">
      <c r="B1076" s="24">
        <f>IFERROR(INDEX(Companies!$A$3:$A$101,MATCH(A1076,Companies!$B$3:$B$101,0)),"")</f>
        <v/>
      </c>
      <c r="C1076">
        <f>IFERROR(_xlfn.IFNA(INDEX(Sensors_MANU!$F$2:$F$4692,MATCH($D1076,Sensors_MANU!$B$2:$B$4692,0)),INDEX(Sensors_MANU!$F$2:$F$4692,MATCH($P1076,Sensors_MANU!$A$2:$A$4692,0))),"")</f>
        <v/>
      </c>
      <c r="D1076" s="25" t="inlineStr">
        <is>
          <t>C98DD086A23A</t>
        </is>
      </c>
      <c r="E1076" s="24">
        <f>LEFT(D1076,2)&amp;":"&amp;MID(D1076,3,2)&amp;":"&amp;MID(D1076,5,2)&amp;":"&amp;MID(D1076,7,2)&amp;":"&amp;MID(D1076,9,2)&amp;":"&amp;RIGHT(D1076,2)</f>
        <v/>
      </c>
      <c r="H1076" t="inlineStr">
        <is>
          <t>88C989A3D9FA1DE4</t>
        </is>
      </c>
      <c r="J1076" s="65" t="inlineStr">
        <is>
          <t>PR2206-548</t>
        </is>
      </c>
      <c r="O1076" s="6" t="inlineStr">
        <is>
          <t>V23</t>
        </is>
      </c>
    </row>
    <row r="1077">
      <c r="A1077" s="32" t="inlineStr">
        <is>
          <t>RSA</t>
        </is>
      </c>
      <c r="B1077" s="24">
        <f>IFERROR(INDEX(Companies!$A$3:$A$101,MATCH(A1077,Companies!$B$3:$B$101,0)),"")</f>
        <v/>
      </c>
      <c r="C1077">
        <f>IFERROR(_xlfn.IFNA(INDEX(Sensors_MANU!$F$2:$F$4692,MATCH($D1077,Sensors_MANU!$B$2:$B$4692,0)),INDEX(Sensors_MANU!$F$2:$F$4692,MATCH($P1077,Sensors_MANU!$A$2:$A$4692,0))),"")</f>
        <v/>
      </c>
      <c r="D1077" t="inlineStr">
        <is>
          <t>D73B55FD2F33</t>
        </is>
      </c>
      <c r="E1077" s="24">
        <f>LEFT(D1077,2)&amp;":"&amp;MID(D1077,3,2)&amp;":"&amp;MID(D1077,5,2)&amp;":"&amp;MID(D1077,7,2)&amp;":"&amp;MID(D1077,9,2)&amp;":"&amp;RIGHT(D1077,2)</f>
        <v/>
      </c>
      <c r="H1077" t="inlineStr">
        <is>
          <t>8326036CF38096C6</t>
        </is>
      </c>
      <c r="I1077">
        <f>IFERROR(_xlfn.IFNA(INDEX(Sensors_MANU!$C$2:$C$4692,MATCH($D1077,Sensors_MANU!$B$2:$B$4692,0)),INDEX(Sensors_MANU!$C$2:$C$4692,MATCH($P1077,Sensors_MANU!$A$2:$A$4692,0))),"")</f>
        <v/>
      </c>
      <c r="J1077" s="65" t="inlineStr">
        <is>
          <t>PR2206-549</t>
        </is>
      </c>
      <c r="O1077" s="6" t="inlineStr">
        <is>
          <t>V25</t>
        </is>
      </c>
    </row>
    <row r="1078">
      <c r="A1078" s="32">
        <f>IFERROR(_xlfn.IFNA(INDEX(Sensors_MANU!$E$2:$E$4692,MATCH($D1078,Sensors_MANU!$B$2:$B$4692,0)),INDEX(Sensors_MANU!$E$2:$E$4692,MATCH($P1078,Sensors_MANU!$A$2:$A$4692,0))),"")</f>
        <v/>
      </c>
      <c r="B1078" s="24">
        <f>IFERROR(INDEX(Companies!$A$3:$A$101,MATCH(A1078,Companies!$B$3:$B$101,0)),"")</f>
        <v/>
      </c>
      <c r="C1078">
        <f>IFERROR(_xlfn.IFNA(INDEX(Sensors_MANU!$F$2:$F$4692,MATCH($D1078,Sensors_MANU!$B$2:$B$4692,0)),INDEX(Sensors_MANU!$F$2:$F$4692,MATCH($P1078,Sensors_MANU!$A$2:$A$4692,0))),"")</f>
        <v/>
      </c>
      <c r="D1078" t="inlineStr">
        <is>
          <t>E2117DFDEA8A</t>
        </is>
      </c>
      <c r="E1078" s="24">
        <f>LEFT(D1078,2)&amp;":"&amp;MID(D1078,3,2)&amp;":"&amp;MID(D1078,5,2)&amp;":"&amp;MID(D1078,7,2)&amp;":"&amp;MID(D1078,9,2)&amp;":"&amp;RIGHT(D1078,2)</f>
        <v/>
      </c>
      <c r="F1078" s="29" t="n">
        <v>44880</v>
      </c>
      <c r="G1078" s="29" t="inlineStr">
        <is>
          <t>Viezo</t>
        </is>
      </c>
      <c r="H1078" t="inlineStr">
        <is>
          <t>CD1BDD77B8FC70C5</t>
        </is>
      </c>
      <c r="I1078">
        <f>IFERROR(_xlfn.IFNA(INDEX(Sensors_MANU!$C$2:$C$4692,MATCH($D1078,Sensors_MANU!$B$2:$B$4692,0)),INDEX(Sensors_MANU!$C$2:$C$4692,MATCH($P1078,Sensors_MANU!$A$2:$A$4692,0))),"")</f>
        <v/>
      </c>
      <c r="J1078">
        <f>IFERROR(_xlfn.IFNA(INDEX(Sensors_MANU!$D$2:$D$4692,MATCH($D1078,Sensors_MANU!$B$2:$B$4692,0)),INDEX(Sensors_MANU!$D$2:$D$4692,MATCH($P1078,Sensors_MANU!$A$2:$A$4692,0))),"")</f>
        <v/>
      </c>
      <c r="K1078" s="27" t="inlineStr">
        <is>
          <t>83546985084-5</t>
        </is>
      </c>
      <c r="L1078" s="27" t="inlineStr">
        <is>
          <t>2L</t>
        </is>
      </c>
      <c r="O1078" s="6" t="inlineStr">
        <is>
          <t>V25</t>
        </is>
      </c>
    </row>
    <row r="1079">
      <c r="A1079" s="32" t="inlineStr">
        <is>
          <t>RENFE</t>
        </is>
      </c>
      <c r="B1079" s="24">
        <f>IFERROR(INDEX(Companies!$A$3:$A$101,MATCH(A1079,Companies!$B$3:$B$101,0)),"")</f>
        <v/>
      </c>
      <c r="C1079">
        <f>IFERROR(_xlfn.IFNA(INDEX(Sensors_MANU!$F$2:$F$4692,MATCH($D1079,Sensors_MANU!$B$2:$B$4692,0)),INDEX(Sensors_MANU!$F$2:$F$4692,MATCH($P1079,Sensors_MANU!$A$2:$A$4692,0))),"")</f>
        <v/>
      </c>
      <c r="D1079" t="inlineStr">
        <is>
          <t>FD0DD1B22137</t>
        </is>
      </c>
      <c r="E1079" s="24">
        <f>LEFT(D1079,2)&amp;":"&amp;MID(D1079,3,2)&amp;":"&amp;MID(D1079,5,2)&amp;":"&amp;MID(D1079,7,2)&amp;":"&amp;MID(D1079,9,2)&amp;":"&amp;RIGHT(D1079,2)</f>
        <v/>
      </c>
      <c r="F1079" s="29" t="n">
        <v>45083</v>
      </c>
      <c r="G1079" s="29" t="inlineStr">
        <is>
          <t>Renfe</t>
        </is>
      </c>
      <c r="H1079" t="inlineStr">
        <is>
          <t>4B755FDE5E9980AC</t>
        </is>
      </c>
      <c r="I1079">
        <f>IFERROR(_xlfn.IFNA(INDEX(Sensors_MANU!$C$2:$C$4692,MATCH($D1079,Sensors_MANU!$B$2:$B$4692,0)),INDEX(Sensors_MANU!$C$2:$C$4692,MATCH($P1079,Sensors_MANU!$A$2:$A$4692,0))),"")</f>
        <v/>
      </c>
      <c r="J1079" s="64" t="inlineStr">
        <is>
          <t>PR2206-551</t>
        </is>
      </c>
      <c r="K1079" s="27" t="n">
        <v>527015</v>
      </c>
      <c r="L1079" s="27" t="inlineStr">
        <is>
          <t>4L</t>
        </is>
      </c>
      <c r="O1079" s="6" t="inlineStr">
        <is>
          <t>V25</t>
        </is>
      </c>
    </row>
    <row r="1080">
      <c r="A1080" s="32" t="inlineStr">
        <is>
          <t>RSA</t>
        </is>
      </c>
      <c r="B1080" s="24">
        <f>IFERROR(INDEX(Companies!$A$3:$A$101,MATCH(A1080,Companies!$B$3:$B$101,0)),"")</f>
        <v/>
      </c>
      <c r="C1080">
        <f>IFERROR(_xlfn.IFNA(INDEX(Sensors_MANU!$F$2:$F$4692,MATCH($D1080,Sensors_MANU!$B$2:$B$4692,0)),INDEX(Sensors_MANU!$F$2:$F$4692,MATCH($P1080,Sensors_MANU!$A$2:$A$4692,0))),"")</f>
        <v/>
      </c>
      <c r="D1080" t="inlineStr">
        <is>
          <t>C814D3C18D42</t>
        </is>
      </c>
      <c r="E1080">
        <f>LEFT(D1080,2)&amp;":"&amp;MID(D1080,3,2)&amp;":"&amp;MID(D1080,5,2)&amp;":"&amp;MID(D1080,7,2)&amp;":"&amp;MID(D1080,9,2)&amp;":"&amp;RIGHT(D1080,2)</f>
        <v/>
      </c>
      <c r="H1080" t="inlineStr">
        <is>
          <t>F4B785178790089B</t>
        </is>
      </c>
      <c r="I1080">
        <f>IFERROR(_xlfn.IFNA(INDEX(Sensors_MANU!$C$2:$C$4692,MATCH($D1080,Sensors_MANU!$B$2:$B$4692,0)),INDEX(Sensors_MANU!$C$2:$C$4692,MATCH($P1080,Sensors_MANU!$A$2:$A$4692,0))),"")</f>
        <v/>
      </c>
      <c r="J1080" s="65" t="inlineStr">
        <is>
          <t>PR2206-552</t>
        </is>
      </c>
      <c r="M1080" s="27" t="n"/>
      <c r="N1080" s="99">
        <f>IFERROR(INDEX(Sensors_MANU!$G$2:$G$4692,MATCH($P1080,Sensors_MANU!$A$2:$A$4692,0)),)</f>
        <v/>
      </c>
      <c r="O1080" s="6" t="inlineStr">
        <is>
          <t>v16</t>
        </is>
      </c>
      <c r="P1080" t="n">
        <v>4978413</v>
      </c>
    </row>
    <row r="1081">
      <c r="A1081" s="32" t="inlineStr">
        <is>
          <t>RSA</t>
        </is>
      </c>
      <c r="B1081" s="24">
        <f>IFERROR(INDEX(Companies!$A$3:$A$101,MATCH(A1081,Companies!$B$3:$B$101,0)),"")</f>
        <v/>
      </c>
      <c r="C1081">
        <f>IFERROR(_xlfn.IFNA(INDEX(Sensors_MANU!$F$2:$F$4692,MATCH($D1081,Sensors_MANU!$B$2:$B$4692,0)),INDEX(Sensors_MANU!$F$2:$F$4692,MATCH($P1081,Sensors_MANU!$A$2:$A$4692,0))),"")</f>
        <v/>
      </c>
      <c r="D1081" t="inlineStr">
        <is>
          <t>E1906C594799</t>
        </is>
      </c>
      <c r="E1081">
        <f>LEFT(D1081,2)&amp;":"&amp;MID(D1081,3,2)&amp;":"&amp;MID(D1081,5,2)&amp;":"&amp;MID(D1081,7,2)&amp;":"&amp;MID(D1081,9,2)&amp;":"&amp;RIGHT(D1081,2)</f>
        <v/>
      </c>
      <c r="H1081" t="inlineStr">
        <is>
          <t>E947CC52A7ED7D11</t>
        </is>
      </c>
      <c r="J1081" s="65" t="inlineStr">
        <is>
          <t>PR2206-553</t>
        </is>
      </c>
      <c r="M1081" s="27" t="n"/>
      <c r="N1081" s="99">
        <f>IFERROR(INDEX(Sensors_MANU!$G$2:$G$4692,MATCH($P1081,Sensors_MANU!$A$2:$A$4692,0)),)</f>
        <v/>
      </c>
      <c r="O1081" s="6" t="inlineStr">
        <is>
          <t>v16</t>
        </is>
      </c>
      <c r="P1081" t="n">
        <v>4978634</v>
      </c>
    </row>
    <row r="1082">
      <c r="A1082" s="32">
        <f>IFERROR(_xlfn.IFNA(INDEX(Sensors_MANU!$E$2:$E$4692,MATCH($D1082,Sensors_MANU!$B$2:$B$4692,0)),INDEX(Sensors_MANU!$E$2:$E$4692,MATCH($P1082,Sensors_MANU!$A$2:$A$4692,0))),"")</f>
        <v/>
      </c>
      <c r="B1082" s="24">
        <f>IFERROR(INDEX(Companies!$A$3:$A$101,MATCH(A1082,Companies!$B$3:$B$101,0)),"")</f>
        <v/>
      </c>
      <c r="C1082">
        <f>IFERROR(_xlfn.IFNA(INDEX(Sensors_MANU!$F$2:$F$4692,MATCH($D1082,Sensors_MANU!$B$2:$B$4692,0)),INDEX(Sensors_MANU!$F$2:$F$4692,MATCH($P1082,Sensors_MANU!$A$2:$A$4692,0))),"")</f>
        <v/>
      </c>
      <c r="D1082" t="inlineStr">
        <is>
          <t>D4BD4A127DDF</t>
        </is>
      </c>
      <c r="E1082">
        <f>LEFT(D1082,2)&amp;":"&amp;MID(D1082,3,2)&amp;":"&amp;MID(D1082,5,2)&amp;":"&amp;MID(D1082,7,2)&amp;":"&amp;MID(D1082,9,2)&amp;":"&amp;RIGHT(D1082,2)</f>
        <v/>
      </c>
      <c r="F1082" s="29" t="n">
        <v>44880</v>
      </c>
      <c r="G1082" s="29" t="inlineStr">
        <is>
          <t>Viezo</t>
        </is>
      </c>
      <c r="H1082" t="inlineStr">
        <is>
          <t>48D4B3C179DB07FD</t>
        </is>
      </c>
      <c r="I1082" s="6">
        <f>IFERROR(_xlfn.IFNA(INDEX(Sensors_MANU!$C$2:$C$4692,MATCH($D1082,Sensors_MANU!$B$2:$B$4692,0)),INDEX(Sensors_MANU!$C$2:$C$4692,MATCH($P1082,Sensors_MANU!$A$2:$A$4692,0))),"")</f>
        <v/>
      </c>
      <c r="J1082">
        <f>IFERROR(_xlfn.IFNA(INDEX(Sensors_MANU!$D$2:$D$4692,MATCH($D1082,Sensors_MANU!$B$2:$B$4692,0)),INDEX(Sensors_MANU!$D$2:$D$4692,MATCH($P1082,Sensors_MANU!$A$2:$A$4692,0))),"")</f>
        <v/>
      </c>
      <c r="K1082" s="32" t="inlineStr">
        <is>
          <t>83546985072-0</t>
        </is>
      </c>
      <c r="L1082" s="32" t="inlineStr">
        <is>
          <t>2L</t>
        </is>
      </c>
      <c r="M1082" s="35" t="n"/>
      <c r="O1082" s="6" t="inlineStr">
        <is>
          <t>v15</t>
        </is>
      </c>
      <c r="P1082" t="n">
        <v>4978885</v>
      </c>
    </row>
    <row r="1083">
      <c r="A1083" s="32" t="inlineStr">
        <is>
          <t>RSA</t>
        </is>
      </c>
      <c r="B1083" s="24">
        <f>IFERROR(INDEX(Companies!$A$3:$A$101,MATCH(A1083,Companies!$B$3:$B$101,0)),"")</f>
        <v/>
      </c>
      <c r="C1083">
        <f>IFERROR(_xlfn.IFNA(INDEX(Sensors_MANU!$F$2:$F$4692,MATCH($D1083,Sensors_MANU!$B$2:$B$4692,0)),INDEX(Sensors_MANU!$F$2:$F$4692,MATCH($P1083,Sensors_MANU!$A$2:$A$4692,0))),"")</f>
        <v/>
      </c>
      <c r="D1083" t="inlineStr">
        <is>
          <t>C234A020B821</t>
        </is>
      </c>
      <c r="E1083" s="24">
        <f>LEFT(D1083,2)&amp;":"&amp;MID(D1083,3,2)&amp;":"&amp;MID(D1083,5,2)&amp;":"&amp;MID(D1083,7,2)&amp;":"&amp;MID(D1083,9,2)&amp;":"&amp;RIGHT(D1083,2)</f>
        <v/>
      </c>
      <c r="H1083" t="inlineStr">
        <is>
          <t>A72A5D323A58F73B</t>
        </is>
      </c>
      <c r="I1083">
        <f>IFERROR(_xlfn.IFNA(INDEX(Sensors_MANU!$C$2:$C$4692,MATCH($D1083,Sensors_MANU!$B$2:$B$4692,0)),INDEX(Sensors_MANU!$C$2:$C$4692,MATCH($P1083,Sensors_MANU!$A$2:$A$4692,0))),"")</f>
        <v/>
      </c>
      <c r="J1083" s="65" t="inlineStr">
        <is>
          <t>PR2206-555</t>
        </is>
      </c>
      <c r="O1083" s="6" t="inlineStr">
        <is>
          <t>V24</t>
        </is>
      </c>
    </row>
    <row r="1084">
      <c r="A1084" s="32">
        <f>IFERROR(_xlfn.IFNA(INDEX(Sensors_MANU!$E$2:$E$4692,MATCH($D1084,Sensors_MANU!$B$2:$B$4692,0)),INDEX(Sensors_MANU!$E$2:$E$4692,MATCH($P1084,Sensors_MANU!$A$2:$A$4692,0))),"")</f>
        <v/>
      </c>
      <c r="B1084" s="24">
        <f>IFERROR(INDEX(Companies!$A$3:$A$101,MATCH(A1084,Companies!$B$3:$B$101,0)),"")</f>
        <v/>
      </c>
      <c r="D1084" t="inlineStr">
        <is>
          <t>DFD7091C337F</t>
        </is>
      </c>
      <c r="E1084">
        <f>LEFT(D1084,2)&amp;":"&amp;MID(D1084,3,2)&amp;":"&amp;MID(D1084,5,2)&amp;":"&amp;MID(D1084,7,2)&amp;":"&amp;MID(D1084,9,2)&amp;":"&amp;RIGHT(D1084,2)</f>
        <v/>
      </c>
      <c r="H1084" t="inlineStr">
        <is>
          <t>4640912859F410A0</t>
        </is>
      </c>
      <c r="I1084">
        <f>IFERROR(_xlfn.IFNA(INDEX(Sensors_MANU!$C$2:$C$4692,MATCH($D1084,Sensors_MANU!$B$2:$B$4692,0)),INDEX(Sensors_MANU!$C$2:$C$4692,MATCH($P1084,Sensors_MANU!$A$2:$A$4692,0))),"")</f>
        <v/>
      </c>
      <c r="J1084">
        <f>IFERROR(_xlfn.IFNA(INDEX(Sensors_MANU!$D$2:$D$4692,MATCH($D1084,Sensors_MANU!$B$2:$B$4692,0)),INDEX(Sensors_MANU!$D$2:$D$4692,MATCH($P1084,Sensors_MANU!$A$2:$A$4692,0))),"")</f>
        <v/>
      </c>
      <c r="K1084" s="27" t="inlineStr">
        <is>
          <t>BAH103</t>
        </is>
      </c>
      <c r="L1084" s="27" t="inlineStr">
        <is>
          <t>4L</t>
        </is>
      </c>
    </row>
    <row r="1085">
      <c r="A1085" s="32">
        <f>IFERROR(_xlfn.IFNA(INDEX(Sensors_MANU!$E$2:$E$4692,MATCH($D1085,Sensors_MANU!$B$2:$B$4692,0)),INDEX(Sensors_MANU!$E$2:$E$4692,MATCH($P1085,Sensors_MANU!$A$2:$A$4692,0))),"")</f>
        <v/>
      </c>
      <c r="B1085" s="24">
        <f>IFERROR(INDEX(Companies!$A$3:$A$101,MATCH(A1085,Companies!$B$3:$B$101,0)),"")</f>
        <v/>
      </c>
      <c r="C1085" t="inlineStr">
        <is>
          <t>cargo</t>
        </is>
      </c>
      <c r="D1085" t="inlineStr">
        <is>
          <t>EFF876CD19F2</t>
        </is>
      </c>
      <c r="E1085">
        <f>LEFT(D1085,2)&amp;":"&amp;MID(D1085,3,2)&amp;":"&amp;MID(D1085,5,2)&amp;":"&amp;MID(D1085,7,2)&amp;":"&amp;MID(D1085,9,2)&amp;":"&amp;RIGHT(D1085,2)</f>
        <v/>
      </c>
      <c r="F1085" s="29" t="n">
        <v>44918</v>
      </c>
      <c r="G1085" s="29" t="inlineStr">
        <is>
          <t>Hupac</t>
        </is>
      </c>
      <c r="H1085" t="inlineStr">
        <is>
          <t>03A535B125507DBD</t>
        </is>
      </c>
      <c r="I1085">
        <f>IFERROR(_xlfn.IFNA(INDEX(Sensors_MANU!$C$2:$C$4692,MATCH($D1085,Sensors_MANU!$B$2:$B$4692,0)),INDEX(Sensors_MANU!$C$2:$C$4692,MATCH($P1085,Sensors_MANU!$A$2:$A$4692,0))),"")</f>
        <v/>
      </c>
      <c r="J1085">
        <f>IFERROR(_xlfn.IFNA(INDEX(Sensors_MANU!$D$2:$D$4692,MATCH($D1085,Sensors_MANU!$B$2:$B$4692,0)),INDEX(Sensors_MANU!$D$2:$D$4692,MATCH($P1085,Sensors_MANU!$A$2:$A$4692,0))),"")</f>
        <v/>
      </c>
      <c r="K1085" s="27" t="inlineStr">
        <is>
          <t>33854956710-9</t>
        </is>
      </c>
      <c r="L1085" s="27" t="inlineStr">
        <is>
          <t>2b</t>
        </is>
      </c>
      <c r="M1085" s="27" t="n">
        <v>88150062</v>
      </c>
      <c r="N1085" s="99">
        <f>IFERROR(INDEX(Sensors_MANU!$G$2:$G$4692,MATCH($P1085,Sensors_MANU!$A$2:$A$4692,0)),)</f>
        <v/>
      </c>
      <c r="O1085" s="6" t="inlineStr">
        <is>
          <t>v15</t>
        </is>
      </c>
      <c r="P1085" t="n">
        <v>4978679</v>
      </c>
    </row>
    <row r="1086">
      <c r="A1086" s="32">
        <f>IFERROR(_xlfn.IFNA(INDEX(Sensors_MANU!$E$2:$E$4692,MATCH($D1086,Sensors_MANU!$B$2:$B$4692,0)),INDEX(Sensors_MANU!$E$2:$E$4692,MATCH($P1086,Sensors_MANU!$A$2:$A$4692,0))),"")</f>
        <v/>
      </c>
      <c r="B1086" s="24">
        <f>IFERROR(INDEX(Companies!$A$3:$A$101,MATCH(A1086,Companies!$B$3:$B$101,0)),"")</f>
        <v/>
      </c>
      <c r="C1086" s="25" t="inlineStr">
        <is>
          <t>sggmrs</t>
        </is>
      </c>
      <c r="D1086" t="inlineStr">
        <is>
          <t>E62F5C3D85B0</t>
        </is>
      </c>
      <c r="E1086">
        <f>LEFT(D1086,2)&amp;":"&amp;MID(D1086,3,2)&amp;":"&amp;MID(D1086,5,2)&amp;":"&amp;MID(D1086,7,2)&amp;":"&amp;MID(D1086,9,2)&amp;":"&amp;RIGHT(D1086,2)</f>
        <v/>
      </c>
      <c r="F1086" s="29" t="n">
        <v>44938</v>
      </c>
      <c r="G1086" s="29" t="inlineStr">
        <is>
          <t>Ambrogio</t>
        </is>
      </c>
      <c r="H1086" t="inlineStr">
        <is>
          <t>5DF5054B415A80B6</t>
        </is>
      </c>
      <c r="I1086">
        <f>IFERROR(_xlfn.IFNA(INDEX(Sensors_MANU!$C$2:$C$4692,MATCH($D1086,Sensors_MANU!$B$2:$B$4692,0)),INDEX(Sensors_MANU!$C$2:$C$4692,MATCH($P1086,Sensors_MANU!$A$2:$A$4692,0))),"")</f>
        <v/>
      </c>
      <c r="J1086" s="64">
        <f>IFERROR(_xlfn.IFNA(INDEX(Sensors_MANU!$D$2:$D$4692,MATCH($D1086,Sensors_MANU!$B$2:$B$4692,0)),INDEX(Sensors_MANU!$D$2:$D$4692,MATCH($P1086,Sensors_MANU!$A$2:$A$4692,0))),"")</f>
        <v/>
      </c>
      <c r="K1086" s="27" t="inlineStr">
        <is>
          <t>33-83-495-4-940-6</t>
        </is>
      </c>
      <c r="L1086" s="27" t="inlineStr">
        <is>
          <t>3L</t>
        </is>
      </c>
    </row>
    <row r="1087">
      <c r="A1087" s="32">
        <f>IFERROR(_xlfn.IFNA(INDEX(Sensors_MANU!$E$2:$E$4692,MATCH($D1087,Sensors_MANU!$B$2:$B$4692,0)),INDEX(Sensors_MANU!$E$2:$E$4692,MATCH($P1087,Sensors_MANU!$A$2:$A$4692,0))),"")</f>
        <v/>
      </c>
      <c r="B1087" s="24">
        <f>IFERROR(INDEX(Companies!$A$3:$A$101,MATCH(A1087,Companies!$B$3:$B$101,0)),"")</f>
        <v/>
      </c>
      <c r="D1087" t="inlineStr">
        <is>
          <t>CAD10ECC6DE7</t>
        </is>
      </c>
      <c r="E1087">
        <f>LEFT(D1087,2)&amp;":"&amp;MID(D1087,3,2)&amp;":"&amp;MID(D1087,5,2)&amp;":"&amp;MID(D1087,7,2)&amp;":"&amp;MID(D1087,9,2)&amp;":"&amp;RIGHT(D1087,2)</f>
        <v/>
      </c>
      <c r="H1087" t="inlineStr">
        <is>
          <t>9755429137944C41</t>
        </is>
      </c>
      <c r="I1087">
        <f>IFERROR(_xlfn.IFNA(INDEX(Sensors_MANU!$C$2:$C$4692,MATCH($D1087,Sensors_MANU!$B$2:$B$4692,0)),INDEX(Sensors_MANU!$C$2:$C$4692,MATCH($P1087,Sensors_MANU!$A$2:$A$4692,0))),"")</f>
        <v/>
      </c>
      <c r="J1087">
        <f>IFERROR(_xlfn.IFNA(INDEX(Sensors_MANU!$D$2:$D$4692,MATCH($D1087,Sensors_MANU!$B$2:$B$4692,0)),INDEX(Sensors_MANU!$D$2:$D$4692,MATCH($P1087,Sensors_MANU!$A$2:$A$4692,0))),"")</f>
        <v/>
      </c>
      <c r="K1087" s="27" t="inlineStr">
        <is>
          <t>BAH103</t>
        </is>
      </c>
      <c r="L1087" s="27" t="inlineStr">
        <is>
          <t>1R</t>
        </is>
      </c>
    </row>
    <row r="1088">
      <c r="B1088" s="24">
        <f>IFERROR(INDEX(Companies!$A$3:$A$101,MATCH(A1088,Companies!$B$3:$B$101,0)),"")</f>
        <v/>
      </c>
      <c r="C1088">
        <f>IFERROR(_xlfn.IFNA(INDEX(Sensors_MANU!$F$2:$F$4692,MATCH($D1088,Sensors_MANU!$B$2:$B$4692,0)),INDEX(Sensors_MANU!$F$2:$F$4692,MATCH($P1088,Sensors_MANU!$A$2:$A$4692,0))),"")</f>
        <v/>
      </c>
      <c r="D1088" t="inlineStr">
        <is>
          <t>E56D6809A3C0</t>
        </is>
      </c>
      <c r="E1088">
        <f>LEFT(D1088,2)&amp;":"&amp;MID(D1088,3,2)&amp;":"&amp;MID(D1088,5,2)&amp;":"&amp;MID(D1088,7,2)&amp;":"&amp;MID(D1088,9,2)&amp;":"&amp;RIGHT(D1088,2)</f>
        <v/>
      </c>
      <c r="H1088" t="inlineStr">
        <is>
          <t>B68A524649BB2015</t>
        </is>
      </c>
      <c r="I1088">
        <f>IFERROR(_xlfn.IFNA(INDEX(Sensors_MANU!$C$2:$C$4692,MATCH($D1088,Sensors_MANU!$B$2:$B$4692,0)),INDEX(Sensors_MANU!$C$2:$C$4692,MATCH($P1088,Sensors_MANU!$A$2:$A$4692,0))),"")</f>
        <v/>
      </c>
      <c r="J1088">
        <f>IFERROR(_xlfn.IFNA(INDEX(Sensors_MANU!$D$2:$D$4692,MATCH($D1088,Sensors_MANU!$B$2:$B$4692,0)),INDEX(Sensors_MANU!$D$2:$D$4692,MATCH($P1088,Sensors_MANU!$A$2:$A$4692,0))),"")</f>
        <v/>
      </c>
      <c r="M1088" s="27" t="n"/>
      <c r="O1088" s="6" t="inlineStr">
        <is>
          <t>v16</t>
        </is>
      </c>
      <c r="P1088" t="n">
        <v>4978717</v>
      </c>
    </row>
    <row r="1089">
      <c r="A1089" s="32">
        <f>IFERROR(_xlfn.IFNA(INDEX(Sensors_MANU!$E$2:$E$4692,MATCH($D1089,Sensors_MANU!$B$2:$B$4692,0)),INDEX(Sensors_MANU!$E$2:$E$4692,MATCH($P1089,Sensors_MANU!$A$2:$A$4692,0))),"")</f>
        <v/>
      </c>
      <c r="B1089" s="24">
        <f>IFERROR(INDEX(Companies!$A$3:$A$101,MATCH(A1089,Companies!$B$3:$B$101,0)),"")</f>
        <v/>
      </c>
      <c r="D1089" t="inlineStr">
        <is>
          <t>EAA16AAC7801</t>
        </is>
      </c>
      <c r="E1089">
        <f>LEFT(D1089,2)&amp;":"&amp;MID(D1089,3,2)&amp;":"&amp;MID(D1089,5,2)&amp;":"&amp;MID(D1089,7,2)&amp;":"&amp;MID(D1089,9,2)&amp;":"&amp;RIGHT(D1089,2)</f>
        <v/>
      </c>
      <c r="F1089" s="29" t="n">
        <v>44953</v>
      </c>
      <c r="G1089" s="29" t="inlineStr">
        <is>
          <t>Fertagus</t>
        </is>
      </c>
      <c r="H1089" t="inlineStr">
        <is>
          <t>FBAD6BA1DEE93314</t>
        </is>
      </c>
      <c r="I1089">
        <f>IFERROR(_xlfn.IFNA(INDEX(Sensors_MANU!$C$2:$C$4692,MATCH($D1089,Sensors_MANU!$B$2:$B$4692,0)),INDEX(Sensors_MANU!$C$2:$C$4692,MATCH($P1089,Sensors_MANU!$A$2:$A$4692,0))),"")</f>
        <v/>
      </c>
      <c r="J1089">
        <f>IFERROR(_xlfn.IFNA(INDEX(Sensors_MANU!$D$2:$D$4692,MATCH($D1089,Sensors_MANU!$B$2:$B$4692,0)),INDEX(Sensors_MANU!$D$2:$D$4692,MATCH($P1089,Sensors_MANU!$A$2:$A$4692,0))),"")</f>
        <v/>
      </c>
      <c r="K1089" s="27" t="inlineStr">
        <is>
          <t>M3505</t>
        </is>
      </c>
      <c r="L1089" s="27" t="inlineStr">
        <is>
          <t>1R</t>
        </is>
      </c>
    </row>
    <row r="1090">
      <c r="A1090" s="32">
        <f>IFERROR(_xlfn.IFNA(INDEX(Sensors_MANU!$E$2:$E$4692,MATCH($D1090,Sensors_MANU!$B$2:$B$4692,0)),INDEX(Sensors_MANU!$E$2:$E$4692,MATCH($P1090,Sensors_MANU!$A$2:$A$4692,0))),"")</f>
        <v/>
      </c>
      <c r="B1090" s="24" t="inlineStr">
        <is>
          <t>64818ba10166b80f8d06f5fa</t>
        </is>
      </c>
      <c r="C1090">
        <f>IFERROR(_xlfn.IFNA(INDEX(Sensors_MANU!$F$2:$F$4692,MATCH($D1090,Sensors_MANU!$B$2:$B$4692,0)),INDEX(Sensors_MANU!$F$2:$F$4692,MATCH($P1090,Sensors_MANU!$A$2:$A$4692,0))),"")</f>
        <v/>
      </c>
      <c r="D1090" t="inlineStr">
        <is>
          <t>DE4D0FF04247</t>
        </is>
      </c>
      <c r="E1090" s="24">
        <f>LEFT(D1090,2)&amp;":"&amp;MID(D1090,3,2)&amp;":"&amp;MID(D1090,5,2)&amp;":"&amp;MID(D1090,7,2)&amp;":"&amp;MID(D1090,9,2)&amp;":"&amp;RIGHT(D1090,2)</f>
        <v/>
      </c>
      <c r="F1090" s="29" t="n">
        <v>45090</v>
      </c>
      <c r="G1090" s="29" t="inlineStr">
        <is>
          <t>VIEZO</t>
        </is>
      </c>
      <c r="H1090" t="inlineStr">
        <is>
          <t>C55BCFBC27378574</t>
        </is>
      </c>
      <c r="I1090">
        <f>IFERROR(_xlfn.IFNA(INDEX(Sensors_MANU!$C$2:$C$4692,MATCH($D1090,Sensors_MANU!$B$2:$B$4692,0)),INDEX(Sensors_MANU!$C$2:$C$4692,MATCH($P1090,Sensors_MANU!$A$2:$A$4692,0))),"")</f>
        <v/>
      </c>
      <c r="J1090">
        <f>IFERROR(_xlfn.IFNA(INDEX(Sensors_MANU!$D$2:$D$4692,MATCH($D1090,Sensors_MANU!$B$2:$B$4692,0)),INDEX(Sensors_MANU!$D$2:$D$4692,MATCH($P1090,Sensors_MANU!$A$2:$A$4692,0))),"")</f>
        <v/>
      </c>
      <c r="K1090" s="27" t="inlineStr">
        <is>
          <t>33802742265-2</t>
        </is>
      </c>
      <c r="L1090" s="27" t="inlineStr">
        <is>
          <t>1L</t>
        </is>
      </c>
      <c r="O1090" s="6" t="inlineStr">
        <is>
          <t>V24</t>
        </is>
      </c>
    </row>
    <row r="1091">
      <c r="A1091" s="32">
        <f>IFERROR(_xlfn.IFNA(INDEX(Sensors_MANU!$E$2:$E$4692,MATCH($D1091,Sensors_MANU!$B$2:$B$4692,0)),INDEX(Sensors_MANU!$E$2:$E$4692,MATCH($P1091,Sensors_MANU!$A$2:$A$4692,0))),"")</f>
        <v/>
      </c>
      <c r="B1091" s="24">
        <f>IFERROR(INDEX(Companies!$A$3:$A$101,MATCH(A1091,Companies!$B$3:$B$101,0)),"")</f>
        <v/>
      </c>
      <c r="C1091">
        <f>IFERROR(_xlfn.IFNA(INDEX(Sensors_MANU!$F$2:$F$4692,MATCH($D1091,Sensors_MANU!$B$2:$B$4692,0)),INDEX(Sensors_MANU!$F$2:$F$4692,MATCH($P1091,Sensors_MANU!$A$2:$A$4692,0))),"")</f>
        <v/>
      </c>
      <c r="D1091" t="inlineStr">
        <is>
          <t>D0979128E94A</t>
        </is>
      </c>
      <c r="E1091" s="24">
        <f>LEFT(D1091,2)&amp;":"&amp;MID(D1091,3,2)&amp;":"&amp;MID(D1091,5,2)&amp;":"&amp;MID(D1091,7,2)&amp;":"&amp;MID(D1091,9,2)&amp;":"&amp;RIGHT(D1091,2)</f>
        <v/>
      </c>
      <c r="F1091" s="29" t="n">
        <v>44918</v>
      </c>
      <c r="G1091" s="29" t="inlineStr">
        <is>
          <t>Hupac</t>
        </is>
      </c>
      <c r="H1091" t="inlineStr">
        <is>
          <t>345894BC70A5DDF4</t>
        </is>
      </c>
      <c r="I1091">
        <f>IFERROR(_xlfn.IFNA(INDEX(Sensors_MANU!$C$2:$C$4692,MATCH($D1091,Sensors_MANU!$B$2:$B$4692,0)),INDEX(Sensors_MANU!$C$2:$C$4692,MATCH($P1091,Sensors_MANU!$A$2:$A$4692,0))),"")</f>
        <v/>
      </c>
      <c r="J1091">
        <f>IFERROR(_xlfn.IFNA(INDEX(Sensors_MANU!$D$2:$D$4692,MATCH($D1091,Sensors_MANU!$B$2:$B$4692,0)),INDEX(Sensors_MANU!$D$2:$D$4692,MATCH($P1091,Sensors_MANU!$A$2:$A$4692,0))),"")</f>
        <v/>
      </c>
      <c r="K1091" s="27" t="inlineStr">
        <is>
          <t>33854956710-9</t>
        </is>
      </c>
      <c r="L1091" s="27" t="inlineStr">
        <is>
          <t>10b</t>
        </is>
      </c>
      <c r="M1091" s="61" t="inlineStr">
        <is>
          <t>88200718</t>
        </is>
      </c>
      <c r="O1091" s="6" t="inlineStr">
        <is>
          <t>V25</t>
        </is>
      </c>
    </row>
    <row r="1092">
      <c r="A1092" s="32">
        <f>IFERROR(_xlfn.IFNA(INDEX(Sensors_MANU!$E$2:$E$4692,MATCH($D1092,Sensors_MANU!$B$2:$B$4692,0)),INDEX(Sensors_MANU!$E$2:$E$4692,MATCH($P1092,Sensors_MANU!$A$2:$A$4692,0))),"")</f>
        <v/>
      </c>
      <c r="B1092" s="24">
        <f>IFERROR(INDEX(Companies!$A$3:$A$101,MATCH(A1092,Companies!$B$3:$B$101,0)),"")</f>
        <v/>
      </c>
      <c r="C1092">
        <f>IFERROR(_xlfn.IFNA(INDEX(Sensors_MANU!$F$2:$F$4692,MATCH($D1092,Sensors_MANU!$B$2:$B$4692,0)),INDEX(Sensors_MANU!$F$2:$F$4692,MATCH($P1092,Sensors_MANU!$A$2:$A$4692,0))),"")</f>
        <v/>
      </c>
      <c r="D1092" t="inlineStr">
        <is>
          <t>F80CC3EEEA12</t>
        </is>
      </c>
      <c r="E1092">
        <f>LEFT(D1092,2)&amp;":"&amp;MID(D1092,3,2)&amp;":"&amp;MID(D1092,5,2)&amp;":"&amp;MID(D1092,7,2)&amp;":"&amp;MID(D1092,9,2)&amp;":"&amp;RIGHT(D1092,2)</f>
        <v/>
      </c>
      <c r="F1092" s="29" t="n">
        <v>44938</v>
      </c>
      <c r="G1092" s="29" t="inlineStr">
        <is>
          <t>Ambrogio</t>
        </is>
      </c>
      <c r="H1092" t="inlineStr">
        <is>
          <t>26D7D1558B93E286</t>
        </is>
      </c>
      <c r="I1092">
        <f>IFERROR(_xlfn.IFNA(INDEX(Sensors_MANU!$C$2:$C$4692,MATCH($D1092,Sensors_MANU!$B$2:$B$4692,0)),INDEX(Sensors_MANU!$C$2:$C$4692,MATCH($P1092,Sensors_MANU!$A$2:$A$4692,0))),"")</f>
        <v/>
      </c>
      <c r="J1092" s="64">
        <f>IFERROR(_xlfn.IFNA(INDEX(Sensors_MANU!$D$2:$D$4692,MATCH($D1092,Sensors_MANU!$B$2:$B$4692,0)),INDEX(Sensors_MANU!$D$2:$D$4692,MATCH($P1092,Sensors_MANU!$A$2:$A$4692,0))),"")</f>
        <v/>
      </c>
      <c r="K1092" s="27" t="inlineStr">
        <is>
          <t>33-83-495-4-940-6</t>
        </is>
      </c>
      <c r="L1092" s="27" t="inlineStr">
        <is>
          <t>4L</t>
        </is>
      </c>
      <c r="M1092" s="35" t="n"/>
      <c r="N1092" s="99">
        <f>IFERROR(INDEX(Sensors_MANU!$G$2:$G$4692,MATCH($P1092,Sensors_MANU!$A$2:$A$4692,0)),)</f>
        <v/>
      </c>
      <c r="O1092" s="6" t="inlineStr">
        <is>
          <t>v15</t>
        </is>
      </c>
      <c r="P1092" t="n">
        <v>4978702</v>
      </c>
    </row>
    <row r="1093">
      <c r="A1093" s="32">
        <f>IFERROR(_xlfn.IFNA(INDEX(Sensors_MANU!$E$2:$E$4692,MATCH($D1093,Sensors_MANU!$B$2:$B$4692,0)),INDEX(Sensors_MANU!$E$2:$E$4692,MATCH($P1093,Sensors_MANU!$A$2:$A$4692,0))),"")</f>
        <v/>
      </c>
      <c r="B1093" s="24">
        <f>IFERROR(INDEX(Companies!$A$3:$A$101,MATCH(A1093,Companies!$B$3:$B$101,0)),"")</f>
        <v/>
      </c>
      <c r="C1093">
        <f>IFERROR(_xlfn.IFNA(INDEX(Sensors_MANU!$F$2:$F$4692,MATCH($D1093,Sensors_MANU!$B$2:$B$4692,0)),INDEX(Sensors_MANU!$F$2:$F$4692,MATCH($P1093,Sensors_MANU!$A$2:$A$4692,0))),"")</f>
        <v/>
      </c>
      <c r="D1093" t="inlineStr">
        <is>
          <t>DC12AD2128EA</t>
        </is>
      </c>
      <c r="E1093" s="24">
        <f>LEFT(D1093,2)&amp;":"&amp;MID(D1093,3,2)&amp;":"&amp;MID(D1093,5,2)&amp;":"&amp;MID(D1093,7,2)&amp;":"&amp;MID(D1093,9,2)&amp;":"&amp;RIGHT(D1093,2)</f>
        <v/>
      </c>
      <c r="H1093" t="inlineStr">
        <is>
          <t>15C244AA8E193C1C</t>
        </is>
      </c>
      <c r="I1093">
        <f>IFERROR(_xlfn.IFNA(INDEX(Sensors_MANU!$C$2:$C$4692,MATCH($D1093,Sensors_MANU!$B$2:$B$4692,0)),INDEX(Sensors_MANU!$C$2:$C$4692,MATCH($P1093,Sensors_MANU!$A$2:$A$4692,0))),"")</f>
        <v/>
      </c>
      <c r="J1093" s="64">
        <f>IFERROR(_xlfn.IFNA(INDEX(Sensors_MANU!$D$2:$D$4692,MATCH($D1093,Sensors_MANU!$B$2:$B$4692,0)),INDEX(Sensors_MANU!$D$2:$D$4692,MATCH($P1093,Sensors_MANU!$A$2:$A$4692,0))),"")</f>
        <v/>
      </c>
      <c r="K1093" s="27" t="inlineStr">
        <is>
          <t>24714450036-7</t>
        </is>
      </c>
      <c r="L1093" s="27" t="inlineStr">
        <is>
          <t>4L</t>
        </is>
      </c>
      <c r="N1093" s="99">
        <f>IFERROR(INDEX(Sensors_MANU!$G$2:$G$4692,MATCH($P1093,Sensors_MANU!$A$2:$A$4692,0)),)</f>
        <v/>
      </c>
      <c r="O1093" s="6" t="inlineStr">
        <is>
          <t>v17</t>
        </is>
      </c>
      <c r="P1093" t="n">
        <v>4978811</v>
      </c>
    </row>
    <row r="1094">
      <c r="A1094" s="32">
        <f>IFERROR(_xlfn.IFNA(INDEX(Sensors_MANU!$E$2:$E$4692,MATCH($D1094,Sensors_MANU!$B$2:$B$4692,0)),INDEX(Sensors_MANU!$E$2:$E$4692,MATCH($P1094,Sensors_MANU!$A$2:$A$4692,0))),"")</f>
        <v/>
      </c>
      <c r="B1094" s="24">
        <f>IFERROR(INDEX(Companies!$A$3:$A$101,MATCH(A1094,Companies!$B$3:$B$101,0)),"")</f>
        <v/>
      </c>
      <c r="D1094" t="inlineStr">
        <is>
          <t>D888FD3F8C04</t>
        </is>
      </c>
      <c r="E1094">
        <f>LEFT(D1094,2)&amp;":"&amp;MID(D1094,3,2)&amp;":"&amp;MID(D1094,5,2)&amp;":"&amp;MID(D1094,7,2)&amp;":"&amp;MID(D1094,9,2)&amp;":"&amp;RIGHT(D1094,2)</f>
        <v/>
      </c>
      <c r="F1094" s="29" t="n">
        <v>44910</v>
      </c>
      <c r="G1094" s="29" t="inlineStr">
        <is>
          <t>Viezo</t>
        </is>
      </c>
      <c r="H1094" t="inlineStr">
        <is>
          <t>4B65E78A9C8BD711</t>
        </is>
      </c>
      <c r="I1094">
        <f>IFERROR(_xlfn.IFNA(INDEX(Sensors_MANU!$C$2:$C$4692,MATCH($D1094,Sensors_MANU!$B$2:$B$4692,0)),INDEX(Sensors_MANU!$C$2:$C$4692,MATCH($P1094,Sensors_MANU!$A$2:$A$4692,0))),"")</f>
        <v/>
      </c>
      <c r="J1094">
        <f>IFERROR(_xlfn.IFNA(INDEX(Sensors_MANU!$D$2:$D$4692,MATCH($D1094,Sensors_MANU!$B$2:$B$4692,0)),INDEX(Sensors_MANU!$D$2:$D$4692,MATCH($P1094,Sensors_MANU!$A$2:$A$4692,0))),"")</f>
        <v/>
      </c>
      <c r="K1094" s="27" t="inlineStr">
        <is>
          <t>33854956478-3</t>
        </is>
      </c>
      <c r="L1094" s="27" t="inlineStr">
        <is>
          <t>1a</t>
        </is>
      </c>
      <c r="M1094" s="61" t="inlineStr">
        <is>
          <t>88160238</t>
        </is>
      </c>
    </row>
    <row r="1095">
      <c r="A1095" s="32">
        <f>IFERROR(_xlfn.IFNA(INDEX(Sensors_MANU!$E$2:$E$4692,MATCH($D1095,Sensors_MANU!$B$2:$B$4692,0)),INDEX(Sensors_MANU!$E$2:$E$4692,MATCH($P1095,Sensors_MANU!$A$2:$A$4692,0))),"")</f>
        <v/>
      </c>
      <c r="B1095" s="24">
        <f>IFERROR(INDEX(Companies!$A$3:$A$101,MATCH(A1095,Companies!$B$3:$B$101,0)),"")</f>
        <v/>
      </c>
      <c r="D1095" t="inlineStr">
        <is>
          <t>E180C6F0A4A1</t>
        </is>
      </c>
      <c r="E1095">
        <f>LEFT(D1095,2)&amp;":"&amp;MID(D1095,3,2)&amp;":"&amp;MID(D1095,5,2)&amp;":"&amp;MID(D1095,7,2)&amp;":"&amp;MID(D1095,9,2)&amp;":"&amp;RIGHT(D1095,2)</f>
        <v/>
      </c>
      <c r="F1095" s="29" t="n">
        <v>44953</v>
      </c>
      <c r="G1095" s="29" t="inlineStr">
        <is>
          <t>Fertagus</t>
        </is>
      </c>
      <c r="H1095" t="inlineStr">
        <is>
          <t>60A7D20B8ADDF1A8</t>
        </is>
      </c>
      <c r="I1095">
        <f>IFERROR(_xlfn.IFNA(INDEX(Sensors_MANU!$C$2:$C$4692,MATCH($D1095,Sensors_MANU!$B$2:$B$4692,0)),INDEX(Sensors_MANU!$C$2:$C$4692,MATCH($P1095,Sensors_MANU!$A$2:$A$4692,0))),"")</f>
        <v/>
      </c>
      <c r="J1095">
        <f>IFERROR(_xlfn.IFNA(INDEX(Sensors_MANU!$D$2:$D$4692,MATCH($D1095,Sensors_MANU!$B$2:$B$4692,0)),INDEX(Sensors_MANU!$D$2:$D$4692,MATCH($P1095,Sensors_MANU!$A$2:$A$4692,0))),"")</f>
        <v/>
      </c>
      <c r="K1095" s="27" t="inlineStr">
        <is>
          <t>R3555</t>
        </is>
      </c>
      <c r="L1095" s="27" t="inlineStr">
        <is>
          <t>4R</t>
        </is>
      </c>
    </row>
    <row r="1096">
      <c r="A1096" s="32">
        <f>IFERROR(_xlfn.IFNA(INDEX(Sensors_MANU!$E$2:$E$4692,MATCH($D1096,Sensors_MANU!$B$2:$B$4692,0)),INDEX(Sensors_MANU!$E$2:$E$4692,MATCH($P1096,Sensors_MANU!$A$2:$A$4692,0))),"")</f>
        <v/>
      </c>
      <c r="B1096" s="24">
        <f>IFERROR(INDEX(Companies!$A$3:$A$101,MATCH(A1096,Companies!$B$3:$B$101,0)),"")</f>
        <v/>
      </c>
      <c r="C1096">
        <f>IFERROR(_xlfn.IFNA(INDEX(Sensors_MANU!$F$2:$F$4692,MATCH($D1096,Sensors_MANU!$B$2:$B$4692,0)),INDEX(Sensors_MANU!$F$2:$F$4692,MATCH($P1096,Sensors_MANU!$A$2:$A$4692,0))),"")</f>
        <v/>
      </c>
      <c r="D1096" s="25" t="inlineStr">
        <is>
          <t>DED04C59E6A7</t>
        </is>
      </c>
      <c r="E1096" s="24">
        <f>LEFT(D1096,2)&amp;":"&amp;MID(D1096,3,2)&amp;":"&amp;MID(D1096,5,2)&amp;":"&amp;MID(D1096,7,2)&amp;":"&amp;MID(D1096,9,2)&amp;":"&amp;RIGHT(D1096,2)</f>
        <v/>
      </c>
      <c r="F1096" s="29" t="n">
        <v>44918</v>
      </c>
      <c r="G1096" s="29" t="inlineStr">
        <is>
          <t>Hupac</t>
        </is>
      </c>
      <c r="H1096" t="inlineStr">
        <is>
          <t>C9D15F62BC61E588</t>
        </is>
      </c>
      <c r="I1096">
        <f>IFERROR(_xlfn.IFNA(INDEX(Sensors_MANU!$C$2:$C$4692,MATCH($D1096,Sensors_MANU!$B$2:$B$4692,0)),INDEX(Sensors_MANU!$C$2:$C$4692,MATCH($P1096,Sensors_MANU!$A$2:$A$4692,0))),"")</f>
        <v/>
      </c>
      <c r="J1096">
        <f>IFERROR(_xlfn.IFNA(INDEX(Sensors_MANU!$D$2:$D$4692,MATCH($D1096,Sensors_MANU!$B$2:$B$4692,0)),INDEX(Sensors_MANU!$D$2:$D$4692,MATCH($P1096,Sensors_MANU!$A$2:$A$4692,0))),"")</f>
        <v/>
      </c>
      <c r="K1096" s="27" t="inlineStr">
        <is>
          <t>33854956710-9</t>
        </is>
      </c>
      <c r="L1096" s="27" t="inlineStr">
        <is>
          <t>7a</t>
        </is>
      </c>
      <c r="M1096" s="61" t="inlineStr">
        <is>
          <t>88150147</t>
        </is>
      </c>
      <c r="O1096" s="6" t="inlineStr">
        <is>
          <t>V23</t>
        </is>
      </c>
    </row>
    <row r="1097">
      <c r="A1097" s="32">
        <f>IFERROR(_xlfn.IFNA(INDEX(Sensors_MANU!$E$2:$E$4692,MATCH($D1097,Sensors_MANU!$B$2:$B$4692,0)),INDEX(Sensors_MANU!$E$2:$E$4692,MATCH($P1097,Sensors_MANU!$A$2:$A$4692,0))),"")</f>
        <v/>
      </c>
      <c r="B1097" s="24">
        <f>IFERROR(INDEX(Companies!$A$3:$A$101,MATCH(A1097,Companies!$B$3:$B$101,0)),"")</f>
        <v/>
      </c>
      <c r="D1097" t="inlineStr">
        <is>
          <t>D67380B49068</t>
        </is>
      </c>
      <c r="E1097">
        <f>LEFT(D1097,2)&amp;":"&amp;MID(D1097,3,2)&amp;":"&amp;MID(D1097,5,2)&amp;":"&amp;MID(D1097,7,2)&amp;":"&amp;MID(D1097,9,2)&amp;":"&amp;RIGHT(D1097,2)</f>
        <v/>
      </c>
      <c r="F1097" s="29" t="n">
        <v>44910</v>
      </c>
      <c r="G1097" s="29" t="inlineStr">
        <is>
          <t>Viezo</t>
        </is>
      </c>
      <c r="H1097" t="inlineStr">
        <is>
          <t>093FB0BB49F85FC0</t>
        </is>
      </c>
      <c r="I1097">
        <f>IFERROR(_xlfn.IFNA(INDEX(Sensors_MANU!$C$2:$C$4692,MATCH($D1097,Sensors_MANU!$B$2:$B$4692,0)),INDEX(Sensors_MANU!$C$2:$C$4692,MATCH($P1097,Sensors_MANU!$A$2:$A$4692,0))),"")</f>
        <v/>
      </c>
      <c r="J1097">
        <f>IFERROR(_xlfn.IFNA(INDEX(Sensors_MANU!$D$2:$D$4692,MATCH($D1097,Sensors_MANU!$B$2:$B$4692,0)),INDEX(Sensors_MANU!$D$2:$D$4692,MATCH($P1097,Sensors_MANU!$A$2:$A$4692,0))),"")</f>
        <v/>
      </c>
      <c r="K1097" s="27" t="inlineStr">
        <is>
          <t>33854575320-8</t>
        </is>
      </c>
      <c r="L1097" s="27" t="inlineStr">
        <is>
          <t>1a</t>
        </is>
      </c>
      <c r="M1097" s="61" t="inlineStr">
        <is>
          <t>0 80811</t>
        </is>
      </c>
    </row>
    <row r="1098">
      <c r="A1098" s="32">
        <f>IFERROR(_xlfn.IFNA(INDEX(Sensors_MANU!$E$2:$E$4692,MATCH($D1098,Sensors_MANU!$B$2:$B$4692,0)),INDEX(Sensors_MANU!$E$2:$E$4692,MATCH($P1098,Sensors_MANU!$A$2:$A$4692,0))),"")</f>
        <v/>
      </c>
      <c r="B1098" s="24" t="inlineStr">
        <is>
          <t>64818ba10166b80f8d06f5fa</t>
        </is>
      </c>
      <c r="C1098">
        <f>IFERROR(_xlfn.IFNA(INDEX(Sensors_MANU!$F$2:$F$4692,MATCH($D1098,Sensors_MANU!$B$2:$B$4692,0)),INDEX(Sensors_MANU!$F$2:$F$4692,MATCH($P1098,Sensors_MANU!$A$2:$A$4692,0))),"")</f>
        <v/>
      </c>
      <c r="D1098" t="inlineStr">
        <is>
          <t>C5E4549B551C</t>
        </is>
      </c>
      <c r="E1098">
        <f>LEFT(D1098,2)&amp;":"&amp;MID(D1098,3,2)&amp;":"&amp;MID(D1098,5,2)&amp;":"&amp;MID(D1098,7,2)&amp;":"&amp;MID(D1098,9,2)&amp;":"&amp;RIGHT(D1098,2)</f>
        <v/>
      </c>
      <c r="F1098" s="29" t="n">
        <v>45090</v>
      </c>
      <c r="G1098" s="29" t="inlineStr">
        <is>
          <t>VIEZO</t>
        </is>
      </c>
      <c r="H1098" t="inlineStr">
        <is>
          <t>9F396B49A4CA1A7B</t>
        </is>
      </c>
      <c r="I1098">
        <f>IFERROR(_xlfn.IFNA(INDEX(Sensors_MANU!$C$2:$C$4692,MATCH($D1098,Sensors_MANU!$B$2:$B$4692,0)),INDEX(Sensors_MANU!$C$2:$C$4692,MATCH($P1098,Sensors_MANU!$A$2:$A$4692,0))),"")</f>
        <v/>
      </c>
      <c r="J1098">
        <f>IFERROR(_xlfn.IFNA(INDEX(Sensors_MANU!$D$2:$D$4692,MATCH($D1098,Sensors_MANU!$B$2:$B$4692,0)),INDEX(Sensors_MANU!$D$2:$D$4692,MATCH($P1098,Sensors_MANU!$A$2:$A$4692,0))),"")</f>
        <v/>
      </c>
      <c r="K1098" s="27" t="inlineStr">
        <is>
          <t>33802742481-5</t>
        </is>
      </c>
      <c r="L1098" s="27" t="inlineStr">
        <is>
          <t>4R</t>
        </is>
      </c>
      <c r="M1098" s="27" t="n"/>
      <c r="N1098" s="99">
        <f>IFERROR(INDEX(Sensors_MANU!$G$2:$G$4692,MATCH($P1098,Sensors_MANU!$A$2:$A$4692,0)),)</f>
        <v/>
      </c>
      <c r="O1098" s="6" t="inlineStr">
        <is>
          <t>v16</t>
        </is>
      </c>
      <c r="P1098" t="n">
        <v>4978854</v>
      </c>
    </row>
    <row r="1099">
      <c r="A1099" s="32">
        <f>IFERROR(_xlfn.IFNA(INDEX(Sensors_MANU!$E$2:$E$4692,MATCH($D1099,Sensors_MANU!$B$2:$B$4692,0)),INDEX(Sensors_MANU!$E$2:$E$4692,MATCH($P1099,Sensors_MANU!$A$2:$A$4692,0))),"")</f>
        <v/>
      </c>
      <c r="B1099" s="24">
        <f>IFERROR(INDEX(Companies!$A$3:$A$101,MATCH(A1099,Companies!$B$3:$B$101,0)),"")</f>
        <v/>
      </c>
      <c r="D1099" t="inlineStr">
        <is>
          <t>C04AA3F2408E</t>
        </is>
      </c>
      <c r="E1099">
        <f>LEFT(D1099,2)&amp;":"&amp;MID(D1099,3,2)&amp;":"&amp;MID(D1099,5,2)&amp;":"&amp;MID(D1099,7,2)&amp;":"&amp;MID(D1099,9,2)&amp;":"&amp;RIGHT(D1099,2)</f>
        <v/>
      </c>
      <c r="F1099" s="29" t="n">
        <v>44910</v>
      </c>
      <c r="G1099" s="29" t="inlineStr">
        <is>
          <t>Viezo</t>
        </is>
      </c>
      <c r="H1099" t="inlineStr">
        <is>
          <t>20D3EF4A0191049F</t>
        </is>
      </c>
      <c r="I1099">
        <f>IFERROR(_xlfn.IFNA(INDEX(Sensors_MANU!$C$2:$C$4692,MATCH($D1099,Sensors_MANU!$B$2:$B$4692,0)),INDEX(Sensors_MANU!$C$2:$C$4692,MATCH($P1099,Sensors_MANU!$A$2:$A$4692,0))),"")</f>
        <v/>
      </c>
      <c r="J1099">
        <f>IFERROR(_xlfn.IFNA(INDEX(Sensors_MANU!$D$2:$D$4692,MATCH($D1099,Sensors_MANU!$B$2:$B$4692,0)),INDEX(Sensors_MANU!$D$2:$D$4692,MATCH($P1099,Sensors_MANU!$A$2:$A$4692,0))),"")</f>
        <v/>
      </c>
      <c r="K1099" s="27" t="inlineStr">
        <is>
          <t>33854506221-2</t>
        </is>
      </c>
      <c r="L1099" s="27" t="inlineStr">
        <is>
          <t>6b</t>
        </is>
      </c>
      <c r="M1099" s="61" t="inlineStr">
        <is>
          <t>20051270</t>
        </is>
      </c>
    </row>
    <row r="1100">
      <c r="A1100" s="32">
        <f>IFERROR(_xlfn.IFNA(INDEX(Sensors_MANU!$E$2:$E$4692,MATCH($D1100,Sensors_MANU!$B$2:$B$4692,0)),INDEX(Sensors_MANU!$E$2:$E$4692,MATCH($P1100,Sensors_MANU!$A$2:$A$4692,0))),"")</f>
        <v/>
      </c>
      <c r="B1100" s="24">
        <f>IFERROR(INDEX(Companies!$A$3:$A$101,MATCH(A1100,Companies!$B$3:$B$101,0)),"")</f>
        <v/>
      </c>
      <c r="C1100">
        <f>IFERROR(_xlfn.IFNA(INDEX(Sensors_MANU!$F$2:$F$4692,MATCH($D1100,Sensors_MANU!$B$2:$B$4692,0)),INDEX(Sensors_MANU!$F$2:$F$4692,MATCH($P1100,Sensors_MANU!$A$2:$A$4692,0))),"")</f>
        <v/>
      </c>
      <c r="D1100" t="inlineStr">
        <is>
          <t>DC408DAC71C3</t>
        </is>
      </c>
      <c r="E1100" s="7">
        <f>LEFT(D1100,2)&amp;":"&amp;MID(D1100,3,2)&amp;":"&amp;MID(D1100,5,2)&amp;":"&amp;MID(D1100,7,2)&amp;":"&amp;MID(D1100,9,2)&amp;":"&amp;RIGHT(D1100,2)</f>
        <v/>
      </c>
      <c r="F1100" s="29" t="n">
        <v>44918</v>
      </c>
      <c r="G1100" s="29" t="inlineStr">
        <is>
          <t>Hupac</t>
        </is>
      </c>
      <c r="H1100" t="inlineStr">
        <is>
          <t>E457CA4DE808FC81</t>
        </is>
      </c>
      <c r="I1100">
        <f>IFERROR(_xlfn.IFNA(INDEX(Sensors_MANU!$C$2:$C$4692,MATCH($D1100,Sensors_MANU!$B$2:$B$4692,0)),INDEX(Sensors_MANU!$C$2:$C$4692,MATCH($P1100,Sensors_MANU!$A$2:$A$4692,0))),"")</f>
        <v/>
      </c>
      <c r="J1100" s="7">
        <f>IFERROR(_xlfn.IFNA(INDEX(Sensors_MANU!$D$2:$D$4692,MATCH($D1100,Sensors_MANU!$B$2:$B$4692,0)),INDEX(Sensors_MANU!$D$2:$D$4692,MATCH($P1100,Sensors_MANU!$A$2:$A$4692,0))),"")</f>
        <v/>
      </c>
      <c r="K1100" s="27" t="inlineStr">
        <is>
          <t>33854556814-3</t>
        </is>
      </c>
      <c r="L1100" s="27" t="inlineStr">
        <is>
          <t>6b</t>
        </is>
      </c>
      <c r="M1100" s="61" t="inlineStr">
        <is>
          <t>88171436</t>
        </is>
      </c>
      <c r="N1100" s="99">
        <f>IFERROR(INDEX(Sensors_MANU!$G$2:$G$4692,MATCH($P1100,Sensors_MANU!$A$2:$A$4692,0)),)</f>
        <v/>
      </c>
      <c r="O1100" s="6" t="inlineStr">
        <is>
          <t>v17</t>
        </is>
      </c>
      <c r="P1100" t="n">
        <v>4978538</v>
      </c>
    </row>
    <row r="1101">
      <c r="A1101" s="32">
        <f>IFERROR(_xlfn.IFNA(INDEX(Sensors_MANU!$E$2:$E$4692,MATCH($D1101,Sensors_MANU!$B$2:$B$4692,0)),INDEX(Sensors_MANU!$E$2:$E$4692,MATCH($P1101,Sensors_MANU!$A$2:$A$4692,0))),"")</f>
        <v/>
      </c>
      <c r="B1101" s="24">
        <f>IFERROR(INDEX(Companies!$A$3:$A$101,MATCH(A1101,Companies!$B$3:$B$101,0)),"")</f>
        <v/>
      </c>
      <c r="C1101">
        <f>IFERROR(_xlfn.IFNA(INDEX(Sensors_MANU!$F$2:$F$4692,MATCH($D1101,Sensors_MANU!$B$2:$B$4692,0)),INDEX(Sensors_MANU!$F$2:$F$4692,MATCH($P1101,Sensors_MANU!$A$2:$A$4692,0))),"")</f>
        <v/>
      </c>
      <c r="D1101" t="inlineStr">
        <is>
          <t>C1D0A48306EB</t>
        </is>
      </c>
      <c r="E1101">
        <f>LEFT(D1101,2)&amp;":"&amp;MID(D1101,3,2)&amp;":"&amp;MID(D1101,5,2)&amp;":"&amp;MID(D1101,7,2)&amp;":"&amp;MID(D1101,9,2)&amp;":"&amp;RIGHT(D1101,2)</f>
        <v/>
      </c>
      <c r="F1101" s="29" t="n">
        <v>44910</v>
      </c>
      <c r="G1101" s="29" t="inlineStr">
        <is>
          <t>Viezo</t>
        </is>
      </c>
      <c r="H1101" t="inlineStr">
        <is>
          <t>BDA288E1F3862835</t>
        </is>
      </c>
      <c r="I1101">
        <f>IFERROR(_xlfn.IFNA(INDEX(Sensors_MANU!$C$2:$C$4692,MATCH($D1101,Sensors_MANU!$B$2:$B$4692,0)),INDEX(Sensors_MANU!$C$2:$C$4692,MATCH($P1101,Sensors_MANU!$A$2:$A$4692,0))),"")</f>
        <v/>
      </c>
      <c r="J1101">
        <f>IFERROR(_xlfn.IFNA(INDEX(Sensors_MANU!$D$2:$D$4692,MATCH($D1101,Sensors_MANU!$B$2:$B$4692,0)),INDEX(Sensors_MANU!$D$2:$D$4692,MATCH($P1101,Sensors_MANU!$A$2:$A$4692,0))),"")</f>
        <v/>
      </c>
      <c r="K1101" s="27" t="inlineStr">
        <is>
          <t>33854956478-3</t>
        </is>
      </c>
      <c r="L1101" s="27" t="inlineStr">
        <is>
          <t>5a</t>
        </is>
      </c>
      <c r="M1101" s="27" t="n">
        <v>88190296</v>
      </c>
      <c r="N1101" s="99">
        <f>IFERROR(INDEX(Sensors_MANU!$G$2:$G$4692,MATCH($P1101,Sensors_MANU!$A$2:$A$4692,0)),)</f>
        <v/>
      </c>
      <c r="O1101" s="6" t="inlineStr">
        <is>
          <t>v16</t>
        </is>
      </c>
      <c r="P1101" t="n">
        <v>4978708</v>
      </c>
    </row>
    <row r="1102">
      <c r="B1102" s="24">
        <f>IFERROR(INDEX(Companies!$A$3:$A$101,MATCH(A1102,Companies!$B$3:$B$101,0)),"")</f>
        <v/>
      </c>
      <c r="C1102">
        <f>IFERROR(_xlfn.IFNA(INDEX(Sensors_MANU!$F$2:$F$4692,MATCH($D1102,Sensors_MANU!$B$2:$B$4692,0)),INDEX(Sensors_MANU!$F$2:$F$4692,MATCH($P1102,Sensors_MANU!$A$2:$A$4692,0))),"")</f>
        <v/>
      </c>
      <c r="D1102" t="inlineStr">
        <is>
          <t>CC9F2320D5A2</t>
        </is>
      </c>
      <c r="E1102" s="24">
        <f>LEFT(D1102,2)&amp;":"&amp;MID(D1102,3,2)&amp;":"&amp;MID(D1102,5,2)&amp;":"&amp;MID(D1102,7,2)&amp;":"&amp;MID(D1102,9,2)&amp;":"&amp;RIGHT(D1102,2)</f>
        <v/>
      </c>
      <c r="H1102" t="inlineStr">
        <is>
          <t>EFC4B0D23041C08D</t>
        </is>
      </c>
      <c r="I1102">
        <f>IFERROR(_xlfn.IFNA(INDEX(Sensors_MANU!$C$2:$C$4692,MATCH($D1102,Sensors_MANU!$B$2:$B$4692,0)),INDEX(Sensors_MANU!$C$2:$C$4692,MATCH($P1102,Sensors_MANU!$A$2:$A$4692,0))),"")</f>
        <v/>
      </c>
      <c r="J1102">
        <f>IFERROR(_xlfn.IFNA(INDEX(Sensors_MANU!$D$2:$D$4692,MATCH($D1102,Sensors_MANU!$B$2:$B$4692,0)),INDEX(Sensors_MANU!$D$2:$D$4692,MATCH($P1102,Sensors_MANU!$A$2:$A$4692,0))),"")</f>
        <v/>
      </c>
      <c r="O1102" s="6" t="inlineStr">
        <is>
          <t>V24</t>
        </is>
      </c>
    </row>
    <row r="1103">
      <c r="A1103" s="32">
        <f>IFERROR(_xlfn.IFNA(INDEX(Sensors_MANU!$E$2:$E$4692,MATCH($D1103,Sensors_MANU!$B$2:$B$4692,0)),INDEX(Sensors_MANU!$E$2:$E$4692,MATCH($P1103,Sensors_MANU!$A$2:$A$4692,0))),"")</f>
        <v/>
      </c>
      <c r="B1103" s="24">
        <f>IFERROR(INDEX(Companies!$A$3:$A$101,MATCH(A1103,Companies!$B$3:$B$101,0)),"")</f>
        <v/>
      </c>
      <c r="C1103">
        <f>IFERROR(_xlfn.IFNA(INDEX(Sensors_MANU!$F$2:$F$4692,MATCH($D1103,Sensors_MANU!$B$2:$B$4692,0)),INDEX(Sensors_MANU!$F$2:$F$4692,MATCH($P1103,Sensors_MANU!$A$2:$A$4692,0))),"")</f>
        <v/>
      </c>
      <c r="D1103" t="inlineStr">
        <is>
          <t>F4B7818FC735</t>
        </is>
      </c>
      <c r="E1103" s="24">
        <f>LEFT(D1103,2)&amp;":"&amp;MID(D1103,3,2)&amp;":"&amp;MID(D1103,5,2)&amp;":"&amp;MID(D1103,7,2)&amp;":"&amp;MID(D1103,9,2)&amp;":"&amp;RIGHT(D1103,2)</f>
        <v/>
      </c>
      <c r="F1103" s="29" t="n">
        <v>44832</v>
      </c>
      <c r="G1103" s="29" t="inlineStr">
        <is>
          <t>Viezo</t>
        </is>
      </c>
      <c r="H1103" t="inlineStr">
        <is>
          <t>60187BC8AED32D2C</t>
        </is>
      </c>
      <c r="I1103">
        <f>IFERROR(_xlfn.IFNA(INDEX(Sensors_MANU!$C$2:$C$4692,MATCH($D1103,Sensors_MANU!$B$2:$B$4692,0)),INDEX(Sensors_MANU!$C$2:$C$4692,MATCH($P1103,Sensors_MANU!$A$2:$A$4692,0))),"")</f>
        <v/>
      </c>
      <c r="J1103">
        <f>IFERROR(_xlfn.IFNA(INDEX(Sensors_MANU!$D$2:$D$4692,MATCH($D1103,Sensors_MANU!$B$2:$B$4692,0)),INDEX(Sensors_MANU!$D$2:$D$4692,MATCH($P1103,Sensors_MANU!$A$2:$A$4692,0))),"")</f>
        <v/>
      </c>
      <c r="K1103" s="27" t="inlineStr">
        <is>
          <t>33 83 495 4 940-6</t>
        </is>
      </c>
      <c r="L1103" s="27" t="n">
        <v>9</v>
      </c>
      <c r="O1103" s="6" t="inlineStr">
        <is>
          <t>V24</t>
        </is>
      </c>
    </row>
    <row r="1104">
      <c r="B1104" s="24">
        <f>IFERROR(INDEX(Companies!$A$3:$A$101,MATCH(A1104,Companies!$B$3:$B$101,0)),"")</f>
        <v/>
      </c>
      <c r="C1104">
        <f>IFERROR(_xlfn.IFNA(INDEX(Sensors_MANU!$F$2:$F$4692,MATCH($D1104,Sensors_MANU!$B$2:$B$4692,0)),INDEX(Sensors_MANU!$F$2:$F$4692,MATCH($P1104,Sensors_MANU!$A$2:$A$4692,0))),"")</f>
        <v/>
      </c>
      <c r="D1104" t="inlineStr">
        <is>
          <t>F07DEA14D364</t>
        </is>
      </c>
      <c r="E1104" s="24">
        <f>LEFT(D1104,2)&amp;":"&amp;MID(D1104,3,2)&amp;":"&amp;MID(D1104,5,2)&amp;":"&amp;MID(D1104,7,2)&amp;":"&amp;MID(D1104,9,2)&amp;":"&amp;RIGHT(D1104,2)</f>
        <v/>
      </c>
      <c r="H1104" t="inlineStr">
        <is>
          <t>37FC872B16465307</t>
        </is>
      </c>
      <c r="I1104">
        <f>IFERROR(_xlfn.IFNA(INDEX(Sensors_MANU!$C$2:$C$4692,MATCH($D1104,Sensors_MANU!$B$2:$B$4692,0)),INDEX(Sensors_MANU!$C$2:$C$4692,MATCH($P1104,Sensors_MANU!$A$2:$A$4692,0))),"")</f>
        <v/>
      </c>
      <c r="J1104">
        <f>IFERROR(_xlfn.IFNA(INDEX(Sensors_MANU!$D$2:$D$4692,MATCH($D1104,Sensors_MANU!$B$2:$B$4692,0)),INDEX(Sensors_MANU!$D$2:$D$4692,MATCH($P1104,Sensors_MANU!$A$2:$A$4692,0))),"")</f>
        <v/>
      </c>
      <c r="O1104" s="6" t="inlineStr">
        <is>
          <t>V23</t>
        </is>
      </c>
    </row>
    <row r="1105">
      <c r="A1105" s="32">
        <f>IFERROR(_xlfn.IFNA(INDEX(Sensors_MANU!$E$2:$E$4692,MATCH($D1105,Sensors_MANU!$B$2:$B$4692,0)),INDEX(Sensors_MANU!$E$2:$E$4692,MATCH($P1105,Sensors_MANU!$A$2:$A$4692,0))),"")</f>
        <v/>
      </c>
      <c r="B1105" s="24">
        <f>IFERROR(INDEX(Companies!$A$3:$A$101,MATCH(A1105,Companies!$B$3:$B$101,0)),"")</f>
        <v/>
      </c>
      <c r="C1105">
        <f>IFERROR(_xlfn.IFNA(INDEX(Sensors_MANU!$F$2:$F$4692,MATCH($D1105,Sensors_MANU!$B$2:$B$4692,0)),INDEX(Sensors_MANU!$F$2:$F$4692,MATCH($P1105,Sensors_MANU!$A$2:$A$4692,0))),"")</f>
        <v/>
      </c>
      <c r="D1105" t="inlineStr">
        <is>
          <t>E95501549C59</t>
        </is>
      </c>
      <c r="E1105" s="24">
        <f>LEFT(D1105,2)&amp;":"&amp;MID(D1105,3,2)&amp;":"&amp;MID(D1105,5,2)&amp;":"&amp;MID(D1105,7,2)&amp;":"&amp;MID(D1105,9,2)&amp;":"&amp;RIGHT(D1105,2)</f>
        <v/>
      </c>
      <c r="H1105" t="inlineStr">
        <is>
          <t>2D2A5D0605AA4FFE</t>
        </is>
      </c>
      <c r="I1105">
        <f>IFERROR(_xlfn.IFNA(INDEX(Sensors_MANU!$C$2:$C$4692,MATCH($D1105,Sensors_MANU!$B$2:$B$4692,0)),INDEX(Sensors_MANU!$C$2:$C$4692,MATCH($P1105,Sensors_MANU!$A$2:$A$4692,0))),"")</f>
        <v/>
      </c>
      <c r="J1105">
        <f>IFERROR(_xlfn.IFNA(INDEX(Sensors_MANU!$D$2:$D$4692,MATCH($D1105,Sensors_MANU!$B$2:$B$4692,0)),INDEX(Sensors_MANU!$D$2:$D$4692,MATCH($P1105,Sensors_MANU!$A$2:$A$4692,0))),"")</f>
        <v/>
      </c>
      <c r="N1105" s="99" t="inlineStr">
        <is>
          <t>The operator has the device or its lost (they paid for it), but we dont monitor it on Ubidots anymore.</t>
        </is>
      </c>
      <c r="O1105" s="6" t="inlineStr">
        <is>
          <t>V24</t>
        </is>
      </c>
    </row>
    <row r="1106">
      <c r="B1106" s="24">
        <f>IFERROR(INDEX(Companies!$A$3:$A$101,MATCH(A1106,Companies!$B$3:$B$101,0)),"")</f>
        <v/>
      </c>
      <c r="C1106">
        <f>IFERROR(_xlfn.IFNA(INDEX(Sensors_MANU!$F$2:$F$4692,MATCH($D1106,Sensors_MANU!$B$2:$B$4692,0)),INDEX(Sensors_MANU!$F$2:$F$4692,MATCH($P1106,Sensors_MANU!$A$2:$A$4692,0))),"")</f>
        <v/>
      </c>
      <c r="D1106" t="inlineStr">
        <is>
          <t>C588E7729040</t>
        </is>
      </c>
      <c r="E1106" s="24">
        <f>LEFT(D1106,2)&amp;":"&amp;MID(D1106,3,2)&amp;":"&amp;MID(D1106,5,2)&amp;":"&amp;MID(D1106,7,2)&amp;":"&amp;MID(D1106,9,2)&amp;":"&amp;RIGHT(D1106,2)</f>
        <v/>
      </c>
      <c r="H1106" t="inlineStr">
        <is>
          <t>BF6FC4C12E95108A</t>
        </is>
      </c>
      <c r="I1106">
        <f>IFERROR(_xlfn.IFNA(INDEX(Sensors_MANU!$C$2:$C$4692,MATCH($D1106,Sensors_MANU!$B$2:$B$4692,0)),INDEX(Sensors_MANU!$C$2:$C$4692,MATCH($P1106,Sensors_MANU!$A$2:$A$4692,0))),"")</f>
        <v/>
      </c>
      <c r="J1106">
        <f>IFERROR(_xlfn.IFNA(INDEX(Sensors_MANU!$D$2:$D$4692,MATCH($D1106,Sensors_MANU!$B$2:$B$4692,0)),INDEX(Sensors_MANU!$D$2:$D$4692,MATCH($P1106,Sensors_MANU!$A$2:$A$4692,0))),"")</f>
        <v/>
      </c>
      <c r="O1106" s="6" t="inlineStr">
        <is>
          <t>V24</t>
        </is>
      </c>
    </row>
    <row r="1107">
      <c r="B1107" s="24">
        <f>IFERROR(INDEX(Companies!$A$3:$A$101,MATCH(A1107,Companies!$B$3:$B$101,0)),"")</f>
        <v/>
      </c>
      <c r="C1107">
        <f>IFERROR(_xlfn.IFNA(INDEX(Sensors_MANU!$F$2:$F$4692,MATCH($D1107,Sensors_MANU!$B$2:$B$4692,0)),INDEX(Sensors_MANU!$F$2:$F$4692,MATCH($P1107,Sensors_MANU!$A$2:$A$4692,0))),"")</f>
        <v/>
      </c>
      <c r="D1107" t="inlineStr">
        <is>
          <t>E2DE4ED9E533</t>
        </is>
      </c>
      <c r="E1107" s="24">
        <f>LEFT(D1107,2)&amp;":"&amp;MID(D1107,3,2)&amp;":"&amp;MID(D1107,5,2)&amp;":"&amp;MID(D1107,7,2)&amp;":"&amp;MID(D1107,9,2)&amp;":"&amp;RIGHT(D1107,2)</f>
        <v/>
      </c>
      <c r="H1107" t="inlineStr">
        <is>
          <t>88C40AF721C76F21</t>
        </is>
      </c>
      <c r="I1107">
        <f>IFERROR(_xlfn.IFNA(INDEX(Sensors_MANU!$C$2:$C$4692,MATCH($D1107,Sensors_MANU!$B$2:$B$4692,0)),INDEX(Sensors_MANU!$C$2:$C$4692,MATCH($P1107,Sensors_MANU!$A$2:$A$4692,0))),"")</f>
        <v/>
      </c>
      <c r="J1107">
        <f>IFERROR(_xlfn.IFNA(INDEX(Sensors_MANU!$D$2:$D$4692,MATCH($D1107,Sensors_MANU!$B$2:$B$4692,0)),INDEX(Sensors_MANU!$D$2:$D$4692,MATCH($P1107,Sensors_MANU!$A$2:$A$4692,0))),"")</f>
        <v/>
      </c>
      <c r="O1107" s="6" t="inlineStr">
        <is>
          <t>V24</t>
        </is>
      </c>
    </row>
    <row r="1108">
      <c r="A1108" s="32">
        <f>IFERROR(_xlfn.IFNA(INDEX(Sensors_MANU!$E$2:$E$4692,MATCH($D1108,Sensors_MANU!$B$2:$B$4692,0)),INDEX(Sensors_MANU!$E$2:$E$4692,MATCH($P1108,Sensors_MANU!$A$2:$A$4692,0))),"")</f>
        <v/>
      </c>
      <c r="B1108" s="24">
        <f>IFERROR(INDEX(Companies!$A$3:$A$101,MATCH(A1108,Companies!$B$3:$B$101,0)),"")</f>
        <v/>
      </c>
      <c r="D1108" t="inlineStr">
        <is>
          <t>F31133663539</t>
        </is>
      </c>
      <c r="E1108">
        <f>LEFT(D1108,2)&amp;":"&amp;MID(D1108,3,2)&amp;":"&amp;MID(D1108,5,2)&amp;":"&amp;MID(D1108,7,2)&amp;":"&amp;MID(D1108,9,2)&amp;":"&amp;RIGHT(D1108,2)</f>
        <v/>
      </c>
      <c r="F1108" s="29" t="n">
        <v>44953</v>
      </c>
      <c r="G1108" s="29" t="inlineStr">
        <is>
          <t>Fertagus</t>
        </is>
      </c>
      <c r="H1108" t="inlineStr">
        <is>
          <t>F55D45DAF3260308</t>
        </is>
      </c>
      <c r="I1108">
        <f>IFERROR(_xlfn.IFNA(INDEX(Sensors_MANU!$C$2:$C$4692,MATCH($D1108,Sensors_MANU!$B$2:$B$4692,0)),INDEX(Sensors_MANU!$C$2:$C$4692,MATCH($P1108,Sensors_MANU!$A$2:$A$4692,0))),"")</f>
        <v/>
      </c>
      <c r="J1108">
        <f>IFERROR(_xlfn.IFNA(INDEX(Sensors_MANU!$D$2:$D$4692,MATCH($D1108,Sensors_MANU!$B$2:$B$4692,0)),INDEX(Sensors_MANU!$D$2:$D$4692,MATCH($P1108,Sensors_MANU!$A$2:$A$4692,0))),"")</f>
        <v/>
      </c>
      <c r="K1108" s="27" t="inlineStr">
        <is>
          <t>M3555</t>
        </is>
      </c>
      <c r="L1108" s="27" t="inlineStr">
        <is>
          <t>2R</t>
        </is>
      </c>
    </row>
    <row r="1109">
      <c r="B1109" s="24">
        <f>IFERROR(INDEX(Companies!$A$3:$A$101,MATCH(A1109,Companies!$B$3:$B$101,0)),"")</f>
        <v/>
      </c>
      <c r="C1109">
        <f>IFERROR(_xlfn.IFNA(INDEX(Sensors_MANU!$F$2:$F$4692,MATCH($D1109,Sensors_MANU!$B$2:$B$4692,0)),INDEX(Sensors_MANU!$F$2:$F$4692,MATCH($P1109,Sensors_MANU!$A$2:$A$4692,0))),"")</f>
        <v/>
      </c>
      <c r="D1109" t="inlineStr">
        <is>
          <t>E24098EF2DAA</t>
        </is>
      </c>
      <c r="E1109" s="24">
        <f>LEFT(D1109,2)&amp;":"&amp;MID(D1109,3,2)&amp;":"&amp;MID(D1109,5,2)&amp;":"&amp;MID(D1109,7,2)&amp;":"&amp;MID(D1109,9,2)&amp;":"&amp;RIGHT(D1109,2)</f>
        <v/>
      </c>
      <c r="H1109" t="inlineStr">
        <is>
          <t>54C97E8B4EEF3EA5</t>
        </is>
      </c>
      <c r="I1109">
        <f>IFERROR(_xlfn.IFNA(INDEX(Sensors_MANU!$C$2:$C$4692,MATCH($D1109,Sensors_MANU!$B$2:$B$4692,0)),INDEX(Sensors_MANU!$C$2:$C$4692,MATCH($P1109,Sensors_MANU!$A$2:$A$4692,0))),"")</f>
        <v/>
      </c>
      <c r="J1109" s="65" t="inlineStr">
        <is>
          <t>PR2206-586</t>
        </is>
      </c>
      <c r="O1109" s="6" t="inlineStr">
        <is>
          <t>V24</t>
        </is>
      </c>
    </row>
    <row r="1110">
      <c r="A1110" s="32">
        <f>IFERROR(_xlfn.IFNA(INDEX(Sensors_MANU!$E$2:$E$4692,MATCH($D1110,Sensors_MANU!$B$2:$B$4692,0)),INDEX(Sensors_MANU!$E$2:$E$4692,MATCH($P1110,Sensors_MANU!$A$2:$A$4692,0))),"")</f>
        <v/>
      </c>
      <c r="B1110" s="24">
        <f>IFERROR(INDEX(Companies!$A$3:$A$101,MATCH(A1110,Companies!$B$3:$B$101,0)),"")</f>
        <v/>
      </c>
      <c r="C1110">
        <f>IFERROR(_xlfn.IFNA(INDEX(Sensors_MANU!$F$2:$F$4692,MATCH($D1110,Sensors_MANU!$B$2:$B$4692,0)),INDEX(Sensors_MANU!$F$2:$F$4692,MATCH($P1110,Sensors_MANU!$A$2:$A$4692,0))),"")</f>
        <v/>
      </c>
      <c r="D1110" t="inlineStr">
        <is>
          <t>DC79180208C0</t>
        </is>
      </c>
      <c r="E1110" s="24">
        <f>LEFT(D1110,2)&amp;":"&amp;MID(D1110,3,2)&amp;":"&amp;MID(D1110,5,2)&amp;":"&amp;MID(D1110,7,2)&amp;":"&amp;MID(D1110,9,2)&amp;":"&amp;RIGHT(D1110,2)</f>
        <v/>
      </c>
      <c r="F1110" s="29" t="n">
        <v>44832</v>
      </c>
      <c r="G1110" s="29" t="inlineStr">
        <is>
          <t>Hupac</t>
        </is>
      </c>
      <c r="H1110" t="inlineStr">
        <is>
          <t>A04288B40E62F863</t>
        </is>
      </c>
      <c r="I1110">
        <f>IFERROR(_xlfn.IFNA(INDEX(Sensors_MANU!$C$2:$C$4692,MATCH($D1110,Sensors_MANU!$B$2:$B$4692,0)),INDEX(Sensors_MANU!$C$2:$C$4692,MATCH($P1110,Sensors_MANU!$A$2:$A$4692,0))),"")</f>
        <v/>
      </c>
      <c r="J1110">
        <f>IFERROR(_xlfn.IFNA(INDEX(Sensors_MANU!$D$2:$D$4692,MATCH($D1110,Sensors_MANU!$B$2:$B$4692,0)),INDEX(Sensors_MANU!$D$2:$D$4692,MATCH($P1110,Sensors_MANU!$A$2:$A$4692,0))),"")</f>
        <v/>
      </c>
      <c r="K1110" s="27" t="inlineStr">
        <is>
          <t>33-85-4511-082-1</t>
        </is>
      </c>
      <c r="L1110" s="27" t="inlineStr">
        <is>
          <t>7a</t>
        </is>
      </c>
      <c r="M1110" s="61" t="inlineStr">
        <is>
          <t>973352</t>
        </is>
      </c>
      <c r="O1110" s="6" t="inlineStr">
        <is>
          <t>V24</t>
        </is>
      </c>
    </row>
    <row r="1111">
      <c r="A1111" s="32">
        <f>IFERROR(_xlfn.IFNA(INDEX(Sensors_MANU!$E$2:$E$4692,MATCH($D1111,Sensors_MANU!$B$2:$B$4692,0)),INDEX(Sensors_MANU!$E$2:$E$4692,MATCH($P1111,Sensors_MANU!$A$2:$A$4692,0))),"")</f>
        <v/>
      </c>
      <c r="B1111" s="24">
        <f>IFERROR(INDEX(Companies!$A$3:$A$101,MATCH(A1111,Companies!$B$3:$B$101,0)),"")</f>
        <v/>
      </c>
      <c r="C1111">
        <f>IFERROR(_xlfn.IFNA(INDEX(Sensors_MANU!$F$2:$F$4692,MATCH($D1111,Sensors_MANU!$B$2:$B$4692,0)),INDEX(Sensors_MANU!$F$2:$F$4692,MATCH($P1111,Sensors_MANU!$A$2:$A$4692,0))),"")</f>
        <v/>
      </c>
      <c r="D1111" t="inlineStr">
        <is>
          <t>D4A0E26B4848</t>
        </is>
      </c>
      <c r="E1111" s="24">
        <f>LEFT(D1111,2)&amp;":"&amp;MID(D1111,3,2)&amp;":"&amp;MID(D1111,5,2)&amp;":"&amp;MID(D1111,7,2)&amp;":"&amp;MID(D1111,9,2)&amp;":"&amp;RIGHT(D1111,2)</f>
        <v/>
      </c>
      <c r="F1111" s="29" t="n">
        <v>44832</v>
      </c>
      <c r="G1111" s="29" t="inlineStr">
        <is>
          <t>Hupac</t>
        </is>
      </c>
      <c r="H1111" t="inlineStr">
        <is>
          <t>E8C811ED13CAA74A</t>
        </is>
      </c>
      <c r="I1111">
        <f>IFERROR(_xlfn.IFNA(INDEX(Sensors_MANU!$C$2:$C$4692,MATCH($D1111,Sensors_MANU!$B$2:$B$4692,0)),INDEX(Sensors_MANU!$C$2:$C$4692,MATCH($P1111,Sensors_MANU!$A$2:$A$4692,0))),"")</f>
        <v/>
      </c>
      <c r="J1111">
        <f>IFERROR(_xlfn.IFNA(INDEX(Sensors_MANU!$D$2:$D$4692,MATCH($D1111,Sensors_MANU!$B$2:$B$4692,0)),INDEX(Sensors_MANU!$D$2:$D$4692,MATCH($P1111,Sensors_MANU!$A$2:$A$4692,0))),"")</f>
        <v/>
      </c>
      <c r="K1111" s="27" t="inlineStr">
        <is>
          <t>33-85-4956-687-9</t>
        </is>
      </c>
      <c r="L1111" s="27" t="inlineStr">
        <is>
          <t>6b</t>
        </is>
      </c>
      <c r="M1111" s="61" t="inlineStr">
        <is>
          <t>88160268</t>
        </is>
      </c>
      <c r="O1111" s="6" t="inlineStr">
        <is>
          <t>V24</t>
        </is>
      </c>
    </row>
    <row r="1112">
      <c r="A1112" s="32">
        <f>IFERROR(_xlfn.IFNA(INDEX(Sensors_MANU!$E$2:$E$4692,MATCH($D1112,Sensors_MANU!$B$2:$B$4692,0)),INDEX(Sensors_MANU!$E$2:$E$4692,MATCH($P1112,Sensors_MANU!$A$2:$A$4692,0))),"")</f>
        <v/>
      </c>
      <c r="B1112" s="24">
        <f>IFERROR(INDEX(Companies!$A$3:$A$101,MATCH(A1112,Companies!$B$3:$B$101,0)),"")</f>
        <v/>
      </c>
      <c r="C1112">
        <f>IFERROR(_xlfn.IFNA(INDEX(Sensors_MANU!$F$2:$F$4692,MATCH($D1112,Sensors_MANU!$B$2:$B$4692,0)),INDEX(Sensors_MANU!$F$2:$F$4692,MATCH($P1112,Sensors_MANU!$A$2:$A$4692,0))),"")</f>
        <v/>
      </c>
      <c r="D1112" t="inlineStr">
        <is>
          <t>CFEB10F3A38D</t>
        </is>
      </c>
      <c r="E1112" s="24">
        <f>LEFT(D1112,2)&amp;":"&amp;MID(D1112,3,2)&amp;":"&amp;MID(D1112,5,2)&amp;":"&amp;MID(D1112,7,2)&amp;":"&amp;MID(D1112,9,2)&amp;":"&amp;RIGHT(D1112,2)</f>
        <v/>
      </c>
      <c r="F1112" s="29" t="n">
        <v>44832</v>
      </c>
      <c r="G1112" s="29" t="inlineStr">
        <is>
          <t>Viezo</t>
        </is>
      </c>
      <c r="H1112" t="inlineStr">
        <is>
          <t>41AAA5D8023C2DAD</t>
        </is>
      </c>
      <c r="I1112">
        <f>IFERROR(_xlfn.IFNA(INDEX(Sensors_MANU!$C$2:$C$4692,MATCH($D1112,Sensors_MANU!$B$2:$B$4692,0)),INDEX(Sensors_MANU!$C$2:$C$4692,MATCH($P1112,Sensors_MANU!$A$2:$A$4692,0))),"")</f>
        <v/>
      </c>
      <c r="J1112">
        <f>IFERROR(_xlfn.IFNA(INDEX(Sensors_MANU!$D$2:$D$4692,MATCH($D1112,Sensors_MANU!$B$2:$B$4692,0)),INDEX(Sensors_MANU!$D$2:$D$4692,MATCH($P1112,Sensors_MANU!$A$2:$A$4692,0))),"")</f>
        <v/>
      </c>
      <c r="K1112" s="27" t="inlineStr">
        <is>
          <t>33 83 495 4 940-6</t>
        </is>
      </c>
      <c r="L1112" s="27" t="n">
        <v>11</v>
      </c>
      <c r="O1112" s="6" t="inlineStr">
        <is>
          <t>V24</t>
        </is>
      </c>
    </row>
    <row r="1113">
      <c r="A1113" s="32">
        <f>IFERROR(_xlfn.IFNA(INDEX(Sensors_MANU!$E$2:$E$4692,MATCH($D1113,Sensors_MANU!$B$2:$B$4692,0)),INDEX(Sensors_MANU!$E$2:$E$4692,MATCH($P1113,Sensors_MANU!$A$2:$A$4692,0))),"")</f>
        <v/>
      </c>
      <c r="B1113" s="24">
        <f>IFERROR(INDEX(Companies!$A$3:$A$101,MATCH(A1113,Companies!$B$3:$B$101,0)),"")</f>
        <v/>
      </c>
      <c r="C1113">
        <f>IFERROR(_xlfn.IFNA(INDEX(Sensors_MANU!$F$2:$F$4692,MATCH($D1113,Sensors_MANU!$B$2:$B$4692,0)),INDEX(Sensors_MANU!$F$2:$F$4692,MATCH($P1113,Sensors_MANU!$A$2:$A$4692,0))),"")</f>
        <v/>
      </c>
      <c r="D1113" t="inlineStr">
        <is>
          <t>DC81C6E38894</t>
        </is>
      </c>
      <c r="E1113" s="24">
        <f>LEFT(D1113,2)&amp;":"&amp;MID(D1113,3,2)&amp;":"&amp;MID(D1113,5,2)&amp;":"&amp;MID(D1113,7,2)&amp;":"&amp;MID(D1113,9,2)&amp;":"&amp;RIGHT(D1113,2)</f>
        <v/>
      </c>
      <c r="F1113" s="29" t="n">
        <v>44909</v>
      </c>
      <c r="G1113" s="29" t="inlineStr">
        <is>
          <t>HVLE</t>
        </is>
      </c>
      <c r="H1113" t="inlineStr">
        <is>
          <t>F391CE47813B2989</t>
        </is>
      </c>
      <c r="I1113">
        <f>IFERROR(_xlfn.IFNA(INDEX(Sensors_MANU!$C$2:$C$4692,MATCH($D1113,Sensors_MANU!$B$2:$B$4692,0)),INDEX(Sensors_MANU!$C$2:$C$4692,MATCH($P1113,Sensors_MANU!$A$2:$A$4692,0))),"")</f>
        <v/>
      </c>
      <c r="J1113">
        <f>IFERROR(_xlfn.IFNA(INDEX(Sensors_MANU!$D$2:$D$4692,MATCH($D1113,Sensors_MANU!$B$2:$B$4692,0)),INDEX(Sensors_MANU!$D$2:$D$4692,MATCH($P1113,Sensors_MANU!$A$2:$A$4692,0))),"")</f>
        <v/>
      </c>
      <c r="K1113" s="27" t="inlineStr">
        <is>
          <t>83546985088-6</t>
        </is>
      </c>
      <c r="L1113" s="27" t="inlineStr">
        <is>
          <t>4R</t>
        </is>
      </c>
      <c r="O1113" s="6" t="inlineStr">
        <is>
          <t>V25</t>
        </is>
      </c>
    </row>
    <row r="1114">
      <c r="B1114" s="24">
        <f>IFERROR(INDEX(Companies!$A$3:$A$101,MATCH(A1114,Companies!$B$3:$B$101,0)),"")</f>
        <v/>
      </c>
      <c r="C1114">
        <f>IFERROR(_xlfn.IFNA(INDEX(Sensors_MANU!$F$2:$F$4692,MATCH($D1114,Sensors_MANU!$B$2:$B$4692,0)),INDEX(Sensors_MANU!$F$2:$F$4692,MATCH($P1114,Sensors_MANU!$A$2:$A$4692,0))),"")</f>
        <v/>
      </c>
      <c r="D1114" t="inlineStr">
        <is>
          <t>E9E6182862AA</t>
        </is>
      </c>
      <c r="E1114" s="24">
        <f>LEFT(D1114,2)&amp;":"&amp;MID(D1114,3,2)&amp;":"&amp;MID(D1114,5,2)&amp;":"&amp;MID(D1114,7,2)&amp;":"&amp;MID(D1114,9,2)&amp;":"&amp;RIGHT(D1114,2)</f>
        <v/>
      </c>
      <c r="H1114" t="inlineStr">
        <is>
          <t>E3159523DA6AB9D3</t>
        </is>
      </c>
      <c r="I1114">
        <f>IFERROR(_xlfn.IFNA(INDEX(Sensors_MANU!$C$2:$C$4692,MATCH($D1114,Sensors_MANU!$B$2:$B$4692,0)),INDEX(Sensors_MANU!$C$2:$C$4692,MATCH($P1114,Sensors_MANU!$A$2:$A$4692,0))),"")</f>
        <v/>
      </c>
      <c r="J1114">
        <f>IFERROR(_xlfn.IFNA(INDEX(Sensors_MANU!$D$2:$D$4692,MATCH($D1114,Sensors_MANU!$B$2:$B$4692,0)),INDEX(Sensors_MANU!$D$2:$D$4692,MATCH($P1114,Sensors_MANU!$A$2:$A$4692,0))),"")</f>
        <v/>
      </c>
      <c r="O1114" s="6" t="inlineStr">
        <is>
          <t>V24</t>
        </is>
      </c>
    </row>
    <row r="1115">
      <c r="B1115" s="24">
        <f>IFERROR(INDEX(Companies!$A$3:$A$101,MATCH(A1115,Companies!$B$3:$B$101,0)),"")</f>
        <v/>
      </c>
      <c r="C1115">
        <f>IFERROR(_xlfn.IFNA(INDEX(Sensors_MANU!$F$2:$F$4692,MATCH($D1115,Sensors_MANU!$B$2:$B$4692,0)),INDEX(Sensors_MANU!$F$2:$F$4692,MATCH($P1115,Sensors_MANU!$A$2:$A$4692,0))),"")</f>
        <v/>
      </c>
      <c r="D1115" t="inlineStr">
        <is>
          <t>D0F7F68B14B9</t>
        </is>
      </c>
      <c r="E1115" s="24">
        <f>LEFT(D1115,2)&amp;":"&amp;MID(D1115,3,2)&amp;":"&amp;MID(D1115,5,2)&amp;":"&amp;MID(D1115,7,2)&amp;":"&amp;MID(D1115,9,2)&amp;":"&amp;RIGHT(D1115,2)</f>
        <v/>
      </c>
      <c r="H1115" t="inlineStr">
        <is>
          <t>01CF5C33ED8942DB</t>
        </is>
      </c>
      <c r="I1115">
        <f>IFERROR(_xlfn.IFNA(INDEX(Sensors_MANU!$C$2:$C$4692,MATCH($D1115,Sensors_MANU!$B$2:$B$4692,0)),INDEX(Sensors_MANU!$C$2:$C$4692,MATCH($P1115,Sensors_MANU!$A$2:$A$4692,0))),"")</f>
        <v/>
      </c>
      <c r="J1115">
        <f>IFERROR(_xlfn.IFNA(INDEX(Sensors_MANU!$D$2:$D$4692,MATCH($D1115,Sensors_MANU!$B$2:$B$4692,0)),INDEX(Sensors_MANU!$D$2:$D$4692,MATCH($P1115,Sensors_MANU!$A$2:$A$4692,0))),"")</f>
        <v/>
      </c>
      <c r="O1115" s="6" t="inlineStr">
        <is>
          <t>V24</t>
        </is>
      </c>
    </row>
    <row r="1116">
      <c r="A1116" s="32">
        <f>IFERROR(_xlfn.IFNA(INDEX(Sensors_MANU!$E$2:$E$4692,MATCH($D1116,Sensors_MANU!$B$2:$B$4692,0)),INDEX(Sensors_MANU!$E$2:$E$4692,MATCH($P1116,Sensors_MANU!$A$2:$A$4692,0))),"")</f>
        <v/>
      </c>
      <c r="B1116" s="24" t="inlineStr">
        <is>
          <t>64818ba10166b80f8d06f5fa</t>
        </is>
      </c>
      <c r="C1116">
        <f>IFERROR(_xlfn.IFNA(INDEX(Sensors_MANU!$F$2:$F$4692,MATCH($D1116,Sensors_MANU!$B$2:$B$4692,0)),INDEX(Sensors_MANU!$F$2:$F$4692,MATCH($P1116,Sensors_MANU!$A$2:$A$4692,0))),"")</f>
        <v/>
      </c>
      <c r="D1116" t="inlineStr">
        <is>
          <t>FEC76645C67E</t>
        </is>
      </c>
      <c r="E1116" s="24">
        <f>LEFT(D1116,2)&amp;":"&amp;MID(D1116,3,2)&amp;":"&amp;MID(D1116,5,2)&amp;":"&amp;MID(D1116,7,2)&amp;":"&amp;MID(D1116,9,2)&amp;":"&amp;RIGHT(D1116,2)</f>
        <v/>
      </c>
      <c r="F1116" s="29" t="n">
        <v>45090</v>
      </c>
      <c r="G1116" s="29" t="inlineStr">
        <is>
          <t>VIEZO</t>
        </is>
      </c>
      <c r="H1116" t="inlineStr">
        <is>
          <t>7EBFF36DFAA44DF1</t>
        </is>
      </c>
      <c r="I1116">
        <f>IFERROR(_xlfn.IFNA(INDEX(Sensors_MANU!$C$2:$C$4692,MATCH($D1116,Sensors_MANU!$B$2:$B$4692,0)),INDEX(Sensors_MANU!$C$2:$C$4692,MATCH($P1116,Sensors_MANU!$A$2:$A$4692,0))),"")</f>
        <v/>
      </c>
      <c r="J1116">
        <f>IFERROR(_xlfn.IFNA(INDEX(Sensors_MANU!$D$2:$D$4692,MATCH($D1116,Sensors_MANU!$B$2:$B$4692,0)),INDEX(Sensors_MANU!$D$2:$D$4692,MATCH($P1116,Sensors_MANU!$A$2:$A$4692,0))),"")</f>
        <v/>
      </c>
      <c r="K1116" s="27" t="inlineStr">
        <is>
          <t>33802742265-2</t>
        </is>
      </c>
      <c r="L1116" s="27" t="inlineStr">
        <is>
          <t>2L</t>
        </is>
      </c>
      <c r="O1116" s="6" t="inlineStr">
        <is>
          <t>V24</t>
        </is>
      </c>
    </row>
    <row r="1117">
      <c r="B1117" s="24">
        <f>IFERROR(INDEX(Companies!$A$3:$A$101,MATCH(A1117,Companies!$B$3:$B$101,0)),"")</f>
        <v/>
      </c>
      <c r="C1117">
        <f>IFERROR(_xlfn.IFNA(INDEX(Sensors_MANU!$F$2:$F$4692,MATCH($D1117,Sensors_MANU!$B$2:$B$4692,0)),INDEX(Sensors_MANU!$F$2:$F$4692,MATCH($P1117,Sensors_MANU!$A$2:$A$4692,0))),"")</f>
        <v/>
      </c>
      <c r="D1117" t="inlineStr">
        <is>
          <t>ED2CD411E17F</t>
        </is>
      </c>
      <c r="E1117" s="24">
        <f>LEFT(D1117,2)&amp;":"&amp;MID(D1117,3,2)&amp;":"&amp;MID(D1117,5,2)&amp;":"&amp;MID(D1117,7,2)&amp;":"&amp;MID(D1117,9,2)&amp;":"&amp;RIGHT(D1117,2)</f>
        <v/>
      </c>
      <c r="H1117" t="inlineStr">
        <is>
          <t>C7C8350D0E131987</t>
        </is>
      </c>
      <c r="I1117">
        <f>IFERROR(_xlfn.IFNA(INDEX(Sensors_MANU!$C$2:$C$4692,MATCH($D1117,Sensors_MANU!$B$2:$B$4692,0)),INDEX(Sensors_MANU!$C$2:$C$4692,MATCH($P1117,Sensors_MANU!$A$2:$A$4692,0))),"")</f>
        <v/>
      </c>
      <c r="J1117">
        <f>IFERROR(_xlfn.IFNA(INDEX(Sensors_MANU!$D$2:$D$4692,MATCH($D1117,Sensors_MANU!$B$2:$B$4692,0)),INDEX(Sensors_MANU!$D$2:$D$4692,MATCH($P1117,Sensors_MANU!$A$2:$A$4692,0))),"")</f>
        <v/>
      </c>
      <c r="O1117" s="6" t="inlineStr">
        <is>
          <t>V24</t>
        </is>
      </c>
    </row>
    <row r="1118">
      <c r="B1118" s="24">
        <f>IFERROR(INDEX(Companies!$A$3:$A$101,MATCH(A1118,Companies!$B$3:$B$101,0)),"")</f>
        <v/>
      </c>
      <c r="C1118">
        <f>IFERROR(_xlfn.IFNA(INDEX(Sensors_MANU!$F$2:$F$4692,MATCH($D1118,Sensors_MANU!$B$2:$B$4692,0)),INDEX(Sensors_MANU!$F$2:$F$4692,MATCH($P1118,Sensors_MANU!$A$2:$A$4692,0))),"")</f>
        <v/>
      </c>
      <c r="D1118" t="inlineStr">
        <is>
          <t>E56D30787FA3</t>
        </is>
      </c>
      <c r="E1118" s="24">
        <f>LEFT(D1118,2)&amp;":"&amp;MID(D1118,3,2)&amp;":"&amp;MID(D1118,5,2)&amp;":"&amp;MID(D1118,7,2)&amp;":"&amp;MID(D1118,9,2)&amp;":"&amp;RIGHT(D1118,2)</f>
        <v/>
      </c>
      <c r="H1118" t="inlineStr">
        <is>
          <t>3FE17E7D483714F1</t>
        </is>
      </c>
      <c r="I1118">
        <f>IFERROR(_xlfn.IFNA(INDEX(Sensors_MANU!$C$2:$C$4692,MATCH($D1118,Sensors_MANU!$B$2:$B$4692,0)),INDEX(Sensors_MANU!$C$2:$C$4692,MATCH($P1118,Sensors_MANU!$A$2:$A$4692,0))),"")</f>
        <v/>
      </c>
      <c r="J1118">
        <f>IFERROR(_xlfn.IFNA(INDEX(Sensors_MANU!$D$2:$D$4692,MATCH($D1118,Sensors_MANU!$B$2:$B$4692,0)),INDEX(Sensors_MANU!$D$2:$D$4692,MATCH($P1118,Sensors_MANU!$A$2:$A$4692,0))),"")</f>
        <v/>
      </c>
      <c r="O1118" s="6" t="inlineStr">
        <is>
          <t>V24</t>
        </is>
      </c>
    </row>
    <row r="1119">
      <c r="A1119" s="32">
        <f>IFERROR(_xlfn.IFNA(INDEX(Sensors_MANU!$E$2:$E$4692,MATCH($D1119,Sensors_MANU!$B$2:$B$4692,0)),INDEX(Sensors_MANU!$E$2:$E$4692,MATCH($P1119,Sensors_MANU!$A$2:$A$4692,0))),"")</f>
        <v/>
      </c>
      <c r="B1119" s="24">
        <f>IFERROR(INDEX(Companies!$A$3:$A$101,MATCH(A1119,Companies!$B$3:$B$101,0)),"")</f>
        <v/>
      </c>
      <c r="C1119">
        <f>IFERROR(_xlfn.IFNA(INDEX(Sensors_MANU!$F$2:$F$4692,MATCH($D1119,Sensors_MANU!$B$2:$B$4692,0)),INDEX(Sensors_MANU!$F$2:$F$4692,MATCH($P1119,Sensors_MANU!$A$2:$A$4692,0))),"")</f>
        <v/>
      </c>
      <c r="D1119" t="inlineStr">
        <is>
          <t>E8AA863617AD</t>
        </is>
      </c>
      <c r="E1119" s="24">
        <f>LEFT(D1119,2)&amp;":"&amp;MID(D1119,3,2)&amp;":"&amp;MID(D1119,5,2)&amp;":"&amp;MID(D1119,7,2)&amp;":"&amp;MID(D1119,9,2)&amp;":"&amp;RIGHT(D1119,2)</f>
        <v/>
      </c>
      <c r="H1119" t="inlineStr">
        <is>
          <t>A4DA529648FA9076</t>
        </is>
      </c>
      <c r="I1119">
        <f>IFERROR(_xlfn.IFNA(INDEX(Sensors_MANU!$C$2:$C$4692,MATCH($D1119,Sensors_MANU!$B$2:$B$4692,0)),INDEX(Sensors_MANU!$C$2:$C$4692,MATCH($P1119,Sensors_MANU!$A$2:$A$4692,0))),"")</f>
        <v/>
      </c>
      <c r="J1119">
        <f>IFERROR(_xlfn.IFNA(INDEX(Sensors_MANU!$D$2:$D$4692,MATCH($D1119,Sensors_MANU!$B$2:$B$4692,0)),INDEX(Sensors_MANU!$D$2:$D$4692,MATCH($P1119,Sensors_MANU!$A$2:$A$4692,0))),"")</f>
        <v/>
      </c>
      <c r="N1119" s="99" t="inlineStr">
        <is>
          <t>The operator has the device or its lost (they paid for it), but we dont monitor it on Ubidots anymore.</t>
        </is>
      </c>
      <c r="O1119" s="6" t="inlineStr">
        <is>
          <t>V25</t>
        </is>
      </c>
    </row>
    <row r="1120">
      <c r="A1120" s="32">
        <f>IFERROR(_xlfn.IFNA(INDEX(Sensors_MANU!$E$2:$E$4692,MATCH($D1120,Sensors_MANU!$B$2:$B$4692,0)),INDEX(Sensors_MANU!$E$2:$E$4692,MATCH($P1120,Sensors_MANU!$A$2:$A$4692,0))),"")</f>
        <v/>
      </c>
      <c r="B1120" s="24">
        <f>IFERROR(INDEX(Companies!$A$3:$A$101,MATCH(A1120,Companies!$B$3:$B$101,0)),"")</f>
        <v/>
      </c>
      <c r="C1120">
        <f>IFERROR(_xlfn.IFNA(INDEX(Sensors_MANU!$F$2:$F$4692,MATCH($D1120,Sensors_MANU!$B$2:$B$4692,0)),INDEX(Sensors_MANU!$F$2:$F$4692,MATCH($P1120,Sensors_MANU!$A$2:$A$4692,0))),"")</f>
        <v/>
      </c>
      <c r="D1120" t="inlineStr">
        <is>
          <t>F1B37DA8A9CA</t>
        </is>
      </c>
      <c r="E1120" s="24">
        <f>LEFT(D1120,2)&amp;":"&amp;MID(D1120,3,2)&amp;":"&amp;MID(D1120,5,2)&amp;":"&amp;MID(D1120,7,2)&amp;":"&amp;MID(D1120,9,2)&amp;":"&amp;RIGHT(D1120,2)</f>
        <v/>
      </c>
      <c r="H1120" t="inlineStr">
        <is>
          <t>BB3CC18547A914D7</t>
        </is>
      </c>
      <c r="I1120">
        <f>IFERROR(_xlfn.IFNA(INDEX(Sensors_MANU!$C$2:$C$4692,MATCH($D1120,Sensors_MANU!$B$2:$B$4692,0)),INDEX(Sensors_MANU!$C$2:$C$4692,MATCH($P1120,Sensors_MANU!$A$2:$A$4692,0))),"")</f>
        <v/>
      </c>
      <c r="J1120">
        <f>IFERROR(_xlfn.IFNA(INDEX(Sensors_MANU!$D$2:$D$4692,MATCH($D1120,Sensors_MANU!$B$2:$B$4692,0)),INDEX(Sensors_MANU!$D$2:$D$4692,MATCH($P1120,Sensors_MANU!$A$2:$A$4692,0))),"")</f>
        <v/>
      </c>
      <c r="N1120" s="99" t="inlineStr">
        <is>
          <t>The operator has the device or its lost (they paid for it), but we dont monitor it on Ubidots anymore.</t>
        </is>
      </c>
      <c r="O1120" s="6" t="inlineStr">
        <is>
          <t>V25</t>
        </is>
      </c>
    </row>
    <row r="1121">
      <c r="A1121" s="32">
        <f>IFERROR(_xlfn.IFNA(INDEX(Sensors_MANU!$E$2:$E$4692,MATCH($D1121,Sensors_MANU!$B$2:$B$4692,0)),INDEX(Sensors_MANU!$E$2:$E$4692,MATCH($P1121,Sensors_MANU!$A$2:$A$4692,0))),"")</f>
        <v/>
      </c>
      <c r="B1121" s="24">
        <f>IFERROR(INDEX(Companies!$A$3:$A$101,MATCH(A1121,Companies!$B$3:$B$101,0)),"")</f>
        <v/>
      </c>
      <c r="C1121">
        <f>IFERROR(_xlfn.IFNA(INDEX(Sensors_MANU!$F$2:$F$4692,MATCH($D1121,Sensors_MANU!$B$2:$B$4692,0)),INDEX(Sensors_MANU!$F$2:$F$4692,MATCH($P1121,Sensors_MANU!$A$2:$A$4692,0))),"")</f>
        <v/>
      </c>
      <c r="D1121" t="inlineStr">
        <is>
          <t>D3D516FCDD42</t>
        </is>
      </c>
      <c r="E1121">
        <f>LEFT(D1121,2)&amp;":"&amp;MID(D1121,3,2)&amp;":"&amp;MID(D1121,5,2)&amp;":"&amp;MID(D1121,7,2)&amp;":"&amp;MID(D1121,9,2)&amp;":"&amp;RIGHT(D1121,2)</f>
        <v/>
      </c>
      <c r="F1121" s="29" t="n">
        <v>44918</v>
      </c>
      <c r="G1121" s="29" t="inlineStr">
        <is>
          <t>Hupac</t>
        </is>
      </c>
      <c r="H1121" t="inlineStr">
        <is>
          <t>546D1BA6B148D05C</t>
        </is>
      </c>
      <c r="I1121">
        <f>IFERROR(_xlfn.IFNA(INDEX(Sensors_MANU!$C$2:$C$4692,MATCH($D1121,Sensors_MANU!$B$2:$B$4692,0)),INDEX(Sensors_MANU!$C$2:$C$4692,MATCH($P1121,Sensors_MANU!$A$2:$A$4692,0))),"")</f>
        <v/>
      </c>
      <c r="J1121">
        <f>IFERROR(_xlfn.IFNA(INDEX(Sensors_MANU!$D$2:$D$4692,MATCH($D1121,Sensors_MANU!$B$2:$B$4692,0)),INDEX(Sensors_MANU!$D$2:$D$4692,MATCH($P1121,Sensors_MANU!$A$2:$A$4692,0))),"")</f>
        <v/>
      </c>
      <c r="K1121" s="27" t="inlineStr">
        <is>
          <t>33854956673-9</t>
        </is>
      </c>
      <c r="L1121" s="27" t="inlineStr">
        <is>
          <t>3a</t>
        </is>
      </c>
      <c r="M1121" s="27" t="n">
        <v>88160060</v>
      </c>
      <c r="N1121" s="99">
        <f>IFERROR(INDEX(Sensors_MANU!$G$2:$G$4692,MATCH($P1121,Sensors_MANU!$A$2:$A$4692,0)),)</f>
        <v/>
      </c>
      <c r="O1121" s="6" t="inlineStr">
        <is>
          <t>v16</t>
        </is>
      </c>
      <c r="P1121" t="n">
        <v>4978796</v>
      </c>
    </row>
    <row r="1122">
      <c r="A1122" s="32">
        <f>IFERROR(_xlfn.IFNA(INDEX(Sensors_MANU!$E$2:$E$4692,MATCH($D1122,Sensors_MANU!$B$2:$B$4692,0)),INDEX(Sensors_MANU!$E$2:$E$4692,MATCH($P1122,Sensors_MANU!$A$2:$A$4692,0))),"")</f>
        <v/>
      </c>
      <c r="B1122" s="24">
        <f>IFERROR(INDEX(Companies!$A$3:$A$101,MATCH(A1122,Companies!$B$3:$B$101,0)),"")</f>
        <v/>
      </c>
      <c r="C1122">
        <f>IFERROR(_xlfn.IFNA(INDEX(Sensors_MANU!$F$2:$F$4692,MATCH($D1122,Sensors_MANU!$B$2:$B$4692,0)),INDEX(Sensors_MANU!$F$2:$F$4692,MATCH($P1122,Sensors_MANU!$A$2:$A$4692,0))),"")</f>
        <v/>
      </c>
      <c r="D1122" t="inlineStr">
        <is>
          <t>EEE83F8AA4EE</t>
        </is>
      </c>
      <c r="E1122" s="24">
        <f>LEFT(D1122,2)&amp;":"&amp;MID(D1122,3,2)&amp;":"&amp;MID(D1122,5,2)&amp;":"&amp;MID(D1122,7,2)&amp;":"&amp;MID(D1122,9,2)&amp;":"&amp;RIGHT(D1122,2)</f>
        <v/>
      </c>
      <c r="H1122" t="inlineStr">
        <is>
          <t>1938842232F4B1B2</t>
        </is>
      </c>
      <c r="I1122">
        <f>IFERROR(_xlfn.IFNA(INDEX(Sensors_MANU!$C$2:$C$4692,MATCH($D1122,Sensors_MANU!$B$2:$B$4692,0)),INDEX(Sensors_MANU!$C$2:$C$4692,MATCH($P1122,Sensors_MANU!$A$2:$A$4692,0))),"")</f>
        <v/>
      </c>
      <c r="J1122">
        <f>IFERROR(_xlfn.IFNA(INDEX(Sensors_MANU!$D$2:$D$4692,MATCH($D1122,Sensors_MANU!$B$2:$B$4692,0)),INDEX(Sensors_MANU!$D$2:$D$4692,MATCH($P1122,Sensors_MANU!$A$2:$A$4692,0))),"")</f>
        <v/>
      </c>
      <c r="N1122" s="99" t="inlineStr">
        <is>
          <t>The operator has the device or its lost (they paid for it), but we dont monitor it on Ubidots anymore.</t>
        </is>
      </c>
      <c r="O1122" s="6" t="inlineStr">
        <is>
          <t>V25</t>
        </is>
      </c>
    </row>
    <row r="1123">
      <c r="A1123" s="32">
        <f>IFERROR(_xlfn.IFNA(INDEX(Sensors_MANU!$E$2:$E$4692,MATCH($D1123,Sensors_MANU!$B$2:$B$4692,0)),INDEX(Sensors_MANU!$E$2:$E$4692,MATCH($P1123,Sensors_MANU!$A$2:$A$4692,0))),"")</f>
        <v/>
      </c>
      <c r="B1123" s="24">
        <f>IFERROR(INDEX(Companies!$A$3:$A$101,MATCH(A1123,Companies!$B$3:$B$101,0)),"")</f>
        <v/>
      </c>
      <c r="C1123">
        <f>IFERROR(_xlfn.IFNA(INDEX(Sensors_MANU!$F$2:$F$4692,MATCH($D1123,Sensors_MANU!$B$2:$B$4692,0)),INDEX(Sensors_MANU!$F$2:$F$4692,MATCH($P1123,Sensors_MANU!$A$2:$A$4692,0))),"")</f>
        <v/>
      </c>
      <c r="D1123" t="inlineStr">
        <is>
          <t>D873C30C0E60</t>
        </is>
      </c>
      <c r="E1123" s="24">
        <f>LEFT(D1123,2)&amp;":"&amp;MID(D1123,3,2)&amp;":"&amp;MID(D1123,5,2)&amp;":"&amp;MID(D1123,7,2)&amp;":"&amp;MID(D1123,9,2)&amp;":"&amp;RIGHT(D1123,2)</f>
        <v/>
      </c>
      <c r="F1123" s="29" t="n">
        <v>44832</v>
      </c>
      <c r="G1123" s="29" t="inlineStr">
        <is>
          <t>Hupac</t>
        </is>
      </c>
      <c r="H1123" t="inlineStr">
        <is>
          <t>A4CC40AB8F5D0F36</t>
        </is>
      </c>
      <c r="I1123">
        <f>IFERROR(_xlfn.IFNA(INDEX(Sensors_MANU!$C$2:$C$4692,MATCH($D1123,Sensors_MANU!$B$2:$B$4692,0)),INDEX(Sensors_MANU!$C$2:$C$4692,MATCH($P1123,Sensors_MANU!$A$2:$A$4692,0))),"")</f>
        <v/>
      </c>
      <c r="J1123">
        <f>IFERROR(_xlfn.IFNA(INDEX(Sensors_MANU!$D$2:$D$4692,MATCH($D1123,Sensors_MANU!$B$2:$B$4692,0)),INDEX(Sensors_MANU!$D$2:$D$4692,MATCH($P1123,Sensors_MANU!$A$2:$A$4692,0))),"")</f>
        <v/>
      </c>
      <c r="K1123" s="27" t="inlineStr">
        <is>
          <t>33-85-4956-700-0</t>
        </is>
      </c>
      <c r="L1123" s="27" t="inlineStr">
        <is>
          <t>2b</t>
        </is>
      </c>
      <c r="M1123" s="61" t="inlineStr">
        <is>
          <t>88160304</t>
        </is>
      </c>
      <c r="O1123" s="6" t="inlineStr">
        <is>
          <t>V24</t>
        </is>
      </c>
    </row>
    <row r="1124">
      <c r="A1124" s="32">
        <f>IFERROR(_xlfn.IFNA(INDEX(Sensors_MANU!$E$2:$E$4692,MATCH($D1124,Sensors_MANU!$B$2:$B$4692,0)),INDEX(Sensors_MANU!$E$2:$E$4692,MATCH($P1124,Sensors_MANU!$A$2:$A$4692,0))),"")</f>
        <v/>
      </c>
      <c r="B1124" s="24">
        <f>IFERROR(INDEX(Companies!$A$3:$A$101,MATCH(A1124,Companies!$B$3:$B$101,0)),"")</f>
        <v/>
      </c>
      <c r="D1124" t="inlineStr">
        <is>
          <t>EB9E86D599B3</t>
        </is>
      </c>
      <c r="E1124">
        <f>LEFT(D1124,2)&amp;":"&amp;MID(D1124,3,2)&amp;":"&amp;MID(D1124,5,2)&amp;":"&amp;MID(D1124,7,2)&amp;":"&amp;MID(D1124,9,2)&amp;":"&amp;RIGHT(D1124,2)</f>
        <v/>
      </c>
      <c r="H1124" t="inlineStr">
        <is>
          <t>CB4549D044818724</t>
        </is>
      </c>
      <c r="I1124">
        <f>IFERROR(_xlfn.IFNA(INDEX(Sensors_MANU!$C$2:$C$4692,MATCH($D1124,Sensors_MANU!$B$2:$B$4692,0)),INDEX(Sensors_MANU!$C$2:$C$4692,MATCH($P1124,Sensors_MANU!$A$2:$A$4692,0))),"")</f>
        <v/>
      </c>
      <c r="J1124">
        <f>IFERROR(_xlfn.IFNA(INDEX(Sensors_MANU!$D$2:$D$4692,MATCH($D1124,Sensors_MANU!$B$2:$B$4692,0)),INDEX(Sensors_MANU!$D$2:$D$4692,MATCH($P1124,Sensors_MANU!$A$2:$A$4692,0))),"")</f>
        <v/>
      </c>
      <c r="K1124" s="27" t="inlineStr">
        <is>
          <t>BAH101</t>
        </is>
      </c>
      <c r="L1124" s="27" t="inlineStr">
        <is>
          <t>3R</t>
        </is>
      </c>
    </row>
    <row r="1125">
      <c r="A1125" s="32">
        <f>IFERROR(_xlfn.IFNA(INDEX(Sensors_MANU!$E$2:$E$4692,MATCH($D1125,Sensors_MANU!$B$2:$B$4692,0)),INDEX(Sensors_MANU!$E$2:$E$4692,MATCH($P1125,Sensors_MANU!$A$2:$A$4692,0))),"")</f>
        <v/>
      </c>
      <c r="B1125" s="24">
        <f>IFERROR(INDEX(Companies!$A$3:$A$101,MATCH(A1125,Companies!$B$3:$B$101,0)),"")</f>
        <v/>
      </c>
      <c r="D1125" t="inlineStr">
        <is>
          <t>C97C3453E7D2</t>
        </is>
      </c>
      <c r="E1125">
        <f>LEFT(D1125,2)&amp;":"&amp;MID(D1125,3,2)&amp;":"&amp;MID(D1125,5,2)&amp;":"&amp;MID(D1125,7,2)&amp;":"&amp;MID(D1125,9,2)&amp;":"&amp;RIGHT(D1125,2)</f>
        <v/>
      </c>
      <c r="F1125" s="29" t="n">
        <v>44938</v>
      </c>
      <c r="G1125" s="29" t="inlineStr">
        <is>
          <t>INTERFRACHT</t>
        </is>
      </c>
      <c r="H1125" t="inlineStr">
        <is>
          <t>5CF8F71A947D7409</t>
        </is>
      </c>
      <c r="I1125">
        <f>IFERROR(_xlfn.IFNA(INDEX(Sensors_MANU!$C$2:$C$4692,MATCH($D1125,Sensors_MANU!$B$2:$B$4692,0)),INDEX(Sensors_MANU!$C$2:$C$4692,MATCH($P1125,Sensors_MANU!$A$2:$A$4692,0))),"")</f>
        <v/>
      </c>
      <c r="J1125">
        <f>IFERROR(_xlfn.IFNA(INDEX(Sensors_MANU!$D$2:$D$4692,MATCH($D1125,Sensors_MANU!$B$2:$B$4692,0)),INDEX(Sensors_MANU!$D$2:$D$4692,MATCH($P1125,Sensors_MANU!$A$2:$A$4692,0))),"")</f>
        <v/>
      </c>
      <c r="K1125" s="28" t="inlineStr">
        <is>
          <t>33-54-076-2130-9</t>
        </is>
      </c>
      <c r="L1125" s="27" t="inlineStr">
        <is>
          <t>2L</t>
        </is>
      </c>
    </row>
    <row r="1126">
      <c r="A1126" s="32">
        <f>IFERROR(_xlfn.IFNA(INDEX(Sensors_MANU!$E$2:$E$4692,MATCH($D1126,Sensors_MANU!$B$2:$B$4692,0)),INDEX(Sensors_MANU!$E$2:$E$4692,MATCH($P1126,Sensors_MANU!$A$2:$A$4692,0))),"")</f>
        <v/>
      </c>
      <c r="B1126" s="24">
        <f>IFERROR(INDEX(Companies!$A$3:$A$101,MATCH(A1126,Companies!$B$3:$B$101,0)),"")</f>
        <v/>
      </c>
      <c r="D1126" t="inlineStr">
        <is>
          <t>E6AC1DD0D56B</t>
        </is>
      </c>
      <c r="E1126">
        <f>LEFT(D1126,2)&amp;":"&amp;MID(D1126,3,2)&amp;":"&amp;MID(D1126,5,2)&amp;":"&amp;MID(D1126,7,2)&amp;":"&amp;MID(D1126,9,2)&amp;":"&amp;RIGHT(D1126,2)</f>
        <v/>
      </c>
      <c r="F1126" s="29" t="n">
        <v>44938</v>
      </c>
      <c r="G1126" s="29" t="inlineStr">
        <is>
          <t>INTERFRACHT</t>
        </is>
      </c>
      <c r="H1126" t="inlineStr">
        <is>
          <t>3103CA5599A951ED</t>
        </is>
      </c>
      <c r="I1126">
        <f>IFERROR(_xlfn.IFNA(INDEX(Sensors_MANU!$C$2:$C$4692,MATCH($D1126,Sensors_MANU!$B$2:$B$4692,0)),INDEX(Sensors_MANU!$C$2:$C$4692,MATCH($P1126,Sensors_MANU!$A$2:$A$4692,0))),"")</f>
        <v/>
      </c>
      <c r="J1126">
        <f>IFERROR(_xlfn.IFNA(INDEX(Sensors_MANU!$D$2:$D$4692,MATCH($D1126,Sensors_MANU!$B$2:$B$4692,0)),INDEX(Sensors_MANU!$D$2:$D$4692,MATCH($P1126,Sensors_MANU!$A$2:$A$4692,0))),"")</f>
        <v/>
      </c>
      <c r="K1126" s="28" t="inlineStr">
        <is>
          <t>33-54-076-2130-9</t>
        </is>
      </c>
      <c r="L1126" s="27" t="inlineStr">
        <is>
          <t>4R</t>
        </is>
      </c>
    </row>
    <row r="1127">
      <c r="A1127" s="32">
        <f>IFERROR(_xlfn.IFNA(INDEX(Sensors_MANU!$E$2:$E$4692,MATCH($D1127,Sensors_MANU!$B$2:$B$4692,0)),INDEX(Sensors_MANU!$E$2:$E$4692,MATCH($P1127,Sensors_MANU!$A$2:$A$4692,0))),"")</f>
        <v/>
      </c>
      <c r="B1127" s="24">
        <f>IFERROR(INDEX(Companies!$A$3:$A$101,MATCH(A1127,Companies!$B$3:$B$101,0)),"")</f>
        <v/>
      </c>
      <c r="C1127">
        <f>IFERROR(_xlfn.IFNA(INDEX(Sensors_MANU!$F$2:$F$4692,MATCH($D1127,Sensors_MANU!$B$2:$B$4692,0)),INDEX(Sensors_MANU!$F$2:$F$4692,MATCH($P1127,Sensors_MANU!$A$2:$A$4692,0))),"")</f>
        <v/>
      </c>
      <c r="D1127" t="inlineStr">
        <is>
          <t>CDB2B982E25B</t>
        </is>
      </c>
      <c r="E1127">
        <f>LEFT(D1127,2)&amp;":"&amp;MID(D1127,3,2)&amp;":"&amp;MID(D1127,5,2)&amp;":"&amp;MID(D1127,7,2)&amp;":"&amp;MID(D1127,9,2)&amp;":"&amp;RIGHT(D1127,2)</f>
        <v/>
      </c>
      <c r="F1127" s="29" t="n">
        <v>44910</v>
      </c>
      <c r="G1127" s="29" t="inlineStr">
        <is>
          <t>Viezo</t>
        </is>
      </c>
      <c r="H1127" t="inlineStr">
        <is>
          <t>92BE65DFF27336F3</t>
        </is>
      </c>
      <c r="I1127">
        <f>IFERROR(_xlfn.IFNA(INDEX(Sensors_MANU!$C$2:$C$4692,MATCH($D1127,Sensors_MANU!$B$2:$B$4692,0)),INDEX(Sensors_MANU!$C$2:$C$4692,MATCH($P1127,Sensors_MANU!$A$2:$A$4692,0))),"")</f>
        <v/>
      </c>
      <c r="J1127">
        <f>IFERROR(_xlfn.IFNA(INDEX(Sensors_MANU!$D$2:$D$4692,MATCH($D1127,Sensors_MANU!$B$2:$B$4692,0)),INDEX(Sensors_MANU!$D$2:$D$4692,MATCH($P1127,Sensors_MANU!$A$2:$A$4692,0))),"")</f>
        <v/>
      </c>
      <c r="K1127" s="27" t="inlineStr">
        <is>
          <t>33854575320-8</t>
        </is>
      </c>
      <c r="L1127" s="27" t="inlineStr">
        <is>
          <t>4b</t>
        </is>
      </c>
      <c r="M1127" s="27" t="inlineStr">
        <is>
          <t>0 71789</t>
        </is>
      </c>
      <c r="N1127" s="99">
        <f>IFERROR(INDEX(Sensors_MANU!$G$2:$G$4692,MATCH($P1127,Sensors_MANU!$A$2:$A$4692,0)),)</f>
        <v/>
      </c>
      <c r="O1127" s="6" t="inlineStr">
        <is>
          <t>v16</t>
        </is>
      </c>
      <c r="P1127" t="n">
        <v>4978820</v>
      </c>
    </row>
    <row r="1128">
      <c r="A1128" s="32">
        <f>IFERROR(_xlfn.IFNA(INDEX(Sensors_MANU!$E$2:$E$4692,MATCH($D1128,Sensors_MANU!$B$2:$B$4692,0)),INDEX(Sensors_MANU!$E$2:$E$4692,MATCH($P1128,Sensors_MANU!$A$2:$A$4692,0))),"")</f>
        <v/>
      </c>
      <c r="B1128" s="24">
        <f>IFERROR(INDEX(Companies!$A$3:$A$101,MATCH(A1128,Companies!$B$3:$B$101,0)),"")</f>
        <v/>
      </c>
      <c r="C1128">
        <f>IFERROR(_xlfn.IFNA(INDEX(Sensors_MANU!$F$2:$F$4692,MATCH($D1128,Sensors_MANU!$B$2:$B$4692,0)),INDEX(Sensors_MANU!$F$2:$F$4692,MATCH($P1128,Sensors_MANU!$A$2:$A$4692,0))),"")</f>
        <v/>
      </c>
      <c r="D1128" t="inlineStr">
        <is>
          <t>E03ED6204685</t>
        </is>
      </c>
      <c r="E1128">
        <f>LEFT(D1128,2)&amp;":"&amp;MID(D1128,3,2)&amp;":"&amp;MID(D1128,5,2)&amp;":"&amp;MID(D1128,7,2)&amp;":"&amp;MID(D1128,9,2)&amp;":"&amp;RIGHT(D1128,2)</f>
        <v/>
      </c>
      <c r="F1128" s="29" t="n">
        <v>44910</v>
      </c>
      <c r="G1128" s="29" t="inlineStr">
        <is>
          <t>Viezo</t>
        </is>
      </c>
      <c r="H1128" t="inlineStr">
        <is>
          <t>841749AF5D40B066</t>
        </is>
      </c>
      <c r="I1128">
        <f>IFERROR(_xlfn.IFNA(INDEX(Sensors_MANU!$C$2:$C$4692,MATCH($D1128,Sensors_MANU!$B$2:$B$4692,0)),INDEX(Sensors_MANU!$C$2:$C$4692,MATCH($P1128,Sensors_MANU!$A$2:$A$4692,0))),"")</f>
        <v/>
      </c>
      <c r="J1128">
        <f>IFERROR(_xlfn.IFNA(INDEX(Sensors_MANU!$D$2:$D$4692,MATCH($D1128,Sensors_MANU!$B$2:$B$4692,0)),INDEX(Sensors_MANU!$D$2:$D$4692,MATCH($P1128,Sensors_MANU!$A$2:$A$4692,0))),"")</f>
        <v/>
      </c>
      <c r="K1128" s="27" t="inlineStr">
        <is>
          <t>33854956699-4</t>
        </is>
      </c>
      <c r="L1128" s="27" t="inlineStr">
        <is>
          <t>11a</t>
        </is>
      </c>
      <c r="M1128" s="27" t="n">
        <v>88220127</v>
      </c>
      <c r="N1128" s="99">
        <f>IFERROR(INDEX(Sensors_MANU!$G$2:$G$4692,MATCH($P1128,Sensors_MANU!$A$2:$A$4692,0)),)</f>
        <v/>
      </c>
      <c r="O1128" s="6" t="inlineStr">
        <is>
          <t>v16</t>
        </is>
      </c>
      <c r="P1128" t="n">
        <v>4978794</v>
      </c>
    </row>
    <row r="1129">
      <c r="A1129" s="32">
        <f>IFERROR(_xlfn.IFNA(INDEX(Sensors_MANU!$E$2:$E$4692,MATCH($D1129,Sensors_MANU!$B$2:$B$4692,0)),INDEX(Sensors_MANU!$E$2:$E$4692,MATCH($P1129,Sensors_MANU!$A$2:$A$4692,0))),"")</f>
        <v/>
      </c>
      <c r="B1129" s="24">
        <f>IFERROR(INDEX(Companies!$A$3:$A$101,MATCH(A1129,Companies!$B$3:$B$101,0)),"")</f>
        <v/>
      </c>
      <c r="C1129">
        <f>IFERROR(_xlfn.IFNA(INDEX(Sensors_MANU!$F$2:$F$4692,MATCH($D1129,Sensors_MANU!$B$2:$B$4692,0)),INDEX(Sensors_MANU!$F$2:$F$4692,MATCH($P1129,Sensors_MANU!$A$2:$A$4692,0))),"")</f>
        <v/>
      </c>
      <c r="D1129" t="inlineStr">
        <is>
          <t>C5A12B748EB1</t>
        </is>
      </c>
      <c r="E1129">
        <f>LEFT(D1129,2)&amp;":"&amp;MID(D1129,3,2)&amp;":"&amp;MID(D1129,5,2)&amp;":"&amp;MID(D1129,7,2)&amp;":"&amp;MID(D1129,9,2)&amp;":"&amp;RIGHT(D1129,2)</f>
        <v/>
      </c>
      <c r="F1129" s="29" t="n">
        <v>44910</v>
      </c>
      <c r="G1129" s="29" t="inlineStr">
        <is>
          <t>Viezo</t>
        </is>
      </c>
      <c r="H1129" t="inlineStr">
        <is>
          <t>D2F8ADB0689B5136</t>
        </is>
      </c>
      <c r="I1129">
        <f>IFERROR(_xlfn.IFNA(INDEX(Sensors_MANU!$C$2:$C$4692,MATCH($D1129,Sensors_MANU!$B$2:$B$4692,0)),INDEX(Sensors_MANU!$C$2:$C$4692,MATCH($P1129,Sensors_MANU!$A$2:$A$4692,0))),"")</f>
        <v/>
      </c>
      <c r="J1129">
        <f>IFERROR(_xlfn.IFNA(INDEX(Sensors_MANU!$D$2:$D$4692,MATCH($D1129,Sensors_MANU!$B$2:$B$4692,0)),INDEX(Sensors_MANU!$D$2:$D$4692,MATCH($P1129,Sensors_MANU!$A$2:$A$4692,0))),"")</f>
        <v/>
      </c>
      <c r="K1129" s="27" t="inlineStr">
        <is>
          <t>33854956478-3</t>
        </is>
      </c>
      <c r="L1129" s="27" t="inlineStr">
        <is>
          <t>8b</t>
        </is>
      </c>
      <c r="M1129" s="27" t="n">
        <v>88190507</v>
      </c>
      <c r="N1129" s="99">
        <f>IFERROR(INDEX(Sensors_MANU!$G$2:$G$4692,MATCH($P1129,Sensors_MANU!$A$2:$A$4692,0)),)</f>
        <v/>
      </c>
      <c r="O1129" s="6" t="inlineStr">
        <is>
          <t>v16</t>
        </is>
      </c>
      <c r="P1129" t="n">
        <v>4978726</v>
      </c>
    </row>
    <row r="1130">
      <c r="A1130" s="32">
        <f>IFERROR(_xlfn.IFNA(INDEX(Sensors_MANU!$E$2:$E$4692,MATCH($D1130,Sensors_MANU!$B$2:$B$4692,0)),INDEX(Sensors_MANU!$E$2:$E$4692,MATCH($P1130,Sensors_MANU!$A$2:$A$4692,0))),"")</f>
        <v/>
      </c>
      <c r="B1130" s="24">
        <f>IFERROR(INDEX(Companies!$A$3:$A$101,MATCH(A1130,Companies!$B$3:$B$101,0)),"")</f>
        <v/>
      </c>
      <c r="D1130" t="inlineStr">
        <is>
          <t>C52F5E4AE9F6</t>
        </is>
      </c>
      <c r="E1130">
        <f>LEFT(D1130,2)&amp;":"&amp;MID(D1130,3,2)&amp;":"&amp;MID(D1130,5,2)&amp;":"&amp;MID(D1130,7,2)&amp;":"&amp;MID(D1130,9,2)&amp;":"&amp;RIGHT(D1130,2)</f>
        <v/>
      </c>
      <c r="F1130" s="29" t="n">
        <v>44953</v>
      </c>
      <c r="G1130" s="29" t="inlineStr">
        <is>
          <t>Fertagus</t>
        </is>
      </c>
      <c r="H1130" t="inlineStr">
        <is>
          <t>A8D9E02B8359861D</t>
        </is>
      </c>
      <c r="I1130">
        <f>IFERROR(_xlfn.IFNA(INDEX(Sensors_MANU!$C$2:$C$4692,MATCH($D1130,Sensors_MANU!$B$2:$B$4692,0)),INDEX(Sensors_MANU!$C$2:$C$4692,MATCH($P1130,Sensors_MANU!$A$2:$A$4692,0))),"")</f>
        <v/>
      </c>
      <c r="J1130">
        <f>IFERROR(_xlfn.IFNA(INDEX(Sensors_MANU!$D$2:$D$4692,MATCH($D1130,Sensors_MANU!$B$2:$B$4692,0)),INDEX(Sensors_MANU!$D$2:$D$4692,MATCH($P1130,Sensors_MANU!$A$2:$A$4692,0))),"")</f>
        <v/>
      </c>
      <c r="K1130" s="27" t="inlineStr">
        <is>
          <t>M3555</t>
        </is>
      </c>
      <c r="L1130" s="27" t="inlineStr">
        <is>
          <t>3L</t>
        </is>
      </c>
    </row>
    <row r="1131">
      <c r="A1131" s="32">
        <f>IFERROR(_xlfn.IFNA(INDEX(Sensors_MANU!$E$2:$E$4692,MATCH($D1131,Sensors_MANU!$B$2:$B$4692,0)),INDEX(Sensors_MANU!$E$2:$E$4692,MATCH($P1131,Sensors_MANU!$A$2:$A$4692,0))),"")</f>
        <v/>
      </c>
      <c r="B1131" s="24">
        <f>IFERROR(INDEX(Companies!$A$3:$A$101,MATCH(A1131,Companies!$B$3:$B$101,0)),"")</f>
        <v/>
      </c>
      <c r="D1131" t="inlineStr">
        <is>
          <t>CEEE3BAC9E31</t>
        </is>
      </c>
      <c r="E1131">
        <f>LEFT(D1131,2)&amp;":"&amp;MID(D1131,3,2)&amp;":"&amp;MID(D1131,5,2)&amp;":"&amp;MID(D1131,7,2)&amp;":"&amp;MID(D1131,9,2)&amp;":"&amp;RIGHT(D1131,2)</f>
        <v/>
      </c>
      <c r="F1131" s="29" t="n">
        <v>44938</v>
      </c>
      <c r="G1131" s="29" t="inlineStr">
        <is>
          <t>INTERFRACHT</t>
        </is>
      </c>
      <c r="H1131" s="18" t="inlineStr">
        <is>
          <t>36483698601E1156</t>
        </is>
      </c>
      <c r="I1131">
        <f>IFERROR(_xlfn.IFNA(INDEX(Sensors_MANU!$C$2:$C$4692,MATCH($D1131,Sensors_MANU!$B$2:$B$4692,0)),INDEX(Sensors_MANU!$C$2:$C$4692,MATCH($P1131,Sensors_MANU!$A$2:$A$4692,0))),"")</f>
        <v/>
      </c>
      <c r="J1131">
        <f>IFERROR(_xlfn.IFNA(INDEX(Sensors_MANU!$D$2:$D$4692,MATCH($D1131,Sensors_MANU!$B$2:$B$4692,0)),INDEX(Sensors_MANU!$D$2:$D$4692,MATCH($P1131,Sensors_MANU!$A$2:$A$4692,0))),"")</f>
        <v/>
      </c>
      <c r="K1131" s="28" t="inlineStr">
        <is>
          <t>33-54-076-2130-9</t>
        </is>
      </c>
      <c r="L1131" s="27" t="inlineStr">
        <is>
          <t>1R</t>
        </is>
      </c>
    </row>
    <row r="1132">
      <c r="A1132" s="32">
        <f>IFERROR(_xlfn.IFNA(INDEX(Sensors_MANU!$E$2:$E$4692,MATCH($D1132,Sensors_MANU!$B$2:$B$4692,0)),INDEX(Sensors_MANU!$E$2:$E$4692,MATCH($P1132,Sensors_MANU!$A$2:$A$4692,0))),"")</f>
        <v/>
      </c>
      <c r="B1132" s="24">
        <f>IFERROR(INDEX(Companies!$A$3:$A$101,MATCH(A1132,Companies!$B$3:$B$101,0)),"")</f>
        <v/>
      </c>
      <c r="D1132" t="inlineStr">
        <is>
          <t>DF7B077B976F</t>
        </is>
      </c>
      <c r="E1132">
        <f>LEFT(D1132,2)&amp;":"&amp;MID(D1132,3,2)&amp;":"&amp;MID(D1132,5,2)&amp;":"&amp;MID(D1132,7,2)&amp;":"&amp;MID(D1132,9,2)&amp;":"&amp;RIGHT(D1132,2)</f>
        <v/>
      </c>
      <c r="F1132" s="29" t="n">
        <v>44953</v>
      </c>
      <c r="G1132" s="29" t="inlineStr">
        <is>
          <t>Fertagus</t>
        </is>
      </c>
      <c r="H1132" t="inlineStr">
        <is>
          <t>83501A459E90D153</t>
        </is>
      </c>
      <c r="I1132">
        <f>IFERROR(_xlfn.IFNA(INDEX(Sensors_MANU!$C$2:$C$4692,MATCH($D1132,Sensors_MANU!$B$2:$B$4692,0)),INDEX(Sensors_MANU!$C$2:$C$4692,MATCH($P1132,Sensors_MANU!$A$2:$A$4692,0))),"")</f>
        <v/>
      </c>
      <c r="J1132">
        <f>IFERROR(_xlfn.IFNA(INDEX(Sensors_MANU!$D$2:$D$4692,MATCH($D1132,Sensors_MANU!$B$2:$B$4692,0)),INDEX(Sensors_MANU!$D$2:$D$4692,MATCH($P1132,Sensors_MANU!$A$2:$A$4692,0))),"")</f>
        <v/>
      </c>
      <c r="K1132" s="27" t="inlineStr">
        <is>
          <t>R3555</t>
        </is>
      </c>
      <c r="L1132" s="27" t="inlineStr">
        <is>
          <t>3L</t>
        </is>
      </c>
    </row>
    <row r="1133">
      <c r="B1133" s="24">
        <f>IFERROR(INDEX(Companies!$A$3:$A$101,MATCH(A1133,Companies!$B$3:$B$101,0)),"")</f>
        <v/>
      </c>
      <c r="C1133">
        <f>IFERROR(_xlfn.IFNA(INDEX(Sensors_MANU!$F$2:$F$4692,MATCH($D1133,Sensors_MANU!$B$2:$B$4692,0)),INDEX(Sensors_MANU!$F$2:$F$4692,MATCH($P1133,Sensors_MANU!$A$2:$A$4692,0))),"")</f>
        <v/>
      </c>
      <c r="D1133" t="inlineStr">
        <is>
          <t>C77B61184959</t>
        </is>
      </c>
      <c r="E1133">
        <f>LEFT(D1133,2)&amp;":"&amp;MID(D1133,3,2)&amp;":"&amp;MID(D1133,5,2)&amp;":"&amp;MID(D1133,7,2)&amp;":"&amp;MID(D1133,9,2)&amp;":"&amp;RIGHT(D1133,2)</f>
        <v/>
      </c>
      <c r="H1133" t="inlineStr">
        <is>
          <t>C22913D731069695</t>
        </is>
      </c>
      <c r="I1133">
        <f>IFERROR(_xlfn.IFNA(INDEX(Sensors_MANU!$C$2:$C$4692,MATCH($D1133,Sensors_MANU!$B$2:$B$4692,0)),INDEX(Sensors_MANU!$C$2:$C$4692,MATCH($P1133,Sensors_MANU!$A$2:$A$4692,0))),"")</f>
        <v/>
      </c>
      <c r="J1133">
        <f>IFERROR(_xlfn.IFNA(INDEX(Sensors_MANU!$D$2:$D$4692,MATCH($D1133,Sensors_MANU!$B$2:$B$4692,0)),INDEX(Sensors_MANU!$D$2:$D$4692,MATCH($P1133,Sensors_MANU!$A$2:$A$4692,0))),"")</f>
        <v/>
      </c>
      <c r="M1133" s="27" t="n"/>
      <c r="N1133" s="99">
        <f>IFERROR(INDEX(Sensors_MANU!$G$2:$G$4692,MATCH($P1133,Sensors_MANU!$A$2:$A$4692,0)),)</f>
        <v/>
      </c>
      <c r="O1133" s="6" t="inlineStr">
        <is>
          <t>v16</t>
        </is>
      </c>
      <c r="P1133" t="n">
        <v>4978586</v>
      </c>
    </row>
    <row r="1134">
      <c r="A1134" s="32">
        <f>IFERROR(_xlfn.IFNA(INDEX(Sensors_MANU!$E$2:$E$4692,MATCH($D1134,Sensors_MANU!$B$2:$B$4692,0)),INDEX(Sensors_MANU!$E$2:$E$4692,MATCH($P1134,Sensors_MANU!$A$2:$A$4692,0))),"")</f>
        <v/>
      </c>
      <c r="B1134" s="24">
        <f>IFERROR(INDEX(Companies!$A$3:$A$101,MATCH(A1134,Companies!$B$3:$B$101,0)),"")</f>
        <v/>
      </c>
      <c r="C1134" s="25" t="inlineStr">
        <is>
          <t>sggmrs</t>
        </is>
      </c>
      <c r="D1134" t="inlineStr">
        <is>
          <t>F20B5D766852</t>
        </is>
      </c>
      <c r="E1134">
        <f>LEFT(D1134,2)&amp;":"&amp;MID(D1134,3,2)&amp;":"&amp;MID(D1134,5,2)&amp;":"&amp;MID(D1134,7,2)&amp;":"&amp;MID(D1134,9,2)&amp;":"&amp;RIGHT(D1134,2)</f>
        <v/>
      </c>
      <c r="F1134" s="29" t="n">
        <v>44938</v>
      </c>
      <c r="G1134" s="29" t="inlineStr">
        <is>
          <t>Ambrogio</t>
        </is>
      </c>
      <c r="H1134" t="inlineStr">
        <is>
          <t>0257C9A6040FD21A</t>
        </is>
      </c>
      <c r="I1134">
        <f>IFERROR(_xlfn.IFNA(INDEX(Sensors_MANU!$C$2:$C$4692,MATCH($D1134,Sensors_MANU!$B$2:$B$4692,0)),INDEX(Sensors_MANU!$C$2:$C$4692,MATCH($P1134,Sensors_MANU!$A$2:$A$4692,0))),"")</f>
        <v/>
      </c>
      <c r="J1134" s="64">
        <f>IFERROR(_xlfn.IFNA(INDEX(Sensors_MANU!$D$2:$D$4692,MATCH($D1134,Sensors_MANU!$B$2:$B$4692,0)),INDEX(Sensors_MANU!$D$2:$D$4692,MATCH($P1134,Sensors_MANU!$A$2:$A$4692,0))),"")</f>
        <v/>
      </c>
      <c r="K1134" s="27" t="inlineStr">
        <is>
          <t>33-83-495-4-940-6</t>
        </is>
      </c>
      <c r="L1134" s="27" t="inlineStr">
        <is>
          <t>5R</t>
        </is>
      </c>
    </row>
    <row r="1135">
      <c r="A1135" s="32">
        <f>IFERROR(_xlfn.IFNA(INDEX(Sensors_MANU!$E$2:$E$4692,MATCH($D1135,Sensors_MANU!$B$2:$B$4692,0)),INDEX(Sensors_MANU!$E$2:$E$4692,MATCH($P1135,Sensors_MANU!$A$2:$A$4692,0))),"")</f>
        <v/>
      </c>
      <c r="B1135" s="24">
        <f>IFERROR(INDEX(Companies!$A$3:$A$101,MATCH(A1135,Companies!$B$3:$B$101,0)),"")</f>
        <v/>
      </c>
      <c r="D1135" t="inlineStr">
        <is>
          <t>DF5C83C0107F</t>
        </is>
      </c>
      <c r="E1135">
        <f>LEFT(D1135,2)&amp;":"&amp;MID(D1135,3,2)&amp;":"&amp;MID(D1135,5,2)&amp;":"&amp;MID(D1135,7,2)&amp;":"&amp;MID(D1135,9,2)&amp;":"&amp;RIGHT(D1135,2)</f>
        <v/>
      </c>
      <c r="H1135" t="inlineStr">
        <is>
          <t>A6A7405C5DAAAEE6</t>
        </is>
      </c>
      <c r="I1135">
        <f>IFERROR(_xlfn.IFNA(INDEX(Sensors_MANU!$C$2:$C$4692,MATCH($D1135,Sensors_MANU!$B$2:$B$4692,0)),INDEX(Sensors_MANU!$C$2:$C$4692,MATCH($P1135,Sensors_MANU!$A$2:$A$4692,0))),"")</f>
        <v/>
      </c>
      <c r="J1135">
        <f>IFERROR(_xlfn.IFNA(INDEX(Sensors_MANU!$D$2:$D$4692,MATCH($D1135,Sensors_MANU!$B$2:$B$4692,0)),INDEX(Sensors_MANU!$D$2:$D$4692,MATCH($P1135,Sensors_MANU!$A$2:$A$4692,0))),"")</f>
        <v/>
      </c>
      <c r="K1135" s="27" t="inlineStr">
        <is>
          <t>BP08</t>
        </is>
      </c>
      <c r="L1135" s="27" t="inlineStr">
        <is>
          <t>2L</t>
        </is>
      </c>
    </row>
    <row r="1136">
      <c r="A1136" s="32">
        <f>IFERROR(_xlfn.IFNA(INDEX(Sensors_MANU!$E$2:$E$4692,MATCH($D1136,Sensors_MANU!$B$2:$B$4692,0)),INDEX(Sensors_MANU!$E$2:$E$4692,MATCH($P1136,Sensors_MANU!$A$2:$A$4692,0))),"")</f>
        <v/>
      </c>
      <c r="B1136" s="24">
        <f>IFERROR(INDEX(Companies!$A$3:$A$101,MATCH(A1136,Companies!$B$3:$B$101,0)),"")</f>
        <v/>
      </c>
      <c r="C1136">
        <f>IFERROR(_xlfn.IFNA(INDEX(Sensors_MANU!$F$2:$F$4692,MATCH($D1136,Sensors_MANU!$B$2:$B$4692,0)),INDEX(Sensors_MANU!$F$2:$F$4692,MATCH($P1136,Sensors_MANU!$A$2:$A$4692,0))),"")</f>
        <v/>
      </c>
      <c r="D1136" s="25" t="inlineStr">
        <is>
          <t>DBE99E766A9A</t>
        </is>
      </c>
      <c r="E1136" s="24">
        <f>LEFT(D1136,2)&amp;":"&amp;MID(D1136,3,2)&amp;":"&amp;MID(D1136,5,2)&amp;":"&amp;MID(D1136,7,2)&amp;":"&amp;MID(D1136,9,2)&amp;":"&amp;RIGHT(D1136,2)</f>
        <v/>
      </c>
      <c r="F1136" s="29" t="n">
        <v>44938</v>
      </c>
      <c r="G1136" s="29" t="inlineStr">
        <is>
          <t>Ambrogio</t>
        </is>
      </c>
      <c r="H1136" t="inlineStr">
        <is>
          <t>9B4B8FEAC1532764</t>
        </is>
      </c>
      <c r="I1136">
        <f>IFERROR(_xlfn.IFNA(INDEX(Sensors_MANU!$C$2:$C$4692,MATCH($D1136,Sensors_MANU!$B$2:$B$4692,0)),INDEX(Sensors_MANU!$C$2:$C$4692,MATCH($P1136,Sensors_MANU!$A$2:$A$4692,0))),"")</f>
        <v/>
      </c>
      <c r="J1136" s="64">
        <f>IFERROR(_xlfn.IFNA(INDEX(Sensors_MANU!$D$2:$D$4692,MATCH($D1136,Sensors_MANU!$B$2:$B$4692,0)),INDEX(Sensors_MANU!$D$2:$D$4692,MATCH($P1136,Sensors_MANU!$A$2:$A$4692,0))),"")</f>
        <v/>
      </c>
      <c r="K1136" s="27" t="inlineStr">
        <is>
          <t>33-83-495-4-940-6</t>
        </is>
      </c>
      <c r="L1136" s="27" t="inlineStr">
        <is>
          <t>6R</t>
        </is>
      </c>
      <c r="O1136" s="6" t="inlineStr">
        <is>
          <t>V23</t>
        </is>
      </c>
    </row>
    <row r="1137">
      <c r="A1137" s="32">
        <f>IFERROR(_xlfn.IFNA(INDEX(Sensors_MANU!$E$2:$E$4692,MATCH($D1137,Sensors_MANU!$B$2:$B$4692,0)),INDEX(Sensors_MANU!$E$2:$E$4692,MATCH($P1137,Sensors_MANU!$A$2:$A$4692,0))),"")</f>
        <v/>
      </c>
      <c r="B1137" s="24">
        <f>IFERROR(INDEX(Companies!$A$3:$A$101,MATCH(A1137,Companies!$B$3:$B$101,0)),"")</f>
        <v/>
      </c>
      <c r="D1137" t="inlineStr">
        <is>
          <t>FF1209D9EA73</t>
        </is>
      </c>
      <c r="E1137">
        <f>LEFT(D1137,2)&amp;":"&amp;MID(D1137,3,2)&amp;":"&amp;MID(D1137,5,2)&amp;":"&amp;MID(D1137,7,2)&amp;":"&amp;MID(D1137,9,2)&amp;":"&amp;RIGHT(D1137,2)</f>
        <v/>
      </c>
      <c r="F1137" s="29" t="n">
        <v>44938</v>
      </c>
      <c r="G1137" s="29" t="inlineStr">
        <is>
          <t>INTERFRACHT</t>
        </is>
      </c>
      <c r="H1137" t="inlineStr">
        <is>
          <t>50A263597FE08FF5</t>
        </is>
      </c>
      <c r="I1137">
        <f>IFERROR(_xlfn.IFNA(INDEX(Sensors_MANU!$C$2:$C$4692,MATCH($D1137,Sensors_MANU!$B$2:$B$4692,0)),INDEX(Sensors_MANU!$C$2:$C$4692,MATCH($P1137,Sensors_MANU!$A$2:$A$4692,0))),"")</f>
        <v/>
      </c>
      <c r="J1137">
        <f>IFERROR(_xlfn.IFNA(INDEX(Sensors_MANU!$D$2:$D$4692,MATCH($D1137,Sensors_MANU!$B$2:$B$4692,0)),INDEX(Sensors_MANU!$D$2:$D$4692,MATCH($P1137,Sensors_MANU!$A$2:$A$4692,0))),"")</f>
        <v/>
      </c>
      <c r="K1137" s="28" t="inlineStr">
        <is>
          <t>33-54-076-2130-9</t>
        </is>
      </c>
      <c r="L1137" s="27" t="inlineStr">
        <is>
          <t>4L</t>
        </is>
      </c>
    </row>
    <row r="1138">
      <c r="A1138" s="32">
        <f>IFERROR(_xlfn.IFNA(INDEX(Sensors_MANU!$E$2:$E$4692,MATCH($D1138,Sensors_MANU!$B$2:$B$4692,0)),INDEX(Sensors_MANU!$E$2:$E$4692,MATCH($P1138,Sensors_MANU!$A$2:$A$4692,0))),"")</f>
        <v/>
      </c>
      <c r="B1138" s="24">
        <f>IFERROR(INDEX(Companies!$A$3:$A$101,MATCH(A1138,Companies!$B$3:$B$101,0)),"")</f>
        <v/>
      </c>
      <c r="C1138">
        <f>IFERROR(_xlfn.IFNA(INDEX(Sensors_MANU!$F$2:$F$4692,MATCH($D1138,Sensors_MANU!$B$2:$B$4692,0)),INDEX(Sensors_MANU!$F$2:$F$4692,MATCH($P1138,Sensors_MANU!$A$2:$A$4692,0))),"")</f>
        <v/>
      </c>
      <c r="D1138" t="inlineStr">
        <is>
          <t>E162801DE6C5</t>
        </is>
      </c>
      <c r="E1138">
        <f>LEFT(D1138,2)&amp;":"&amp;MID(D1138,3,2)&amp;":"&amp;MID(D1138,5,2)&amp;":"&amp;MID(D1138,7,2)&amp;":"&amp;MID(D1138,9,2)&amp;":"&amp;RIGHT(D1138,2)</f>
        <v/>
      </c>
      <c r="F1138" s="29" t="n">
        <v>44938</v>
      </c>
      <c r="G1138" s="29" t="inlineStr">
        <is>
          <t>INTERFRACHT</t>
        </is>
      </c>
      <c r="H1138" t="inlineStr">
        <is>
          <t>A44CB621934F2ED8</t>
        </is>
      </c>
      <c r="I1138">
        <f>IFERROR(_xlfn.IFNA(INDEX(Sensors_MANU!$C$2:$C$4692,MATCH($D1138,Sensors_MANU!$B$2:$B$4692,0)),INDEX(Sensors_MANU!$C$2:$C$4692,MATCH($P1138,Sensors_MANU!$A$2:$A$4692,0))),"")</f>
        <v/>
      </c>
      <c r="J1138">
        <f>IFERROR(_xlfn.IFNA(INDEX(Sensors_MANU!$D$2:$D$4692,MATCH($D1138,Sensors_MANU!$B$2:$B$4692,0)),INDEX(Sensors_MANU!$D$2:$D$4692,MATCH($P1138,Sensors_MANU!$A$2:$A$4692,0))),"")</f>
        <v/>
      </c>
      <c r="K1138" s="28" t="inlineStr">
        <is>
          <t>33-54-076-2130-9</t>
        </is>
      </c>
      <c r="L1138" s="27" t="inlineStr">
        <is>
          <t>2R</t>
        </is>
      </c>
      <c r="M1138" s="27" t="n"/>
      <c r="N1138" s="99">
        <f>IFERROR(INDEX(Sensors_MANU!$G$2:$G$4692,MATCH($P1138,Sensors_MANU!$A$2:$A$4692,0)),)</f>
        <v/>
      </c>
      <c r="O1138" s="6" t="inlineStr">
        <is>
          <t>v16</t>
        </is>
      </c>
      <c r="P1138" t="n">
        <v>4978805</v>
      </c>
    </row>
    <row r="1139">
      <c r="A1139" s="32">
        <f>IFERROR(_xlfn.IFNA(INDEX(Sensors_MANU!$E$2:$E$4692,MATCH($D1139,Sensors_MANU!$B$2:$B$4692,0)),INDEX(Sensors_MANU!$E$2:$E$4692,MATCH($P1139,Sensors_MANU!$A$2:$A$4692,0))),"")</f>
        <v/>
      </c>
      <c r="B1139" s="24">
        <f>IFERROR(INDEX(Companies!$A$3:$A$101,MATCH(A1139,Companies!$B$3:$B$101,0)),"")</f>
        <v/>
      </c>
      <c r="D1139" t="inlineStr">
        <is>
          <t>C7A3930AA5FA</t>
        </is>
      </c>
      <c r="E1139">
        <f>LEFT(D1139,2)&amp;":"&amp;MID(D1139,3,2)&amp;":"&amp;MID(D1139,5,2)&amp;":"&amp;MID(D1139,7,2)&amp;":"&amp;MID(D1139,9,2)&amp;":"&amp;RIGHT(D1139,2)</f>
        <v/>
      </c>
      <c r="F1139" s="29" t="n">
        <v>44953</v>
      </c>
      <c r="G1139" s="29" t="inlineStr">
        <is>
          <t>Fertagus</t>
        </is>
      </c>
      <c r="H1139" t="inlineStr">
        <is>
          <t>511CF72881EDC730</t>
        </is>
      </c>
      <c r="I1139">
        <f>IFERROR(_xlfn.IFNA(INDEX(Sensors_MANU!$C$2:$C$4692,MATCH($D1139,Sensors_MANU!$B$2:$B$4692,0)),INDEX(Sensors_MANU!$C$2:$C$4692,MATCH($P1139,Sensors_MANU!$A$2:$A$4692,0))),"")</f>
        <v/>
      </c>
      <c r="J1139">
        <f>IFERROR(_xlfn.IFNA(INDEX(Sensors_MANU!$D$2:$D$4692,MATCH($D1139,Sensors_MANU!$B$2:$B$4692,0)),INDEX(Sensors_MANU!$D$2:$D$4692,MATCH($P1139,Sensors_MANU!$A$2:$A$4692,0))),"")</f>
        <v/>
      </c>
      <c r="K1139" s="27" t="inlineStr">
        <is>
          <t>R3505</t>
        </is>
      </c>
      <c r="L1139" s="27" t="inlineStr">
        <is>
          <t>2R</t>
        </is>
      </c>
    </row>
    <row r="1140">
      <c r="A1140" s="32">
        <f>IFERROR(_xlfn.IFNA(INDEX(Sensors_MANU!$E$2:$E$4692,MATCH($D1140,Sensors_MANU!$B$2:$B$4692,0)),INDEX(Sensors_MANU!$E$2:$E$4692,MATCH($P1140,Sensors_MANU!$A$2:$A$4692,0))),"")</f>
        <v/>
      </c>
      <c r="B1140" s="24">
        <f>IFERROR(INDEX(Companies!$A$3:$A$101,MATCH(A1140,Companies!$B$3:$B$101,0)),"")</f>
        <v/>
      </c>
      <c r="D1140" t="inlineStr">
        <is>
          <t>D738117799A4</t>
        </is>
      </c>
      <c r="E1140">
        <f>LEFT(D1140,2)&amp;":"&amp;MID(D1140,3,2)&amp;":"&amp;MID(D1140,5,2)&amp;":"&amp;MID(D1140,7,2)&amp;":"&amp;MID(D1140,9,2)&amp;":"&amp;RIGHT(D1140,2)</f>
        <v/>
      </c>
      <c r="F1140" s="29" t="n">
        <v>44953</v>
      </c>
      <c r="G1140" s="29" t="inlineStr">
        <is>
          <t>Fertagus</t>
        </is>
      </c>
      <c r="H1140" t="inlineStr">
        <is>
          <t>79A934ECD9DBDCDE</t>
        </is>
      </c>
      <c r="I1140">
        <f>IFERROR(_xlfn.IFNA(INDEX(Sensors_MANU!$C$2:$C$4692,MATCH($D1140,Sensors_MANU!$B$2:$B$4692,0)),INDEX(Sensors_MANU!$C$2:$C$4692,MATCH($P1140,Sensors_MANU!$A$2:$A$4692,0))),"")</f>
        <v/>
      </c>
      <c r="J1140">
        <f>IFERROR(_xlfn.IFNA(INDEX(Sensors_MANU!$D$2:$D$4692,MATCH($D1140,Sensors_MANU!$B$2:$B$4692,0)),INDEX(Sensors_MANU!$D$2:$D$4692,MATCH($P1140,Sensors_MANU!$A$2:$A$4692,0))),"")</f>
        <v/>
      </c>
      <c r="K1140" s="27" t="inlineStr">
        <is>
          <t>M3505</t>
        </is>
      </c>
      <c r="L1140" s="27" t="inlineStr">
        <is>
          <t>2R</t>
        </is>
      </c>
    </row>
    <row r="1141">
      <c r="A1141" s="32">
        <f>IFERROR(_xlfn.IFNA(INDEX(Sensors_MANU!$E$2:$E$4692,MATCH($D1141,Sensors_MANU!$B$2:$B$4692,0)),INDEX(Sensors_MANU!$E$2:$E$4692,MATCH($P1141,Sensors_MANU!$A$2:$A$4692,0))),"")</f>
        <v/>
      </c>
      <c r="B1141" s="24">
        <f>IFERROR(INDEX(Companies!$A$3:$A$101,MATCH(A1141,Companies!$B$3:$B$101,0)),"")</f>
        <v/>
      </c>
      <c r="D1141" t="inlineStr">
        <is>
          <t>D3077E74DB8E</t>
        </is>
      </c>
      <c r="E1141">
        <f>LEFT(D1141,2)&amp;":"&amp;MID(D1141,3,2)&amp;":"&amp;MID(D1141,5,2)&amp;":"&amp;MID(D1141,7,2)&amp;":"&amp;MID(D1141,9,2)&amp;":"&amp;RIGHT(D1141,2)</f>
        <v/>
      </c>
      <c r="F1141" s="29" t="n">
        <v>44938</v>
      </c>
      <c r="G1141" s="29" t="inlineStr">
        <is>
          <t>INTERFRACHT</t>
        </is>
      </c>
      <c r="H1141" t="inlineStr">
        <is>
          <t>3B066593B53AC4DC</t>
        </is>
      </c>
      <c r="I1141">
        <f>IFERROR(_xlfn.IFNA(INDEX(Sensors_MANU!$C$2:$C$4692,MATCH($D1141,Sensors_MANU!$B$2:$B$4692,0)),INDEX(Sensors_MANU!$C$2:$C$4692,MATCH($P1141,Sensors_MANU!$A$2:$A$4692,0))),"")</f>
        <v/>
      </c>
      <c r="J1141">
        <f>IFERROR(_xlfn.IFNA(INDEX(Sensors_MANU!$D$2:$D$4692,MATCH($D1141,Sensors_MANU!$B$2:$B$4692,0)),INDEX(Sensors_MANU!$D$2:$D$4692,MATCH($P1141,Sensors_MANU!$A$2:$A$4692,0))),"")</f>
        <v/>
      </c>
      <c r="K1141" s="28" t="inlineStr">
        <is>
          <t>33-54-076-2130-9</t>
        </is>
      </c>
      <c r="L1141" s="27" t="inlineStr">
        <is>
          <t>3R</t>
        </is>
      </c>
    </row>
    <row r="1142">
      <c r="A1142" s="32">
        <f>IFERROR(_xlfn.IFNA(INDEX(Sensors_MANU!$E$2:$E$4692,MATCH($D1142,Sensors_MANU!$B$2:$B$4692,0)),INDEX(Sensors_MANU!$E$2:$E$4692,MATCH($P1142,Sensors_MANU!$A$2:$A$4692,0))),"")</f>
        <v/>
      </c>
      <c r="B1142" s="24">
        <f>IFERROR(INDEX(Companies!$A$3:$A$101,MATCH(A1142,Companies!$B$3:$B$101,0)),"")</f>
        <v/>
      </c>
      <c r="C1142">
        <f>IFERROR(_xlfn.IFNA(INDEX(Sensors_MANU!$F$2:$F$4692,MATCH($D1142,Sensors_MANU!$B$2:$B$4692,0)),INDEX(Sensors_MANU!$F$2:$F$4692,MATCH($P1142,Sensors_MANU!$A$2:$A$4692,0))),"")</f>
        <v/>
      </c>
      <c r="D1142" s="50" t="inlineStr">
        <is>
          <t>FB63C4117E6B</t>
        </is>
      </c>
      <c r="E1142" s="24">
        <f>LEFT(D1142,2)&amp;":"&amp;MID(D1142,3,2)&amp;":"&amp;MID(D1142,5,2)&amp;":"&amp;MID(D1142,7,2)&amp;":"&amp;MID(D1142,9,2)&amp;":"&amp;RIGHT(D1142,2)</f>
        <v/>
      </c>
      <c r="F1142" s="29" t="n">
        <v>44910</v>
      </c>
      <c r="G1142" s="29" t="inlineStr">
        <is>
          <t>Viezo</t>
        </is>
      </c>
      <c r="H1142" s="26" t="inlineStr">
        <is>
          <t>75C13F86D0BF9768</t>
        </is>
      </c>
      <c r="I1142">
        <f>IFERROR(_xlfn.IFNA(INDEX(Sensors_MANU!$C$2:$C$4692,MATCH($D1142,Sensors_MANU!$B$2:$B$4692,0)),INDEX(Sensors_MANU!$C$2:$C$4692,MATCH($P1142,Sensors_MANU!$A$2:$A$4692,0))),"")</f>
        <v/>
      </c>
      <c r="J1142">
        <f>IFERROR(_xlfn.IFNA(INDEX(Sensors_MANU!$D$2:$D$4692,MATCH($D1142,Sensors_MANU!$B$2:$B$4692,0)),INDEX(Sensors_MANU!$D$2:$D$4692,MATCH($P1142,Sensors_MANU!$A$2:$A$4692,0))),"")</f>
        <v/>
      </c>
      <c r="K1142" s="27" t="inlineStr">
        <is>
          <t>33854956478-3</t>
        </is>
      </c>
      <c r="L1142" s="27" t="inlineStr">
        <is>
          <t>6b</t>
        </is>
      </c>
      <c r="M1142" s="61" t="inlineStr">
        <is>
          <t>88190296</t>
        </is>
      </c>
      <c r="O1142" s="6" t="inlineStr">
        <is>
          <t>V23</t>
        </is>
      </c>
    </row>
    <row r="1143">
      <c r="A1143" s="32">
        <f>IFERROR(_xlfn.IFNA(INDEX(Sensors_MANU!$E$2:$E$4692,MATCH($D1143,Sensors_MANU!$B$2:$B$4692,0)),INDEX(Sensors_MANU!$E$2:$E$4692,MATCH($P1143,Sensors_MANU!$A$2:$A$4692,0))),"")</f>
        <v/>
      </c>
      <c r="B1143" s="24">
        <f>IFERROR(INDEX(Companies!$A$3:$A$101,MATCH(A1143,Companies!$B$3:$B$101,0)),"")</f>
        <v/>
      </c>
      <c r="C1143">
        <f>IFERROR(_xlfn.IFNA(INDEX(Sensors_MANU!$F$2:$F$4692,MATCH($D1143,Sensors_MANU!$B$2:$B$4692,0)),INDEX(Sensors_MANU!$F$2:$F$4692,MATCH($P1143,Sensors_MANU!$A$2:$A$4692,0))),"")</f>
        <v/>
      </c>
      <c r="D1143" t="inlineStr">
        <is>
          <t>CB3BAA60ECE4</t>
        </is>
      </c>
      <c r="E1143">
        <f>LEFT(D1143,2)&amp;":"&amp;MID(D1143,3,2)&amp;":"&amp;MID(D1143,5,2)&amp;":"&amp;MID(D1143,7,2)&amp;":"&amp;MID(D1143,9,2)&amp;":"&amp;RIGHT(D1143,2)</f>
        <v/>
      </c>
      <c r="F1143" s="29" t="n">
        <v>44910</v>
      </c>
      <c r="G1143" s="29" t="inlineStr">
        <is>
          <t>Viezo</t>
        </is>
      </c>
      <c r="H1143" t="inlineStr">
        <is>
          <t>5FB85BCFD4BCFB8D</t>
        </is>
      </c>
      <c r="I1143">
        <f>IFERROR(_xlfn.IFNA(INDEX(Sensors_MANU!$C$2:$C$4692,MATCH($D1143,Sensors_MANU!$B$2:$B$4692,0)),INDEX(Sensors_MANU!$C$2:$C$4692,MATCH($P1143,Sensors_MANU!$A$2:$A$4692,0))),"")</f>
        <v/>
      </c>
      <c r="J1143">
        <f>IFERROR(_xlfn.IFNA(INDEX(Sensors_MANU!$D$2:$D$4692,MATCH($D1143,Sensors_MANU!$B$2:$B$4692,0)),INDEX(Sensors_MANU!$D$2:$D$4692,MATCH($P1143,Sensors_MANU!$A$2:$A$4692,0))),"")</f>
        <v/>
      </c>
      <c r="K1143" s="32" t="inlineStr">
        <is>
          <t>33854506221-2</t>
        </is>
      </c>
      <c r="L1143" s="32" t="inlineStr">
        <is>
          <t>3a</t>
        </is>
      </c>
      <c r="M1143" s="32" t="inlineStr">
        <is>
          <t>0 71284</t>
        </is>
      </c>
      <c r="N1143" s="99">
        <f>IFERROR(INDEX(Sensors_MANU!$G$2:$G$4692,MATCH($P1143,Sensors_MANU!$A$2:$A$4692,0)),)</f>
        <v/>
      </c>
      <c r="O1143" s="6" t="inlineStr">
        <is>
          <t>v15</t>
        </is>
      </c>
      <c r="P1143" t="n">
        <v>4978897</v>
      </c>
    </row>
    <row r="1144">
      <c r="A1144" s="32">
        <f>IFERROR(_xlfn.IFNA(INDEX(Sensors_MANU!$E$2:$E$4692,MATCH($D1144,Sensors_MANU!$B$2:$B$4692,0)),INDEX(Sensors_MANU!$E$2:$E$4692,MATCH($P1144,Sensors_MANU!$A$2:$A$4692,0))),"")</f>
        <v/>
      </c>
      <c r="B1144" s="24">
        <f>IFERROR(INDEX(Companies!$A$3:$A$101,MATCH(A1144,Companies!$B$3:$B$101,0)),"")</f>
        <v/>
      </c>
      <c r="C1144" t="inlineStr">
        <is>
          <t>cargo</t>
        </is>
      </c>
      <c r="D1144" t="inlineStr">
        <is>
          <t>EB550B8F347E</t>
        </is>
      </c>
      <c r="E1144">
        <f>LEFT(D1144,2)&amp;":"&amp;MID(D1144,3,2)&amp;":"&amp;MID(D1144,5,2)&amp;":"&amp;MID(D1144,7,2)&amp;":"&amp;MID(D1144,9,2)&amp;":"&amp;RIGHT(D1144,2)</f>
        <v/>
      </c>
      <c r="F1144" s="29" t="n">
        <v>44910</v>
      </c>
      <c r="G1144" s="29" t="inlineStr">
        <is>
          <t>Viezo</t>
        </is>
      </c>
      <c r="H1144" t="inlineStr">
        <is>
          <t>EFDA4978909DB07D</t>
        </is>
      </c>
      <c r="I1144" s="6">
        <f>IFERROR(_xlfn.IFNA(INDEX(Sensors_MANU!$C$2:$C$4692,MATCH($D1144,Sensors_MANU!$B$2:$B$4692,0)),INDEX(Sensors_MANU!$C$2:$C$4692,MATCH($P1144,Sensors_MANU!$A$2:$A$4692,0))),"")</f>
        <v/>
      </c>
      <c r="J1144">
        <f>IFERROR(_xlfn.IFNA(INDEX(Sensors_MANU!$D$2:$D$4692,MATCH($D1144,Sensors_MANU!$B$2:$B$4692,0)),INDEX(Sensors_MANU!$D$2:$D$4692,MATCH($P1144,Sensors_MANU!$A$2:$A$4692,0))),"")</f>
        <v/>
      </c>
      <c r="K1144" s="27" t="inlineStr">
        <is>
          <t>33854956478-3</t>
        </is>
      </c>
      <c r="L1144" s="27" t="inlineStr">
        <is>
          <t>10b</t>
        </is>
      </c>
      <c r="M1144" s="27" t="n">
        <v>88190528</v>
      </c>
      <c r="N1144" s="99">
        <f>IFERROR(INDEX(Sensors_MANU!$G$2:$G$4692,MATCH($P1144,Sensors_MANU!$A$2:$A$4692,0)),)</f>
        <v/>
      </c>
      <c r="O1144" s="6" t="inlineStr">
        <is>
          <t>v15</t>
        </is>
      </c>
      <c r="P1144" t="n">
        <v>4978690</v>
      </c>
    </row>
    <row r="1145">
      <c r="A1145" s="32">
        <f>IFERROR(_xlfn.IFNA(INDEX(Sensors_MANU!$E$2:$E$4692,MATCH($D1145,Sensors_MANU!$B$2:$B$4692,0)),INDEX(Sensors_MANU!$E$2:$E$4692,MATCH($P1145,Sensors_MANU!$A$2:$A$4692,0))),"")</f>
        <v/>
      </c>
      <c r="B1145" s="24">
        <f>IFERROR(INDEX(Companies!$A$3:$A$101,MATCH(A1145,Companies!$B$3:$B$101,0)),"")</f>
        <v/>
      </c>
      <c r="C1145">
        <f>IFERROR(_xlfn.IFNA(INDEX(Sensors_MANU!$F$2:$F$4692,MATCH($D1145,Sensors_MANU!$B$2:$B$4692,0)),INDEX(Sensors_MANU!$F$2:$F$4692,MATCH($P1145,Sensors_MANU!$A$2:$A$4692,0))),"")</f>
        <v/>
      </c>
      <c r="D1145" t="inlineStr">
        <is>
          <t>DECEB8A1E278</t>
        </is>
      </c>
      <c r="E1145" s="24">
        <f>LEFT(D1145,2)&amp;":"&amp;MID(D1145,3,2)&amp;":"&amp;MID(D1145,5,2)&amp;":"&amp;MID(D1145,7,2)&amp;":"&amp;MID(D1145,9,2)&amp;":"&amp;RIGHT(D1145,2)</f>
        <v/>
      </c>
      <c r="F1145" s="29" t="n">
        <v>44910</v>
      </c>
      <c r="G1145" s="29" t="inlineStr">
        <is>
          <t>Viezo</t>
        </is>
      </c>
      <c r="H1145" t="inlineStr">
        <is>
          <t>A152AB26798CE23C</t>
        </is>
      </c>
      <c r="I1145">
        <f>IFERROR(_xlfn.IFNA(INDEX(Sensors_MANU!$C$2:$C$4692,MATCH($D1145,Sensors_MANU!$B$2:$B$4692,0)),INDEX(Sensors_MANU!$C$2:$C$4692,MATCH($P1145,Sensors_MANU!$A$2:$A$4692,0))),"")</f>
        <v/>
      </c>
      <c r="J1145">
        <f>IFERROR(_xlfn.IFNA(INDEX(Sensors_MANU!$D$2:$D$4692,MATCH($D1145,Sensors_MANU!$B$2:$B$4692,0)),INDEX(Sensors_MANU!$D$2:$D$4692,MATCH($P1145,Sensors_MANU!$A$2:$A$4692,0))),"")</f>
        <v/>
      </c>
      <c r="K1145" s="27" t="inlineStr">
        <is>
          <t>33854956478-3</t>
        </is>
      </c>
      <c r="L1145" s="27" t="inlineStr">
        <is>
          <t>7a</t>
        </is>
      </c>
      <c r="M1145" s="61" t="inlineStr">
        <is>
          <t>88190507</t>
        </is>
      </c>
      <c r="O1145" s="6" t="inlineStr">
        <is>
          <t>V25</t>
        </is>
      </c>
    </row>
    <row r="1146">
      <c r="B1146" s="24">
        <f>IFERROR(INDEX(Companies!$A$3:$A$101,MATCH(A1146,Companies!$B$3:$B$101,0)),"")</f>
        <v/>
      </c>
      <c r="C1146">
        <f>IFERROR(_xlfn.IFNA(INDEX(Sensors_MANU!$F$2:$F$4692,MATCH($D1146,Sensors_MANU!$B$2:$B$4692,0)),INDEX(Sensors_MANU!$F$2:$F$4692,MATCH($P1146,Sensors_MANU!$A$2:$A$4692,0))),"")</f>
        <v/>
      </c>
      <c r="D1146" t="inlineStr">
        <is>
          <t>F402B25BCB1F</t>
        </is>
      </c>
      <c r="E1146" s="24">
        <f>LEFT(D1146,2)&amp;":"&amp;MID(D1146,3,2)&amp;":"&amp;MID(D1146,5,2)&amp;":"&amp;MID(D1146,7,2)&amp;":"&amp;MID(D1146,9,2)&amp;":"&amp;RIGHT(D1146,2)</f>
        <v/>
      </c>
      <c r="H1146" t="inlineStr">
        <is>
          <t>723BD803A4B5306A</t>
        </is>
      </c>
      <c r="I1146">
        <f>IFERROR(_xlfn.IFNA(INDEX(Sensors_MANU!$C$2:$C$4692,MATCH($D1146,Sensors_MANU!$B$2:$B$4692,0)),INDEX(Sensors_MANU!$C$2:$C$4692,MATCH($P1146,Sensors_MANU!$A$2:$A$4692,0))),"")</f>
        <v/>
      </c>
      <c r="J1146">
        <f>IFERROR(_xlfn.IFNA(INDEX(Sensors_MANU!$D$2:$D$4692,MATCH($D1146,Sensors_MANU!$B$2:$B$4692,0)),INDEX(Sensors_MANU!$D$2:$D$4692,MATCH($P1146,Sensors_MANU!$A$2:$A$4692,0))),"")</f>
        <v/>
      </c>
      <c r="O1146" s="6" t="inlineStr">
        <is>
          <t>V25</t>
        </is>
      </c>
    </row>
    <row r="1147">
      <c r="A1147" s="32">
        <f>IFERROR(_xlfn.IFNA(INDEX(Sensors_MANU!$E$2:$E$4692,MATCH($D1147,Sensors_MANU!$B$2:$B$4692,0)),INDEX(Sensors_MANU!$E$2:$E$4692,MATCH($P1147,Sensors_MANU!$A$2:$A$4692,0))),"")</f>
        <v/>
      </c>
      <c r="B1147" s="24">
        <f>IFERROR(INDEX(Companies!$A$3:$A$101,MATCH(A1147,Companies!$B$3:$B$101,0)),"")</f>
        <v/>
      </c>
      <c r="D1147" t="inlineStr">
        <is>
          <t>EE19365A0EAB</t>
        </is>
      </c>
      <c r="E1147">
        <f>LEFT(D1147,2)&amp;":"&amp;MID(D1147,3,2)&amp;":"&amp;MID(D1147,5,2)&amp;":"&amp;MID(D1147,7,2)&amp;":"&amp;MID(D1147,9,2)&amp;":"&amp;RIGHT(D1147,2)</f>
        <v/>
      </c>
      <c r="F1147" s="29" t="n">
        <v>44910</v>
      </c>
      <c r="G1147" s="29" t="inlineStr">
        <is>
          <t>Viezo</t>
        </is>
      </c>
      <c r="H1147" t="inlineStr">
        <is>
          <t>D3B020EE9D4FF5D0</t>
        </is>
      </c>
      <c r="I1147">
        <f>IFERROR(_xlfn.IFNA(INDEX(Sensors_MANU!$C$2:$C$4692,MATCH($D1147,Sensors_MANU!$B$2:$B$4692,0)),INDEX(Sensors_MANU!$C$2:$C$4692,MATCH($P1147,Sensors_MANU!$A$2:$A$4692,0))),"")</f>
        <v/>
      </c>
      <c r="J1147">
        <f>IFERROR(_xlfn.IFNA(INDEX(Sensors_MANU!$D$2:$D$4692,MATCH($D1147,Sensors_MANU!$B$2:$B$4692,0)),INDEX(Sensors_MANU!$D$2:$D$4692,MATCH($P1147,Sensors_MANU!$A$2:$A$4692,0))),"")</f>
        <v/>
      </c>
      <c r="K1147" s="27" t="inlineStr">
        <is>
          <t>33854956699-4</t>
        </is>
      </c>
      <c r="L1147" s="27" t="inlineStr">
        <is>
          <t>12b</t>
        </is>
      </c>
      <c r="M1147" s="61" t="inlineStr">
        <is>
          <t>88220127</t>
        </is>
      </c>
    </row>
    <row r="1148">
      <c r="A1148" s="32">
        <f>IFERROR(_xlfn.IFNA(INDEX(Sensors_MANU!$E$2:$E$4692,MATCH($D1148,Sensors_MANU!$B$2:$B$4692,0)),INDEX(Sensors_MANU!$E$2:$E$4692,MATCH($P1148,Sensors_MANU!$A$2:$A$4692,0))),"")</f>
        <v/>
      </c>
      <c r="B1148" s="24">
        <f>IFERROR(INDEX(Companies!$A$3:$A$101,MATCH(A1148,Companies!$B$3:$B$101,0)),"")</f>
        <v/>
      </c>
      <c r="D1148" t="inlineStr">
        <is>
          <t>F2C74C43CE11</t>
        </is>
      </c>
      <c r="E1148">
        <f>LEFT(D1148,2)&amp;":"&amp;MID(D1148,3,2)&amp;":"&amp;MID(D1148,5,2)&amp;":"&amp;MID(D1148,7,2)&amp;":"&amp;MID(D1148,9,2)&amp;":"&amp;RIGHT(D1148,2)</f>
        <v/>
      </c>
      <c r="F1148" s="29" t="n">
        <v>44953</v>
      </c>
      <c r="G1148" s="29" t="inlineStr">
        <is>
          <t>Fertagus</t>
        </is>
      </c>
      <c r="H1148" t="inlineStr">
        <is>
          <t>60321E59A1775F46</t>
        </is>
      </c>
      <c r="I1148">
        <f>IFERROR(_xlfn.IFNA(INDEX(Sensors_MANU!$C$2:$C$4692,MATCH($D1148,Sensors_MANU!$B$2:$B$4692,0)),INDEX(Sensors_MANU!$C$2:$C$4692,MATCH($P1148,Sensors_MANU!$A$2:$A$4692,0))),"")</f>
        <v/>
      </c>
      <c r="J1148">
        <f>IFERROR(_xlfn.IFNA(INDEX(Sensors_MANU!$D$2:$D$4692,MATCH($D1148,Sensors_MANU!$B$2:$B$4692,0)),INDEX(Sensors_MANU!$D$2:$D$4692,MATCH($P1148,Sensors_MANU!$A$2:$A$4692,0))),"")</f>
        <v/>
      </c>
      <c r="K1148" s="27" t="inlineStr">
        <is>
          <t>R3505</t>
        </is>
      </c>
      <c r="L1148" s="27" t="inlineStr">
        <is>
          <t>1L</t>
        </is>
      </c>
    </row>
    <row r="1149">
      <c r="A1149" s="32">
        <f>IFERROR(_xlfn.IFNA(INDEX(Sensors_MANU!$E$2:$E$4692,MATCH($D1149,Sensors_MANU!$B$2:$B$4692,0)),INDEX(Sensors_MANU!$E$2:$E$4692,MATCH($P1149,Sensors_MANU!$A$2:$A$4692,0))),"")</f>
        <v/>
      </c>
      <c r="B1149" s="24">
        <f>IFERROR(INDEX(Companies!$A$3:$A$101,MATCH(A1149,Companies!$B$3:$B$101,0)),"")</f>
        <v/>
      </c>
      <c r="D1149" t="inlineStr">
        <is>
          <t>EB55961D2334</t>
        </is>
      </c>
      <c r="E1149">
        <f>LEFT(D1149,2)&amp;":"&amp;MID(D1149,3,2)&amp;":"&amp;MID(D1149,5,2)&amp;":"&amp;MID(D1149,7,2)&amp;":"&amp;MID(D1149,9,2)&amp;":"&amp;RIGHT(D1149,2)</f>
        <v/>
      </c>
      <c r="H1149" s="7" t="inlineStr">
        <is>
          <t>1F9E8D78DBA01A19</t>
        </is>
      </c>
      <c r="I1149">
        <f>IFERROR(_xlfn.IFNA(INDEX(Sensors_MANU!$C$2:$C$4692,MATCH($D1149,Sensors_MANU!$B$2:$B$4692,0)),INDEX(Sensors_MANU!$C$2:$C$4692,MATCH($P1149,Sensors_MANU!$A$2:$A$4692,0))),"")</f>
        <v/>
      </c>
      <c r="J1149">
        <f>IFERROR(_xlfn.IFNA(INDEX(Sensors_MANU!$D$2:$D$4692,MATCH($D1149,Sensors_MANU!$B$2:$B$4692,0)),INDEX(Sensors_MANU!$D$2:$D$4692,MATCH($P1149,Sensors_MANU!$A$2:$A$4692,0))),"")</f>
        <v/>
      </c>
      <c r="K1149" s="27" t="inlineStr">
        <is>
          <t>BAH103</t>
        </is>
      </c>
      <c r="L1149" s="27" t="inlineStr">
        <is>
          <t>2R</t>
        </is>
      </c>
    </row>
    <row r="1150">
      <c r="A1150" s="32">
        <f>IFERROR(_xlfn.IFNA(INDEX(Sensors_MANU!$E$2:$E$4692,MATCH($D1150,Sensors_MANU!$B$2:$B$4692,0)),INDEX(Sensors_MANU!$E$2:$E$4692,MATCH($P1150,Sensors_MANU!$A$2:$A$4692,0))),"")</f>
        <v/>
      </c>
      <c r="B1150" s="24">
        <f>IFERROR(INDEX(Companies!$A$3:$A$101,MATCH(A1150,Companies!$B$3:$B$101,0)),"")</f>
        <v/>
      </c>
      <c r="C1150">
        <f>IFERROR(_xlfn.IFNA(INDEX(Sensors_MANU!$F$2:$F$4692,MATCH($D1150,Sensors_MANU!$B$2:$B$4692,0)),INDEX(Sensors_MANU!$F$2:$F$4692,MATCH($P1150,Sensors_MANU!$A$2:$A$4692,0))),"")</f>
        <v/>
      </c>
      <c r="D1150" t="inlineStr">
        <is>
          <t>CFD6E41D547C</t>
        </is>
      </c>
      <c r="E1150" s="24">
        <f>LEFT(D1150,2)&amp;":"&amp;MID(D1150,3,2)&amp;":"&amp;MID(D1150,5,2)&amp;":"&amp;MID(D1150,7,2)&amp;":"&amp;MID(D1150,9,2)&amp;":"&amp;RIGHT(D1150,2)</f>
        <v/>
      </c>
      <c r="F1150" s="29" t="n">
        <v>44918</v>
      </c>
      <c r="G1150" s="29" t="inlineStr">
        <is>
          <t>Hupac</t>
        </is>
      </c>
      <c r="H1150" t="inlineStr">
        <is>
          <t>7F160BF5F9246A9E</t>
        </is>
      </c>
      <c r="I1150">
        <f>IFERROR(_xlfn.IFNA(INDEX(Sensors_MANU!$C$2:$C$4692,MATCH($D1150,Sensors_MANU!$B$2:$B$4692,0)),INDEX(Sensors_MANU!$C$2:$C$4692,MATCH($P1150,Sensors_MANU!$A$2:$A$4692,0))),"")</f>
        <v/>
      </c>
      <c r="J1150">
        <f>IFERROR(_xlfn.IFNA(INDEX(Sensors_MANU!$D$2:$D$4692,MATCH($D1150,Sensors_MANU!$B$2:$B$4692,0)),INDEX(Sensors_MANU!$D$2:$D$4692,MATCH($P1150,Sensors_MANU!$A$2:$A$4692,0))),"")</f>
        <v/>
      </c>
      <c r="K1150" s="27" t="inlineStr">
        <is>
          <t>33854556814-3</t>
        </is>
      </c>
      <c r="L1150" s="27" t="inlineStr">
        <is>
          <t>2b</t>
        </is>
      </c>
      <c r="M1150" s="61" t="inlineStr">
        <is>
          <t>88160550</t>
        </is>
      </c>
      <c r="O1150" s="6" t="inlineStr">
        <is>
          <t>V24</t>
        </is>
      </c>
    </row>
    <row r="1151">
      <c r="A1151" s="32">
        <f>IFERROR(_xlfn.IFNA(INDEX(Sensors_MANU!$E$2:$E$4692,MATCH($D1151,Sensors_MANU!$B$2:$B$4692,0)),INDEX(Sensors_MANU!$E$2:$E$4692,MATCH($P1151,Sensors_MANU!$A$2:$A$4692,0))),"")</f>
        <v/>
      </c>
      <c r="B1151" s="24">
        <f>IFERROR(INDEX(Companies!$A$3:$A$101,MATCH(A1151,Companies!$B$3:$B$101,0)),"")</f>
        <v/>
      </c>
      <c r="D1151" t="inlineStr">
        <is>
          <t>F3997C540954</t>
        </is>
      </c>
      <c r="E1151">
        <f>LEFT(D1151,2)&amp;":"&amp;MID(D1151,3,2)&amp;":"&amp;MID(D1151,5,2)&amp;":"&amp;MID(D1151,7,2)&amp;":"&amp;MID(D1151,9,2)&amp;":"&amp;RIGHT(D1151,2)</f>
        <v/>
      </c>
      <c r="F1151" s="29" t="n">
        <v>44938</v>
      </c>
      <c r="G1151" s="29" t="inlineStr">
        <is>
          <t>INTERFRACHT</t>
        </is>
      </c>
      <c r="H1151" t="inlineStr">
        <is>
          <t>857B2D0C8A6628B9</t>
        </is>
      </c>
      <c r="I1151">
        <f>IFERROR(_xlfn.IFNA(INDEX(Sensors_MANU!$C$2:$C$4692,MATCH($D1151,Sensors_MANU!$B$2:$B$4692,0)),INDEX(Sensors_MANU!$C$2:$C$4692,MATCH($P1151,Sensors_MANU!$A$2:$A$4692,0))),"")</f>
        <v/>
      </c>
      <c r="J1151">
        <f>IFERROR(_xlfn.IFNA(INDEX(Sensors_MANU!$D$2:$D$4692,MATCH($D1151,Sensors_MANU!$B$2:$B$4692,0)),INDEX(Sensors_MANU!$D$2:$D$4692,MATCH($P1151,Sensors_MANU!$A$2:$A$4692,0))),"")</f>
        <v/>
      </c>
      <c r="K1151" s="28" t="inlineStr">
        <is>
          <t>33-54-076-2130-9</t>
        </is>
      </c>
      <c r="L1151" s="27" t="inlineStr">
        <is>
          <t>1L</t>
        </is>
      </c>
    </row>
    <row r="1152">
      <c r="A1152" s="32">
        <f>IFERROR(_xlfn.IFNA(INDEX(Sensors_MANU!$E$2:$E$4692,MATCH($D1152,Sensors_MANU!$B$2:$B$4692,0)),INDEX(Sensors_MANU!$E$2:$E$4692,MATCH($P1152,Sensors_MANU!$A$2:$A$4692,0))),"")</f>
        <v/>
      </c>
      <c r="B1152" s="24">
        <f>IFERROR(INDEX(Companies!$A$3:$A$101,MATCH(A1152,Companies!$B$3:$B$101,0)),"")</f>
        <v/>
      </c>
      <c r="D1152" t="inlineStr">
        <is>
          <t>F51A0607DF34</t>
        </is>
      </c>
      <c r="E1152">
        <f>LEFT(D1152,2)&amp;":"&amp;MID(D1152,3,2)&amp;":"&amp;MID(D1152,5,2)&amp;":"&amp;MID(D1152,7,2)&amp;":"&amp;MID(D1152,9,2)&amp;":"&amp;RIGHT(D1152,2)</f>
        <v/>
      </c>
      <c r="H1152" t="inlineStr">
        <is>
          <t>01FD2E4EC923CDE7</t>
        </is>
      </c>
      <c r="I1152">
        <f>IFERROR(_xlfn.IFNA(INDEX(Sensors_MANU!$C$2:$C$4692,MATCH($D1152,Sensors_MANU!$B$2:$B$4692,0)),INDEX(Sensors_MANU!$C$2:$C$4692,MATCH($P1152,Sensors_MANU!$A$2:$A$4692,0))),"")</f>
        <v/>
      </c>
      <c r="J1152">
        <f>IFERROR(_xlfn.IFNA(INDEX(Sensors_MANU!$D$2:$D$4692,MATCH($D1152,Sensors_MANU!$B$2:$B$4692,0)),INDEX(Sensors_MANU!$D$2:$D$4692,MATCH($P1152,Sensors_MANU!$A$2:$A$4692,0))),"")</f>
        <v/>
      </c>
      <c r="K1152" s="27" t="inlineStr">
        <is>
          <t>BAH101</t>
        </is>
      </c>
      <c r="L1152" s="27" t="inlineStr">
        <is>
          <t>1R</t>
        </is>
      </c>
    </row>
    <row r="1153">
      <c r="A1153" s="32">
        <f>IFERROR(_xlfn.IFNA(INDEX(Sensors_MANU!$E$2:$E$4692,MATCH($D1153,Sensors_MANU!$B$2:$B$4692,0)),INDEX(Sensors_MANU!$E$2:$E$4692,MATCH($P1153,Sensors_MANU!$A$2:$A$4692,0))),"")</f>
        <v/>
      </c>
      <c r="B1153" s="24">
        <f>IFERROR(INDEX(Companies!$A$3:$A$101,MATCH(A1153,Companies!$B$3:$B$101,0)),"")</f>
        <v/>
      </c>
      <c r="C1153">
        <f>IFERROR(_xlfn.IFNA(INDEX(Sensors_MANU!$F$2:$F$4692,MATCH($D1153,Sensors_MANU!$B$2:$B$4692,0)),INDEX(Sensors_MANU!$F$2:$F$4692,MATCH($P1153,Sensors_MANU!$A$2:$A$4692,0))),"")</f>
        <v/>
      </c>
      <c r="D1153" t="inlineStr">
        <is>
          <t>E12DC9F9A271</t>
        </is>
      </c>
      <c r="E1153">
        <f>LEFT(D1153,2)&amp;":"&amp;MID(D1153,3,2)&amp;":"&amp;MID(D1153,5,2)&amp;":"&amp;MID(D1153,7,2)&amp;":"&amp;MID(D1153,9,2)&amp;":"&amp;RIGHT(D1153,2)</f>
        <v/>
      </c>
      <c r="F1153" s="29" t="n">
        <v>44938</v>
      </c>
      <c r="G1153" s="29" t="inlineStr">
        <is>
          <t>INTERFRACHT</t>
        </is>
      </c>
      <c r="H1153" t="inlineStr">
        <is>
          <t>A40D743F53BE0C83</t>
        </is>
      </c>
      <c r="I1153">
        <f>IFERROR(_xlfn.IFNA(INDEX(Sensors_MANU!$C$2:$C$4692,MATCH($D1153,Sensors_MANU!$B$2:$B$4692,0)),INDEX(Sensors_MANU!$C$2:$C$4692,MATCH($P1153,Sensors_MANU!$A$2:$A$4692,0))),"")</f>
        <v/>
      </c>
      <c r="J1153">
        <f>IFERROR(_xlfn.IFNA(INDEX(Sensors_MANU!$D$2:$D$4692,MATCH($D1153,Sensors_MANU!$B$2:$B$4692,0)),INDEX(Sensors_MANU!$D$2:$D$4692,MATCH($P1153,Sensors_MANU!$A$2:$A$4692,0))),"")</f>
        <v/>
      </c>
      <c r="K1153" s="28" t="inlineStr">
        <is>
          <t>33-54-076-2130-9</t>
        </is>
      </c>
      <c r="L1153" s="27" t="inlineStr">
        <is>
          <t>3L</t>
        </is>
      </c>
      <c r="M1153" s="27" t="n"/>
      <c r="N1153" s="99">
        <f>IFERROR(INDEX(Sensors_MANU!$G$2:$G$4692,MATCH($P1153,Sensors_MANU!$A$2:$A$4692,0)),)</f>
        <v/>
      </c>
      <c r="O1153" s="6" t="inlineStr">
        <is>
          <t>v16</t>
        </is>
      </c>
      <c r="P1153" t="n">
        <v>4978868</v>
      </c>
    </row>
    <row r="1154">
      <c r="D1154" t="inlineStr">
        <is>
          <t>FF5E70215C66</t>
        </is>
      </c>
      <c r="E1154">
        <f>LEFT(D1154,2)&amp;":"&amp;MID(D1154,3,2)&amp;":"&amp;MID(D1154,5,2)&amp;":"&amp;MID(D1154,7,2)&amp;":"&amp;MID(D1154,9,2)&amp;":"&amp;RIGHT(D1154,2)</f>
        <v/>
      </c>
      <c r="H1154" t="inlineStr">
        <is>
          <t>273D94849FD2875C</t>
        </is>
      </c>
      <c r="I1154">
        <f>IFERROR(_xlfn.IFNA(INDEX(Sensors_MANU!$C$2:$C$4692,MATCH($D1154,Sensors_MANU!$B$2:$B$4692,0)),INDEX(Sensors_MANU!$C$2:$C$4692,MATCH($P1154,Sensors_MANU!$A$2:$A$4692,0))),"")</f>
        <v/>
      </c>
      <c r="J1154" t="inlineStr">
        <is>
          <t>PR2303-001</t>
        </is>
      </c>
    </row>
    <row r="1155">
      <c r="D1155" t="inlineStr">
        <is>
          <t>D7A64F88D457</t>
        </is>
      </c>
      <c r="E1155">
        <f>LEFT(D1155,2)&amp;":"&amp;MID(D1155,3,2)&amp;":"&amp;MID(D1155,5,2)&amp;":"&amp;MID(D1155,7,2)&amp;":"&amp;MID(D1155,9,2)&amp;":"&amp;RIGHT(D1155,2)</f>
        <v/>
      </c>
      <c r="H1155" t="inlineStr">
        <is>
          <t>1375BFA5A5AB3922</t>
        </is>
      </c>
      <c r="I1155">
        <f>IFERROR(_xlfn.IFNA(INDEX(Sensors_MANU!$C$2:$C$4692,MATCH($D1155,Sensors_MANU!$B$2:$B$4692,0)),INDEX(Sensors_MANU!$C$2:$C$4692,MATCH($P1155,Sensors_MANU!$A$2:$A$4692,0))),"")</f>
        <v/>
      </c>
      <c r="J1155" t="inlineStr">
        <is>
          <t>PR2303-002</t>
        </is>
      </c>
    </row>
    <row r="1156">
      <c r="D1156" t="inlineStr">
        <is>
          <t>C86340E421C3</t>
        </is>
      </c>
      <c r="E1156">
        <f>LEFT(D1156,2)&amp;":"&amp;MID(D1156,3,2)&amp;":"&amp;MID(D1156,5,2)&amp;":"&amp;MID(D1156,7,2)&amp;":"&amp;MID(D1156,9,2)&amp;":"&amp;RIGHT(D1156,2)</f>
        <v/>
      </c>
      <c r="H1156" s="18" t="inlineStr">
        <is>
          <t>7E663EB284E3C4B3</t>
        </is>
      </c>
      <c r="I1156">
        <f>IFERROR(_xlfn.IFNA(INDEX(Sensors_MANU!$C$2:$C$4692,MATCH($D1156,Sensors_MANU!$B$2:$B$4692,0)),INDEX(Sensors_MANU!$C$2:$C$4692,MATCH($P1156,Sensors_MANU!$A$2:$A$4692,0))),"")</f>
        <v/>
      </c>
      <c r="J1156" t="inlineStr">
        <is>
          <t>PR2303-003</t>
        </is>
      </c>
    </row>
    <row r="1157">
      <c r="D1157" t="inlineStr">
        <is>
          <t>C388B2D31901</t>
        </is>
      </c>
      <c r="E1157">
        <f>LEFT(D1157,2)&amp;":"&amp;MID(D1157,3,2)&amp;":"&amp;MID(D1157,5,2)&amp;":"&amp;MID(D1157,7,2)&amp;":"&amp;MID(D1157,9,2)&amp;":"&amp;RIGHT(D1157,2)</f>
        <v/>
      </c>
      <c r="H1157" t="inlineStr">
        <is>
          <t>5F38CFF38971B490</t>
        </is>
      </c>
      <c r="I1157">
        <f>IFERROR(_xlfn.IFNA(INDEX(Sensors_MANU!$C$2:$C$4692,MATCH($D1157,Sensors_MANU!$B$2:$B$4692,0)),INDEX(Sensors_MANU!$C$2:$C$4692,MATCH($P1157,Sensors_MANU!$A$2:$A$4692,0))),"")</f>
        <v/>
      </c>
      <c r="J1157" t="inlineStr">
        <is>
          <t>PR2303-004</t>
        </is>
      </c>
    </row>
    <row r="1158">
      <c r="D1158" t="inlineStr">
        <is>
          <t>F4C64C97D9CA</t>
        </is>
      </c>
      <c r="E1158">
        <f>LEFT(D1158,2)&amp;":"&amp;MID(D1158,3,2)&amp;":"&amp;MID(D1158,5,2)&amp;":"&amp;MID(D1158,7,2)&amp;":"&amp;MID(D1158,9,2)&amp;":"&amp;RIGHT(D1158,2)</f>
        <v/>
      </c>
      <c r="H1158" t="inlineStr">
        <is>
          <t>6D219010012F792F</t>
        </is>
      </c>
      <c r="I1158">
        <f>IFERROR(_xlfn.IFNA(INDEX(Sensors_MANU!$C$2:$C$4692,MATCH($D1158,Sensors_MANU!$B$2:$B$4692,0)),INDEX(Sensors_MANU!$C$2:$C$4692,MATCH($P1158,Sensors_MANU!$A$2:$A$4692,0))),"")</f>
        <v/>
      </c>
      <c r="J1158" t="inlineStr">
        <is>
          <t>PR2303-005</t>
        </is>
      </c>
    </row>
    <row r="1159">
      <c r="D1159" t="inlineStr">
        <is>
          <t>CC3E51C8B56A</t>
        </is>
      </c>
      <c r="E1159">
        <f>LEFT(D1159,2)&amp;":"&amp;MID(D1159,3,2)&amp;":"&amp;MID(D1159,5,2)&amp;":"&amp;MID(D1159,7,2)&amp;":"&amp;MID(D1159,9,2)&amp;":"&amp;RIGHT(D1159,2)</f>
        <v/>
      </c>
      <c r="H1159" t="inlineStr">
        <is>
          <t>FAE1E14036EF99EB</t>
        </is>
      </c>
      <c r="I1159">
        <f>IFERROR(_xlfn.IFNA(INDEX(Sensors_MANU!$C$2:$C$4692,MATCH($D1159,Sensors_MANU!$B$2:$B$4692,0)),INDEX(Sensors_MANU!$C$2:$C$4692,MATCH($P1159,Sensors_MANU!$A$2:$A$4692,0))),"")</f>
        <v/>
      </c>
      <c r="J1159" t="inlineStr">
        <is>
          <t>PR2303-006</t>
        </is>
      </c>
    </row>
    <row r="1160">
      <c r="D1160" t="inlineStr">
        <is>
          <t>EC7A0E62CD90</t>
        </is>
      </c>
      <c r="E1160">
        <f>LEFT(D1160,2)&amp;":"&amp;MID(D1160,3,2)&amp;":"&amp;MID(D1160,5,2)&amp;":"&amp;MID(D1160,7,2)&amp;":"&amp;MID(D1160,9,2)&amp;":"&amp;RIGHT(D1160,2)</f>
        <v/>
      </c>
      <c r="H1160" t="inlineStr">
        <is>
          <t>687D5F475FCFC771</t>
        </is>
      </c>
      <c r="I1160">
        <f>IFERROR(_xlfn.IFNA(INDEX(Sensors_MANU!$C$2:$C$4692,MATCH($D1160,Sensors_MANU!$B$2:$B$4692,0)),INDEX(Sensors_MANU!$C$2:$C$4692,MATCH($P1160,Sensors_MANU!$A$2:$A$4692,0))),"")</f>
        <v/>
      </c>
      <c r="J1160" t="inlineStr">
        <is>
          <t>PR2303-007</t>
        </is>
      </c>
    </row>
    <row r="1161">
      <c r="D1161" t="inlineStr">
        <is>
          <t>F105D96E99EA</t>
        </is>
      </c>
      <c r="E1161">
        <f>LEFT(D1161,2)&amp;":"&amp;MID(D1161,3,2)&amp;":"&amp;MID(D1161,5,2)&amp;":"&amp;MID(D1161,7,2)&amp;":"&amp;MID(D1161,9,2)&amp;":"&amp;RIGHT(D1161,2)</f>
        <v/>
      </c>
      <c r="H1161" t="inlineStr">
        <is>
          <t>6EAEC21B19F44EAD</t>
        </is>
      </c>
      <c r="I1161">
        <f>IFERROR(_xlfn.IFNA(INDEX(Sensors_MANU!$C$2:$C$4692,MATCH($D1161,Sensors_MANU!$B$2:$B$4692,0)),INDEX(Sensors_MANU!$C$2:$C$4692,MATCH($P1161,Sensors_MANU!$A$2:$A$4692,0))),"")</f>
        <v/>
      </c>
      <c r="J1161" t="inlineStr">
        <is>
          <t>PR2303-008</t>
        </is>
      </c>
    </row>
    <row r="1162">
      <c r="A1162" s="32">
        <f>IFERROR(_xlfn.IFNA(INDEX(Sensors_MANU!$E$2:$E$4692,MATCH($D1162,Sensors_MANU!$B$2:$B$4692,0)),INDEX(Sensors_MANU!$E$2:$E$4692,MATCH($P1162,Sensors_MANU!$A$2:$A$4692,0))),"")</f>
        <v/>
      </c>
      <c r="B1162">
        <f>IFERROR(INDEX(Companies!$A$3:$A$101,MATCH(A1162,Companies!$B$3:$B$101,0)),"")</f>
        <v/>
      </c>
      <c r="D1162" t="inlineStr">
        <is>
          <t>D75A8588F893</t>
        </is>
      </c>
      <c r="E1162" s="24">
        <f>LEFT(D1162,2)&amp;":"&amp;MID(D1162,3,2)&amp;":"&amp;MID(D1162,5,2)&amp;":"&amp;MID(D1162,7,2)&amp;":"&amp;MID(D1162,9,2)&amp;":"&amp;RIGHT(D1162,2)</f>
        <v/>
      </c>
      <c r="F1162" s="29" t="n">
        <v>45307</v>
      </c>
      <c r="G1162" s="29" t="inlineStr">
        <is>
          <t>CFL</t>
        </is>
      </c>
      <c r="H1162" t="inlineStr">
        <is>
          <t>8DDE8409AB5F0FA7</t>
        </is>
      </c>
      <c r="J1162">
        <f>IFERROR(_xlfn.IFNA(INDEX(Sensors_MANU!$D$2:$D$4692,MATCH($D1162,Sensors_MANU!$B$2:$B$4692,0)),INDEX(Sensors_MANU!$D$2:$D$4692,MATCH($P1162,Sensors_MANU!$A$2:$A$4692,0))),"")</f>
        <v/>
      </c>
      <c r="K1162" s="27" t="inlineStr">
        <is>
          <t>MAK314</t>
        </is>
      </c>
      <c r="L1162" s="27" t="inlineStr">
        <is>
          <t>2R</t>
        </is>
      </c>
    </row>
    <row r="1163">
      <c r="A1163" s="32">
        <f>IFERROR(_xlfn.IFNA(INDEX(Sensors_MANU!$E$2:$E$4692,MATCH($D1163,Sensors_MANU!$B$2:$B$4692,0)),INDEX(Sensors_MANU!$E$2:$E$4692,MATCH($P1163,Sensors_MANU!$A$2:$A$4692,0))),"")</f>
        <v/>
      </c>
      <c r="B1163">
        <f>IFERROR(INDEX(Companies!$A$3:$A$101,MATCH(A1163,Companies!$B$3:$B$101,0)),"")</f>
        <v/>
      </c>
      <c r="D1163" t="inlineStr">
        <is>
          <t>D5E6AC2041B2</t>
        </is>
      </c>
      <c r="E1163" s="24">
        <f>LEFT(D1163,2)&amp;":"&amp;MID(D1163,3,2)&amp;":"&amp;MID(D1163,5,2)&amp;":"&amp;MID(D1163,7,2)&amp;":"&amp;MID(D1163,9,2)&amp;":"&amp;RIGHT(D1163,2)</f>
        <v/>
      </c>
      <c r="F1163" s="29" t="n">
        <v>45307</v>
      </c>
      <c r="G1163" s="29" t="inlineStr">
        <is>
          <t>CFL</t>
        </is>
      </c>
      <c r="H1163" t="inlineStr">
        <is>
          <t>56334B2EED148244</t>
        </is>
      </c>
      <c r="J1163">
        <f>IFERROR(_xlfn.IFNA(INDEX(Sensors_MANU!$D$2:$D$4692,MATCH($D1163,Sensors_MANU!$B$2:$B$4692,0)),INDEX(Sensors_MANU!$D$2:$D$4692,MATCH($P1163,Sensors_MANU!$A$2:$A$4692,0))),"")</f>
        <v/>
      </c>
      <c r="K1163" s="27" t="inlineStr">
        <is>
          <t>MAK314</t>
        </is>
      </c>
      <c r="L1163" s="27" t="inlineStr">
        <is>
          <t>3L</t>
        </is>
      </c>
    </row>
    <row r="1164">
      <c r="A1164" s="32">
        <f>IFERROR(_xlfn.IFNA(INDEX(Sensors_MANU!$E$2:$E$4692,MATCH($D1164,Sensors_MANU!$B$2:$B$4692,0)),INDEX(Sensors_MANU!$E$2:$E$4692,MATCH($P1164,Sensors_MANU!$A$2:$A$4692,0))),"")</f>
        <v/>
      </c>
      <c r="B1164">
        <f>IFERROR(INDEX(Companies!$A$3:$A$101,MATCH(A1164,Companies!$B$3:$B$101,0)),"")</f>
        <v/>
      </c>
      <c r="D1164" t="inlineStr">
        <is>
          <t>E68E54F96C0F</t>
        </is>
      </c>
      <c r="E1164" s="24">
        <f>LEFT(D1164,2)&amp;":"&amp;MID(D1164,3,2)&amp;":"&amp;MID(D1164,5,2)&amp;":"&amp;MID(D1164,7,2)&amp;":"&amp;MID(D1164,9,2)&amp;":"&amp;RIGHT(D1164,2)</f>
        <v/>
      </c>
      <c r="F1164" s="29" t="n">
        <v>45307</v>
      </c>
      <c r="G1164" s="29" t="inlineStr">
        <is>
          <t>CFL</t>
        </is>
      </c>
      <c r="H1164" t="inlineStr">
        <is>
          <t>F6573A23137497A1</t>
        </is>
      </c>
      <c r="J1164">
        <f>IFERROR(_xlfn.IFNA(INDEX(Sensors_MANU!$D$2:$D$4692,MATCH($D1164,Sensors_MANU!$B$2:$B$4692,0)),INDEX(Sensors_MANU!$D$2:$D$4692,MATCH($P1164,Sensors_MANU!$A$2:$A$4692,0))),"")</f>
        <v/>
      </c>
      <c r="K1164" s="27" t="inlineStr">
        <is>
          <t>MAK314</t>
        </is>
      </c>
      <c r="L1164" s="27" t="inlineStr">
        <is>
          <t>2L</t>
        </is>
      </c>
    </row>
    <row r="1165">
      <c r="A1165" s="32">
        <f>IFERROR(_xlfn.IFNA(INDEX(Sensors_MANU!$E$2:$E$4692,MATCH($D1165,Sensors_MANU!$B$2:$B$4692,0)),INDEX(Sensors_MANU!$E$2:$E$4692,MATCH($P1165,Sensors_MANU!$A$2:$A$4692,0))),"")</f>
        <v/>
      </c>
      <c r="B1165">
        <f>IFERROR(INDEX(Companies!$A$3:$A$101,MATCH(A1165,Companies!$B$3:$B$101,0)),"")</f>
        <v/>
      </c>
      <c r="D1165" t="inlineStr">
        <is>
          <t>EA03AC5B9E36</t>
        </is>
      </c>
      <c r="E1165" s="24">
        <f>LEFT(D1165,2)&amp;":"&amp;MID(D1165,3,2)&amp;":"&amp;MID(D1165,5,2)&amp;":"&amp;MID(D1165,7,2)&amp;":"&amp;MID(D1165,9,2)&amp;":"&amp;RIGHT(D1165,2)</f>
        <v/>
      </c>
      <c r="F1165" s="29" t="n">
        <v>45320</v>
      </c>
      <c r="G1165" s="29" t="inlineStr">
        <is>
          <t>CFL</t>
        </is>
      </c>
      <c r="H1165" t="inlineStr">
        <is>
          <t>9FD0030F99726FD9</t>
        </is>
      </c>
      <c r="J1165">
        <f>IFERROR(_xlfn.IFNA(INDEX(Sensors_MANU!$D$2:$D$4692,MATCH($D1165,Sensors_MANU!$B$2:$B$4692,0)),INDEX(Sensors_MANU!$D$2:$D$4692,MATCH($P1165,Sensors_MANU!$A$2:$A$4692,0))),"")</f>
        <v/>
      </c>
      <c r="K1165" s="27" t="inlineStr">
        <is>
          <t>MAK309</t>
        </is>
      </c>
      <c r="L1165" s="27" t="inlineStr">
        <is>
          <t>1L</t>
        </is>
      </c>
    </row>
    <row r="1166">
      <c r="A1166" s="32">
        <f>IFERROR(_xlfn.IFNA(INDEX(Sensors_MANU!$E$2:$E$4692,MATCH($D1166,Sensors_MANU!$B$2:$B$4692,0)),INDEX(Sensors_MANU!$E$2:$E$4692,MATCH($P1166,Sensors_MANU!$A$2:$A$4692,0))),"")</f>
        <v/>
      </c>
      <c r="B1166">
        <f>IFERROR(INDEX(Companies!$A$3:$A$101,MATCH(A1166,Companies!$B$3:$B$101,0)),"")</f>
        <v/>
      </c>
      <c r="D1166" t="inlineStr">
        <is>
          <t>CF8AEE2B1A97</t>
        </is>
      </c>
      <c r="E1166" s="24">
        <f>LEFT(D1166,2)&amp;":"&amp;MID(D1166,3,2)&amp;":"&amp;MID(D1166,5,2)&amp;":"&amp;MID(D1166,7,2)&amp;":"&amp;MID(D1166,9,2)&amp;":"&amp;RIGHT(D1166,2)</f>
        <v/>
      </c>
      <c r="F1166" s="29" t="n">
        <v>45307</v>
      </c>
      <c r="G1166" s="29" t="inlineStr">
        <is>
          <t>CFL</t>
        </is>
      </c>
      <c r="H1166" t="inlineStr">
        <is>
          <t>0D4A8CE794ADBD3F</t>
        </is>
      </c>
      <c r="J1166">
        <f>IFERROR(_xlfn.IFNA(INDEX(Sensors_MANU!$D$2:$D$4692,MATCH($D1166,Sensors_MANU!$B$2:$B$4692,0)),INDEX(Sensors_MANU!$D$2:$D$4692,MATCH($P1166,Sensors_MANU!$A$2:$A$4692,0))),"")</f>
        <v/>
      </c>
      <c r="K1166" s="27" t="inlineStr">
        <is>
          <t>MAK314</t>
        </is>
      </c>
      <c r="L1166" s="27" t="inlineStr">
        <is>
          <t>4R</t>
        </is>
      </c>
    </row>
    <row r="1167">
      <c r="A1167" s="32">
        <f>IFERROR(_xlfn.IFNA(INDEX(Sensors_MANU!$E$2:$E$4692,MATCH($D1167,Sensors_MANU!$B$2:$B$4692,0)),INDEX(Sensors_MANU!$E$2:$E$4692,MATCH($P1167,Sensors_MANU!$A$2:$A$4692,0))),"")</f>
        <v/>
      </c>
      <c r="B1167">
        <f>IFERROR(INDEX(Companies!$A$3:$A$101,MATCH(A1167,Companies!$B$3:$B$101,0)),"")</f>
        <v/>
      </c>
      <c r="D1167" t="inlineStr">
        <is>
          <t>D1143B74964C</t>
        </is>
      </c>
      <c r="E1167" s="24">
        <f>LEFT(D1167,2)&amp;":"&amp;MID(D1167,3,2)&amp;":"&amp;MID(D1167,5,2)&amp;":"&amp;MID(D1167,7,2)&amp;":"&amp;MID(D1167,9,2)&amp;":"&amp;RIGHT(D1167,2)</f>
        <v/>
      </c>
      <c r="F1167" s="29" t="n">
        <v>45320</v>
      </c>
      <c r="G1167" s="29" t="inlineStr">
        <is>
          <t>CFL</t>
        </is>
      </c>
      <c r="H1167" t="inlineStr">
        <is>
          <t>9820FBDB2DE5A614</t>
        </is>
      </c>
      <c r="J1167">
        <f>IFERROR(_xlfn.IFNA(INDEX(Sensors_MANU!$D$2:$D$4692,MATCH($D1167,Sensors_MANU!$B$2:$B$4692,0)),INDEX(Sensors_MANU!$D$2:$D$4692,MATCH($P1167,Sensors_MANU!$A$2:$A$4692,0))),"")</f>
        <v/>
      </c>
      <c r="K1167" s="27" t="inlineStr">
        <is>
          <t>MAK309</t>
        </is>
      </c>
      <c r="L1167" s="27" t="inlineStr">
        <is>
          <t>3L</t>
        </is>
      </c>
    </row>
    <row r="1168">
      <c r="A1168" s="32">
        <f>IFERROR(_xlfn.IFNA(INDEX(Sensors_MANU!$E$2:$E$4692,MATCH($D1168,Sensors_MANU!$B$2:$B$4692,0)),INDEX(Sensors_MANU!$E$2:$E$4692,MATCH($P1168,Sensors_MANU!$A$2:$A$4692,0))),"")</f>
        <v/>
      </c>
      <c r="B1168">
        <f>IFERROR(INDEX(Companies!$A$3:$A$101,MATCH(A1168,Companies!$B$3:$B$101,0)),"")</f>
        <v/>
      </c>
      <c r="D1168" t="inlineStr">
        <is>
          <t>FA1FCDDFE447</t>
        </is>
      </c>
      <c r="E1168" s="24">
        <f>LEFT(D1168,2)&amp;":"&amp;MID(D1168,3,2)&amp;":"&amp;MID(D1168,5,2)&amp;":"&amp;MID(D1168,7,2)&amp;":"&amp;MID(D1168,9,2)&amp;":"&amp;RIGHT(D1168,2)</f>
        <v/>
      </c>
      <c r="F1168" s="29" t="n">
        <v>45320</v>
      </c>
      <c r="G1168" s="29" t="inlineStr">
        <is>
          <t>CFL</t>
        </is>
      </c>
      <c r="H1168" t="inlineStr">
        <is>
          <t>1BCB5E75EC65E03D</t>
        </is>
      </c>
      <c r="J1168">
        <f>IFERROR(_xlfn.IFNA(INDEX(Sensors_MANU!$D$2:$D$4692,MATCH($D1168,Sensors_MANU!$B$2:$B$4692,0)),INDEX(Sensors_MANU!$D$2:$D$4692,MATCH($P1168,Sensors_MANU!$A$2:$A$4692,0))),"")</f>
        <v/>
      </c>
      <c r="K1168" s="27" t="inlineStr">
        <is>
          <t>MAK309</t>
        </is>
      </c>
      <c r="L1168" s="27" t="inlineStr">
        <is>
          <t>3R</t>
        </is>
      </c>
    </row>
    <row r="1169">
      <c r="A1169" s="32">
        <f>IFERROR(_xlfn.IFNA(INDEX(Sensors_MANU!$E$2:$E$4692,MATCH($D1169,Sensors_MANU!$B$2:$B$4692,0)),INDEX(Sensors_MANU!$E$2:$E$4692,MATCH($P1169,Sensors_MANU!$A$2:$A$4692,0))),"")</f>
        <v/>
      </c>
      <c r="B1169">
        <f>IFERROR(INDEX(Companies!$A$3:$A$101,MATCH(A1169,Companies!$B$3:$B$101,0)),"")</f>
        <v/>
      </c>
      <c r="D1169" t="inlineStr">
        <is>
          <t>F980B1C668B2</t>
        </is>
      </c>
      <c r="E1169" s="24">
        <f>LEFT(D1169,2)&amp;":"&amp;MID(D1169,3,2)&amp;":"&amp;MID(D1169,5,2)&amp;":"&amp;MID(D1169,7,2)&amp;":"&amp;MID(D1169,9,2)&amp;":"&amp;RIGHT(D1169,2)</f>
        <v/>
      </c>
      <c r="F1169" s="29" t="n">
        <v>45320</v>
      </c>
      <c r="G1169" s="29" t="inlineStr">
        <is>
          <t>CFL</t>
        </is>
      </c>
      <c r="H1169" t="inlineStr">
        <is>
          <t>F715822CA0B642EF</t>
        </is>
      </c>
      <c r="J1169">
        <f>IFERROR(_xlfn.IFNA(INDEX(Sensors_MANU!$D$2:$D$4692,MATCH($D1169,Sensors_MANU!$B$2:$B$4692,0)),INDEX(Sensors_MANU!$D$2:$D$4692,MATCH($P1169,Sensors_MANU!$A$2:$A$4692,0))),"")</f>
        <v/>
      </c>
      <c r="K1169" s="27" t="inlineStr">
        <is>
          <t>MAK309</t>
        </is>
      </c>
      <c r="L1169" s="27" t="inlineStr">
        <is>
          <t>1R</t>
        </is>
      </c>
    </row>
    <row r="1170">
      <c r="A1170" s="32">
        <f>IFERROR(_xlfn.IFNA(INDEX(Sensors_MANU!$E$2:$E$4692,MATCH($D1170,Sensors_MANU!$B$2:$B$4692,0)),INDEX(Sensors_MANU!$E$2:$E$4692,MATCH($P1170,Sensors_MANU!$A$2:$A$4692,0))),"")</f>
        <v/>
      </c>
      <c r="B1170">
        <f>IFERROR(INDEX(Companies!$A$3:$A$101,MATCH(A1170,Companies!$B$3:$B$101,0)),"")</f>
        <v/>
      </c>
      <c r="D1170" t="inlineStr">
        <is>
          <t>E9AD1EBB6533</t>
        </is>
      </c>
      <c r="E1170" s="24">
        <f>LEFT(D1170,2)&amp;":"&amp;MID(D1170,3,2)&amp;":"&amp;MID(D1170,5,2)&amp;":"&amp;MID(D1170,7,2)&amp;":"&amp;MID(D1170,9,2)&amp;":"&amp;RIGHT(D1170,2)</f>
        <v/>
      </c>
      <c r="F1170" s="29" t="n">
        <v>45320</v>
      </c>
      <c r="G1170" s="29" t="inlineStr">
        <is>
          <t>CFL</t>
        </is>
      </c>
      <c r="H1170" t="inlineStr">
        <is>
          <t>F8388C4DF35AC1C3</t>
        </is>
      </c>
      <c r="J1170">
        <f>IFERROR(_xlfn.IFNA(INDEX(Sensors_MANU!$D$2:$D$4692,MATCH($D1170,Sensors_MANU!$B$2:$B$4692,0)),INDEX(Sensors_MANU!$D$2:$D$4692,MATCH($P1170,Sensors_MANU!$A$2:$A$4692,0))),"")</f>
        <v/>
      </c>
      <c r="K1170" s="27" t="inlineStr">
        <is>
          <t>MAK309</t>
        </is>
      </c>
      <c r="L1170" s="27" t="inlineStr">
        <is>
          <t>2L</t>
        </is>
      </c>
    </row>
    <row r="1171">
      <c r="A1171" s="32">
        <f>IFERROR(_xlfn.IFNA(INDEX(Sensors_MANU!$E$2:$E$4692,MATCH($D1171,Sensors_MANU!$B$2:$B$4692,0)),INDEX(Sensors_MANU!$E$2:$E$4692,MATCH($P1171,Sensors_MANU!$A$2:$A$4692,0))),"")</f>
        <v/>
      </c>
      <c r="B1171">
        <f>IFERROR(INDEX(Companies!$A$3:$A$101,MATCH(A1171,Companies!$B$3:$B$101,0)),"")</f>
        <v/>
      </c>
      <c r="D1171" t="inlineStr">
        <is>
          <t>CAF64542DC6F</t>
        </is>
      </c>
      <c r="E1171" s="24">
        <f>LEFT(D1171,2)&amp;":"&amp;MID(D1171,3,2)&amp;":"&amp;MID(D1171,5,2)&amp;":"&amp;MID(D1171,7,2)&amp;":"&amp;MID(D1171,9,2)&amp;":"&amp;RIGHT(D1171,2)</f>
        <v/>
      </c>
      <c r="F1171" s="29" t="n">
        <v>45307</v>
      </c>
      <c r="G1171" s="29" t="inlineStr">
        <is>
          <t>CFL</t>
        </is>
      </c>
      <c r="H1171" t="inlineStr">
        <is>
          <t>8F043CE80D1FBA6B</t>
        </is>
      </c>
      <c r="J1171">
        <f>IFERROR(_xlfn.IFNA(INDEX(Sensors_MANU!$D$2:$D$4692,MATCH($D1171,Sensors_MANU!$B$2:$B$4692,0)),INDEX(Sensors_MANU!$D$2:$D$4692,MATCH($P1171,Sensors_MANU!$A$2:$A$4692,0))),"")</f>
        <v/>
      </c>
      <c r="K1171" s="27" t="inlineStr">
        <is>
          <t>MAK314</t>
        </is>
      </c>
      <c r="L1171" s="27" t="inlineStr">
        <is>
          <t>1R</t>
        </is>
      </c>
    </row>
    <row r="1172">
      <c r="A1172" s="32">
        <f>IFERROR(_xlfn.IFNA(INDEX(Sensors_MANU!$E$2:$E$4692,MATCH($D1172,Sensors_MANU!$B$2:$B$4692,0)),INDEX(Sensors_MANU!$E$2:$E$4692,MATCH($P1172,Sensors_MANU!$A$2:$A$4692,0))),"")</f>
        <v/>
      </c>
      <c r="B1172">
        <f>IFERROR(INDEX(Companies!$A$3:$A$101,MATCH(A1172,Companies!$B$3:$B$101,0)),"")</f>
        <v/>
      </c>
      <c r="D1172" t="inlineStr">
        <is>
          <t>E94F35B0651F</t>
        </is>
      </c>
      <c r="E1172" s="24">
        <f>LEFT(D1172,2)&amp;":"&amp;MID(D1172,3,2)&amp;":"&amp;MID(D1172,5,2)&amp;":"&amp;MID(D1172,7,2)&amp;":"&amp;MID(D1172,9,2)&amp;":"&amp;RIGHT(D1172,2)</f>
        <v/>
      </c>
      <c r="F1172" s="29" t="n">
        <v>45320</v>
      </c>
      <c r="G1172" s="29" t="inlineStr">
        <is>
          <t>CFL</t>
        </is>
      </c>
      <c r="H1172" t="inlineStr">
        <is>
          <t>40FD465A8D6F2D1E</t>
        </is>
      </c>
      <c r="J1172">
        <f>IFERROR(_xlfn.IFNA(INDEX(Sensors_MANU!$D$2:$D$4692,MATCH($D1172,Sensors_MANU!$B$2:$B$4692,0)),INDEX(Sensors_MANU!$D$2:$D$4692,MATCH($P1172,Sensors_MANU!$A$2:$A$4692,0))),"")</f>
        <v/>
      </c>
      <c r="K1172" s="27" t="inlineStr">
        <is>
          <t>MAK309</t>
        </is>
      </c>
      <c r="L1172" s="27" t="inlineStr">
        <is>
          <t>4R</t>
        </is>
      </c>
    </row>
    <row r="1173">
      <c r="A1173" s="32">
        <f>IFERROR(_xlfn.IFNA(INDEX(Sensors_MANU!$E$2:$E$4692,MATCH($D1173,Sensors_MANU!$B$2:$B$4692,0)),INDEX(Sensors_MANU!$E$2:$E$4692,MATCH($P1173,Sensors_MANU!$A$2:$A$4692,0))),"")</f>
        <v/>
      </c>
      <c r="B1173">
        <f>IFERROR(INDEX(Companies!$A$3:$A$101,MATCH(A1173,Companies!$B$3:$B$101,0)),"")</f>
        <v/>
      </c>
      <c r="D1173" t="inlineStr">
        <is>
          <t>FE350B769F5B</t>
        </is>
      </c>
      <c r="E1173" s="24">
        <f>LEFT(D1173,2)&amp;":"&amp;MID(D1173,3,2)&amp;":"&amp;MID(D1173,5,2)&amp;":"&amp;MID(D1173,7,2)&amp;":"&amp;MID(D1173,9,2)&amp;":"&amp;RIGHT(D1173,2)</f>
        <v/>
      </c>
      <c r="F1173" s="29" t="n">
        <v>45320</v>
      </c>
      <c r="G1173" s="29" t="inlineStr">
        <is>
          <t>CFL</t>
        </is>
      </c>
      <c r="H1173" t="inlineStr">
        <is>
          <t>24553DBF4DDD92A6</t>
        </is>
      </c>
      <c r="J1173">
        <f>IFERROR(_xlfn.IFNA(INDEX(Sensors_MANU!$D$2:$D$4692,MATCH($D1173,Sensors_MANU!$B$2:$B$4692,0)),INDEX(Sensors_MANU!$D$2:$D$4692,MATCH($P1173,Sensors_MANU!$A$2:$A$4692,0))),"")</f>
        <v/>
      </c>
      <c r="K1173" s="27" t="inlineStr">
        <is>
          <t>MAK309</t>
        </is>
      </c>
      <c r="L1173" s="27" t="inlineStr">
        <is>
          <t>2R</t>
        </is>
      </c>
    </row>
    <row r="1174">
      <c r="A1174" s="32">
        <f>IFERROR(_xlfn.IFNA(INDEX(Sensors_MANU!$E$2:$E$4692,MATCH($D1174,Sensors_MANU!$B$2:$B$4692,0)),INDEX(Sensors_MANU!$E$2:$E$4692,MATCH($P1174,Sensors_MANU!$A$2:$A$4692,0))),"")</f>
        <v/>
      </c>
      <c r="B1174">
        <f>IFERROR(INDEX(Companies!$A$3:$A$101,MATCH(A1174,Companies!$B$3:$B$101,0)),"")</f>
        <v/>
      </c>
      <c r="D1174" t="inlineStr">
        <is>
          <t>F7FDEADA1030</t>
        </is>
      </c>
      <c r="E1174" s="24">
        <f>LEFT(D1174,2)&amp;":"&amp;MID(D1174,3,2)&amp;":"&amp;MID(D1174,5,2)&amp;":"&amp;MID(D1174,7,2)&amp;":"&amp;MID(D1174,9,2)&amp;":"&amp;RIGHT(D1174,2)</f>
        <v/>
      </c>
      <c r="F1174" s="29" t="n">
        <v>45320</v>
      </c>
      <c r="G1174" s="29" t="inlineStr">
        <is>
          <t>CFL</t>
        </is>
      </c>
      <c r="H1174" t="inlineStr">
        <is>
          <t>5273240C60297D19</t>
        </is>
      </c>
      <c r="J1174">
        <f>IFERROR(_xlfn.IFNA(INDEX(Sensors_MANU!$D$2:$D$4692,MATCH($D1174,Sensors_MANU!$B$2:$B$4692,0)),INDEX(Sensors_MANU!$D$2:$D$4692,MATCH($P1174,Sensors_MANU!$A$2:$A$4692,0))),"")</f>
        <v/>
      </c>
      <c r="K1174" s="27" t="inlineStr">
        <is>
          <t>MAK309</t>
        </is>
      </c>
      <c r="L1174" s="27" t="inlineStr">
        <is>
          <t>4L</t>
        </is>
      </c>
    </row>
    <row r="1175">
      <c r="A1175" s="32">
        <f>IFERROR(_xlfn.IFNA(INDEX(Sensors_MANU!$E$2:$E$4692,MATCH($D1175,Sensors_MANU!$B$2:$B$4692,0)),INDEX(Sensors_MANU!$E$2:$E$4692,MATCH($P1175,Sensors_MANU!$A$2:$A$4692,0))),"")</f>
        <v/>
      </c>
      <c r="B1175">
        <f>IFERROR(INDEX(Companies!$A$3:$A$101,MATCH(A1175,Companies!$B$3:$B$101,0)),"")</f>
        <v/>
      </c>
      <c r="D1175" t="inlineStr">
        <is>
          <t>D4D550BE7AC3</t>
        </is>
      </c>
      <c r="E1175" s="24">
        <f>LEFT(D1175,2)&amp;":"&amp;MID(D1175,3,2)&amp;":"&amp;MID(D1175,5,2)&amp;":"&amp;MID(D1175,7,2)&amp;":"&amp;MID(D1175,9,2)&amp;":"&amp;RIGHT(D1175,2)</f>
        <v/>
      </c>
      <c r="F1175" s="29" t="n">
        <v>45307</v>
      </c>
      <c r="G1175" s="29" t="inlineStr">
        <is>
          <t>CFL</t>
        </is>
      </c>
      <c r="H1175" t="inlineStr">
        <is>
          <t>521B22A127CDEA9D</t>
        </is>
      </c>
      <c r="J1175">
        <f>IFERROR(_xlfn.IFNA(INDEX(Sensors_MANU!$D$2:$D$4692,MATCH($D1175,Sensors_MANU!$B$2:$B$4692,0)),INDEX(Sensors_MANU!$D$2:$D$4692,MATCH($P1175,Sensors_MANU!$A$2:$A$4692,0))),"")</f>
        <v/>
      </c>
      <c r="K1175" s="27" t="inlineStr">
        <is>
          <t>MAK314</t>
        </is>
      </c>
      <c r="L1175" s="27" t="inlineStr">
        <is>
          <t>1L</t>
        </is>
      </c>
    </row>
    <row r="1176">
      <c r="A1176" s="32">
        <f>IFERROR(_xlfn.IFNA(INDEX(Sensors_MANU!$E$2:$E$4692,MATCH($D1176,Sensors_MANU!$B$2:$B$4692,0)),INDEX(Sensors_MANU!$E$2:$E$4692,MATCH($P1176,Sensors_MANU!$A$2:$A$4692,0))),"")</f>
        <v/>
      </c>
      <c r="B1176">
        <f>IFERROR(INDEX(Companies!$A$3:$A$101,MATCH(A1176,Companies!$B$3:$B$101,0)),"")</f>
        <v/>
      </c>
      <c r="D1176" t="inlineStr">
        <is>
          <t>D49F297A2C55</t>
        </is>
      </c>
      <c r="E1176" s="24">
        <f>LEFT(D1176,2)&amp;":"&amp;MID(D1176,3,2)&amp;":"&amp;MID(D1176,5,2)&amp;":"&amp;MID(D1176,7,2)&amp;":"&amp;MID(D1176,9,2)&amp;":"&amp;RIGHT(D1176,2)</f>
        <v/>
      </c>
      <c r="F1176" s="29" t="n">
        <v>45307</v>
      </c>
      <c r="G1176" s="29" t="inlineStr">
        <is>
          <t>CFL</t>
        </is>
      </c>
      <c r="H1176" t="inlineStr">
        <is>
          <t>116B50791C7A7BCC</t>
        </is>
      </c>
      <c r="J1176">
        <f>IFERROR(_xlfn.IFNA(INDEX(Sensors_MANU!$D$2:$D$4692,MATCH($D1176,Sensors_MANU!$B$2:$B$4692,0)),INDEX(Sensors_MANU!$D$2:$D$4692,MATCH($P1176,Sensors_MANU!$A$2:$A$4692,0))),"")</f>
        <v/>
      </c>
      <c r="K1176" s="27" t="inlineStr">
        <is>
          <t>MAK314</t>
        </is>
      </c>
      <c r="L1176" s="27" t="inlineStr">
        <is>
          <t>4L</t>
        </is>
      </c>
    </row>
    <row r="1177">
      <c r="A1177" s="32">
        <f>IFERROR(_xlfn.IFNA(INDEX(Sensors_MANU!$E$2:$E$4692,MATCH($D1177,Sensors_MANU!$B$2:$B$4692,0)),INDEX(Sensors_MANU!$E$2:$E$4692,MATCH($P1177,Sensors_MANU!$A$2:$A$4692,0))),"")</f>
        <v/>
      </c>
      <c r="B1177">
        <f>IFERROR(INDEX(Companies!$A$3:$A$101,MATCH(A1177,Companies!$B$3:$B$101,0)),"")</f>
        <v/>
      </c>
      <c r="D1177" t="inlineStr">
        <is>
          <t>E4EABBA760E4</t>
        </is>
      </c>
      <c r="E1177" s="24">
        <f>LEFT(D1177,2)&amp;":"&amp;MID(D1177,3,2)&amp;":"&amp;MID(D1177,5,2)&amp;":"&amp;MID(D1177,7,2)&amp;":"&amp;MID(D1177,9,2)&amp;":"&amp;RIGHT(D1177,2)</f>
        <v/>
      </c>
      <c r="F1177" s="29" t="n">
        <v>45307</v>
      </c>
      <c r="G1177" s="29" t="inlineStr">
        <is>
          <t>CFL</t>
        </is>
      </c>
      <c r="H1177" t="inlineStr">
        <is>
          <t>0C01E4F60DD581B8</t>
        </is>
      </c>
      <c r="J1177">
        <f>IFERROR(_xlfn.IFNA(INDEX(Sensors_MANU!$D$2:$D$4692,MATCH($D1177,Sensors_MANU!$B$2:$B$4692,0)),INDEX(Sensors_MANU!$D$2:$D$4692,MATCH($P1177,Sensors_MANU!$A$2:$A$4692,0))),"")</f>
        <v/>
      </c>
      <c r="K1177" s="27" t="inlineStr">
        <is>
          <t>MAK314</t>
        </is>
      </c>
      <c r="L1177" s="27" t="inlineStr">
        <is>
          <t>3R</t>
        </is>
      </c>
    </row>
    <row r="1178">
      <c r="A1178" s="32">
        <f>IFERROR(_xlfn.IFNA(INDEX(Sensors_MANU!$E$2:$E$4692,MATCH($D1178,Sensors_MANU!$B$2:$B$4692,0)),INDEX(Sensors_MANU!$E$2:$E$4692,MATCH($P1178,Sensors_MANU!$A$2:$A$4692,0))),"")</f>
        <v/>
      </c>
      <c r="B1178">
        <f>IFERROR(INDEX(Companies!$A$3:$A$101,MATCH(A1178,Companies!$B$3:$B$101,0)),"")</f>
        <v/>
      </c>
      <c r="D1178" t="inlineStr">
        <is>
          <t>ECE954691081</t>
        </is>
      </c>
      <c r="E1178" s="24">
        <f>LEFT(D1178,2)&amp;":"&amp;MID(D1178,3,2)&amp;":"&amp;MID(D1178,5,2)&amp;":"&amp;MID(D1178,7,2)&amp;":"&amp;MID(D1178,9,2)&amp;":"&amp;RIGHT(D1178,2)</f>
        <v/>
      </c>
      <c r="H1178" t="inlineStr">
        <is>
          <t>9F073BCFE20F0497</t>
        </is>
      </c>
      <c r="J1178">
        <f>IFERROR(_xlfn.IFNA(INDEX(Sensors_MANU!$D$2:$D$4692,MATCH($D1178,Sensors_MANU!$B$2:$B$4692,0)),INDEX(Sensors_MANU!$D$2:$D$4692,MATCH($P1178,Sensors_MANU!$A$2:$A$4692,0))),"")</f>
        <v/>
      </c>
    </row>
    <row r="1179">
      <c r="A1179" s="32">
        <f>IFERROR(_xlfn.IFNA(INDEX(Sensors_MANU!$E$2:$E$4692,MATCH($D1179,Sensors_MANU!$B$2:$B$4692,0)),INDEX(Sensors_MANU!$E$2:$E$4692,MATCH($P1179,Sensors_MANU!$A$2:$A$4692,0))),"")</f>
        <v/>
      </c>
      <c r="B1179">
        <f>IFERROR(INDEX(Companies!$A$3:$A$101,MATCH(A1179,Companies!$B$3:$B$101,0)),"")</f>
        <v/>
      </c>
      <c r="D1179" t="inlineStr">
        <is>
          <t>CB40CFBFED08</t>
        </is>
      </c>
      <c r="E1179" s="24">
        <f>LEFT(D1179,2)&amp;":"&amp;MID(D1179,3,2)&amp;":"&amp;MID(D1179,5,2)&amp;":"&amp;MID(D1179,7,2)&amp;":"&amp;MID(D1179,9,2)&amp;":"&amp;RIGHT(D1179,2)</f>
        <v/>
      </c>
      <c r="H1179" t="inlineStr">
        <is>
          <t>053BF7CA76544C1D</t>
        </is>
      </c>
      <c r="J1179">
        <f>IFERROR(_xlfn.IFNA(INDEX(Sensors_MANU!$D$2:$D$4692,MATCH($D1179,Sensors_MANU!$B$2:$B$4692,0)),INDEX(Sensors_MANU!$D$2:$D$4692,MATCH($P1179,Sensors_MANU!$A$2:$A$4692,0))),"")</f>
        <v/>
      </c>
    </row>
    <row r="1180">
      <c r="A1180" s="32" t="inlineStr">
        <is>
          <t>VIEZO</t>
        </is>
      </c>
      <c r="B1180" s="24">
        <f>IFERROR(INDEX(Companies!$A$3:$A$101,MATCH(A1180,Companies!$B$3:$B$101,0)),"")</f>
        <v/>
      </c>
      <c r="D1180" t="inlineStr">
        <is>
          <t>CFDDEC634D0B</t>
        </is>
      </c>
      <c r="E1180">
        <f>LEFT(D1180,2)&amp;":"&amp;MID(D1180,3,2)&amp;":"&amp;MID(D1180,5,2)&amp;":"&amp;MID(D1180,7,2)&amp;":"&amp;MID(D1180,9,2)&amp;":"&amp;RIGHT(D1180,2)</f>
        <v/>
      </c>
      <c r="H1180" t="inlineStr">
        <is>
          <t>30295A586334848C</t>
        </is>
      </c>
      <c r="I1180">
        <f>IFERROR(_xlfn.IFNA(INDEX(Sensors_MANU!$C$2:$C$4692,MATCH($D1180,Sensors_MANU!$B$2:$B$4692,0)),INDEX(Sensors_MANU!$C$2:$C$4692,MATCH($P1180,Sensors_MANU!$A$2:$A$4692,0))),"")</f>
        <v/>
      </c>
      <c r="J1180" t="inlineStr">
        <is>
          <t>PROT_V2_TEST-1</t>
        </is>
      </c>
      <c r="N1180" s="99" t="inlineStr">
        <is>
          <t>First V2 sensor prototype - testing</t>
        </is>
      </c>
    </row>
    <row r="1181">
      <c r="A1181" s="32" t="inlineStr">
        <is>
          <t>TANKWAGON</t>
        </is>
      </c>
      <c r="B1181" s="24">
        <f>IFERROR(INDEX(Companies!$A$3:$A$101,MATCH(A1181,Companies!$B$3:$B$101,0)),"")</f>
        <v/>
      </c>
      <c r="D1181" t="inlineStr">
        <is>
          <t>F38E5D858580</t>
        </is>
      </c>
      <c r="E1181" s="24">
        <f>LEFT(D1181,2)&amp;":"&amp;MID(D1181,3,2)&amp;":"&amp;MID(D1181,5,2)&amp;":"&amp;MID(D1181,7,2)&amp;":"&amp;MID(D1181,9,2)&amp;":"&amp;RIGHT(D1181,2)</f>
        <v/>
      </c>
      <c r="H1181" s="2" t="inlineStr">
        <is>
          <t>1B41986985F0514D</t>
        </is>
      </c>
      <c r="J1181" t="inlineStr">
        <is>
          <t>VIEZO0000000000000001</t>
        </is>
      </c>
    </row>
    <row r="1182">
      <c r="A1182" s="32" t="inlineStr">
        <is>
          <t>TANKWAGON</t>
        </is>
      </c>
      <c r="B1182" s="24">
        <f>IFERROR(INDEX(Companies!$A$3:$A$101,MATCH(A1182,Companies!$B$3:$B$101,0)),"")</f>
        <v/>
      </c>
      <c r="D1182" t="inlineStr">
        <is>
          <t>CBAF98D94B70</t>
        </is>
      </c>
      <c r="E1182" s="24">
        <f>LEFT(D1182,2)&amp;":"&amp;MID(D1182,3,2)&amp;":"&amp;MID(D1182,5,2)&amp;":"&amp;MID(D1182,7,2)&amp;":"&amp;MID(D1182,9,2)&amp;":"&amp;RIGHT(D1182,2)</f>
        <v/>
      </c>
      <c r="H1182" s="2" t="inlineStr">
        <is>
          <t>BC7A4CA7B57598E0</t>
        </is>
      </c>
      <c r="J1182" t="inlineStr">
        <is>
          <t>VIEZO0000000000000002</t>
        </is>
      </c>
    </row>
    <row r="1183">
      <c r="A1183" s="32" t="inlineStr">
        <is>
          <t>TANKWAGON</t>
        </is>
      </c>
      <c r="B1183" s="24">
        <f>IFERROR(INDEX(Companies!$A$3:$A$101,MATCH(A1183,Companies!$B$3:$B$101,0)),"")</f>
        <v/>
      </c>
      <c r="D1183" t="inlineStr">
        <is>
          <t>E04453A99D15</t>
        </is>
      </c>
      <c r="E1183" s="24">
        <f>LEFT(D1183,2)&amp;":"&amp;MID(D1183,3,2)&amp;":"&amp;MID(D1183,5,2)&amp;":"&amp;MID(D1183,7,2)&amp;":"&amp;MID(D1183,9,2)&amp;":"&amp;RIGHT(D1183,2)</f>
        <v/>
      </c>
      <c r="H1183" s="2" t="inlineStr">
        <is>
          <t>319B65DFF24F7202</t>
        </is>
      </c>
      <c r="J1183" t="inlineStr">
        <is>
          <t>VIEZO0000000000000003</t>
        </is>
      </c>
    </row>
    <row r="1184">
      <c r="A1184" s="32" t="inlineStr">
        <is>
          <t>TANKWAGON</t>
        </is>
      </c>
      <c r="B1184" s="24">
        <f>IFERROR(INDEX(Companies!$A$3:$A$101,MATCH(A1184,Companies!$B$3:$B$101,0)),"")</f>
        <v/>
      </c>
      <c r="D1184" t="inlineStr">
        <is>
          <t>E70CF367C75C</t>
        </is>
      </c>
      <c r="E1184" s="24">
        <f>LEFT(D1184,2)&amp;":"&amp;MID(D1184,3,2)&amp;":"&amp;MID(D1184,5,2)&amp;":"&amp;MID(D1184,7,2)&amp;":"&amp;MID(D1184,9,2)&amp;":"&amp;RIGHT(D1184,2)</f>
        <v/>
      </c>
      <c r="H1184" s="2" t="inlineStr">
        <is>
          <t>2EE7E39C6755C18E</t>
        </is>
      </c>
      <c r="J1184" t="inlineStr">
        <is>
          <t>VIEZO0000000000000004</t>
        </is>
      </c>
    </row>
    <row r="1185">
      <c r="A1185" s="32" t="inlineStr">
        <is>
          <t>TANKWAGON</t>
        </is>
      </c>
      <c r="B1185" s="24">
        <f>IFERROR(INDEX(Companies!$A$3:$A$101,MATCH(A1185,Companies!$B$3:$B$101,0)),"")</f>
        <v/>
      </c>
      <c r="D1185" t="inlineStr">
        <is>
          <t>DB1AA8C962DF</t>
        </is>
      </c>
      <c r="E1185" s="24">
        <f>LEFT(D1185,2)&amp;":"&amp;MID(D1185,3,2)&amp;":"&amp;MID(D1185,5,2)&amp;":"&amp;MID(D1185,7,2)&amp;":"&amp;MID(D1185,9,2)&amp;":"&amp;RIGHT(D1185,2)</f>
        <v/>
      </c>
      <c r="H1185" s="2" t="inlineStr">
        <is>
          <t>969EBBD06B74A1AB</t>
        </is>
      </c>
      <c r="J1185" t="inlineStr">
        <is>
          <t>VIEZO0000000000000005</t>
        </is>
      </c>
    </row>
    <row r="1186">
      <c r="A1186" s="32" t="inlineStr">
        <is>
          <t>TANKWAGON</t>
        </is>
      </c>
      <c r="B1186" s="24">
        <f>IFERROR(INDEX(Companies!$A$3:$A$101,MATCH(A1186,Companies!$B$3:$B$101,0)),"")</f>
        <v/>
      </c>
      <c r="D1186" t="inlineStr">
        <is>
          <t>C37C1F81A284</t>
        </is>
      </c>
      <c r="E1186" s="24">
        <f>LEFT(D1186,2)&amp;":"&amp;MID(D1186,3,2)&amp;":"&amp;MID(D1186,5,2)&amp;":"&amp;MID(D1186,7,2)&amp;":"&amp;MID(D1186,9,2)&amp;":"&amp;RIGHT(D1186,2)</f>
        <v/>
      </c>
      <c r="H1186" s="2" t="inlineStr">
        <is>
          <t>A28974380435A6E1</t>
        </is>
      </c>
      <c r="J1186" t="inlineStr">
        <is>
          <t>VIEZO0000000000000006</t>
        </is>
      </c>
    </row>
    <row r="1187">
      <c r="A1187" s="32" t="inlineStr">
        <is>
          <t>TANKWAGON</t>
        </is>
      </c>
      <c r="B1187" s="24">
        <f>IFERROR(INDEX(Companies!$A$3:$A$101,MATCH(A1187,Companies!$B$3:$B$101,0)),"")</f>
        <v/>
      </c>
      <c r="D1187" t="inlineStr">
        <is>
          <t>CBFC782CAA97</t>
        </is>
      </c>
      <c r="E1187" s="24">
        <f>LEFT(D1187,2)&amp;":"&amp;MID(D1187,3,2)&amp;":"&amp;MID(D1187,5,2)&amp;":"&amp;MID(D1187,7,2)&amp;":"&amp;MID(D1187,9,2)&amp;":"&amp;RIGHT(D1187,2)</f>
        <v/>
      </c>
      <c r="H1187" s="2" t="inlineStr">
        <is>
          <t>7B8E1B557E97154A</t>
        </is>
      </c>
      <c r="J1187" t="inlineStr">
        <is>
          <t>VIEZO0000000000000007</t>
        </is>
      </c>
    </row>
    <row r="1188">
      <c r="A1188" s="32" t="inlineStr">
        <is>
          <t>TANKWAGON</t>
        </is>
      </c>
      <c r="B1188" s="24">
        <f>IFERROR(INDEX(Companies!$A$3:$A$101,MATCH(A1188,Companies!$B$3:$B$101,0)),"")</f>
        <v/>
      </c>
      <c r="D1188" t="inlineStr">
        <is>
          <t>F21A85DED0F2</t>
        </is>
      </c>
      <c r="E1188" s="24">
        <f>LEFT(D1188,2)&amp;":"&amp;MID(D1188,3,2)&amp;":"&amp;MID(D1188,5,2)&amp;":"&amp;MID(D1188,7,2)&amp;":"&amp;MID(D1188,9,2)&amp;":"&amp;RIGHT(D1188,2)</f>
        <v/>
      </c>
      <c r="H1188" s="2" t="inlineStr">
        <is>
          <t>8FB364E33D540744</t>
        </is>
      </c>
      <c r="J1188" t="inlineStr">
        <is>
          <t>VIEZO0000000000000008</t>
        </is>
      </c>
    </row>
    <row r="1189">
      <c r="A1189" s="32" t="inlineStr">
        <is>
          <t>TANKWAGON</t>
        </is>
      </c>
      <c r="B1189" s="24">
        <f>IFERROR(INDEX(Companies!$A$3:$A$101,MATCH(A1189,Companies!$B$3:$B$101,0)),"")</f>
        <v/>
      </c>
      <c r="D1189" t="inlineStr">
        <is>
          <t>EA892A6CD01C</t>
        </is>
      </c>
      <c r="E1189" s="24">
        <f>LEFT(D1189,2)&amp;":"&amp;MID(D1189,3,2)&amp;":"&amp;MID(D1189,5,2)&amp;":"&amp;MID(D1189,7,2)&amp;":"&amp;MID(D1189,9,2)&amp;":"&amp;RIGHT(D1189,2)</f>
        <v/>
      </c>
      <c r="H1189" s="2" t="inlineStr">
        <is>
          <t>EC1C272681E22056</t>
        </is>
      </c>
      <c r="J1189" t="inlineStr">
        <is>
          <t>VIEZO0000000000000009</t>
        </is>
      </c>
    </row>
    <row r="1190">
      <c r="A1190" s="32" t="inlineStr">
        <is>
          <t>TANKWAGON</t>
        </is>
      </c>
      <c r="B1190" s="24">
        <f>IFERROR(INDEX(Companies!$A$3:$A$101,MATCH(A1190,Companies!$B$3:$B$101,0)),"")</f>
        <v/>
      </c>
      <c r="D1190" t="inlineStr">
        <is>
          <t>D1ED518D10D8</t>
        </is>
      </c>
      <c r="E1190" s="24">
        <f>LEFT(D1190,2)&amp;":"&amp;MID(D1190,3,2)&amp;":"&amp;MID(D1190,5,2)&amp;":"&amp;MID(D1190,7,2)&amp;":"&amp;MID(D1190,9,2)&amp;":"&amp;RIGHT(D1190,2)</f>
        <v/>
      </c>
      <c r="H1190" s="2" t="inlineStr">
        <is>
          <t>A2230501D05BBC71</t>
        </is>
      </c>
      <c r="J1190" t="inlineStr">
        <is>
          <t>VIEZO0000000000000010</t>
        </is>
      </c>
    </row>
    <row r="1191">
      <c r="A1191" s="32" t="inlineStr">
        <is>
          <t>TANKWAGON</t>
        </is>
      </c>
      <c r="B1191" s="24">
        <f>IFERROR(INDEX(Companies!$A$3:$A$101,MATCH(A1191,Companies!$B$3:$B$101,0)),"")</f>
        <v/>
      </c>
      <c r="D1191" t="inlineStr">
        <is>
          <t>E5B66CE36359</t>
        </is>
      </c>
      <c r="E1191" s="24">
        <f>LEFT(D1191,2)&amp;":"&amp;MID(D1191,3,2)&amp;":"&amp;MID(D1191,5,2)&amp;":"&amp;MID(D1191,7,2)&amp;":"&amp;MID(D1191,9,2)&amp;":"&amp;RIGHT(D1191,2)</f>
        <v/>
      </c>
      <c r="H1191" s="2" t="inlineStr">
        <is>
          <t>76E5817A2C461D0F</t>
        </is>
      </c>
      <c r="J1191" t="inlineStr">
        <is>
          <t>VIEZO0000000000000011</t>
        </is>
      </c>
    </row>
    <row r="1192">
      <c r="A1192" s="32" t="inlineStr">
        <is>
          <t>TANKWAGON</t>
        </is>
      </c>
      <c r="B1192" s="24">
        <f>IFERROR(INDEX(Companies!$A$3:$A$101,MATCH(A1192,Companies!$B$3:$B$101,0)),"")</f>
        <v/>
      </c>
      <c r="D1192" t="inlineStr">
        <is>
          <t>EFF6E2A0340B</t>
        </is>
      </c>
      <c r="E1192" s="24">
        <f>LEFT(D1192,2)&amp;":"&amp;MID(D1192,3,2)&amp;":"&amp;MID(D1192,5,2)&amp;":"&amp;MID(D1192,7,2)&amp;":"&amp;MID(D1192,9,2)&amp;":"&amp;RIGHT(D1192,2)</f>
        <v/>
      </c>
      <c r="H1192" s="2" t="inlineStr">
        <is>
          <t>5B27A04CF06BA328</t>
        </is>
      </c>
      <c r="J1192" t="inlineStr">
        <is>
          <t>VIEZO0000000000000012</t>
        </is>
      </c>
    </row>
    <row r="1193">
      <c r="A1193" s="32" t="inlineStr">
        <is>
          <t>TANKWAGON</t>
        </is>
      </c>
      <c r="B1193" s="24">
        <f>IFERROR(INDEX(Companies!$A$3:$A$101,MATCH(A1193,Companies!$B$3:$B$101,0)),"")</f>
        <v/>
      </c>
      <c r="D1193" t="inlineStr">
        <is>
          <t>F07E06B42623</t>
        </is>
      </c>
      <c r="E1193" s="24">
        <f>LEFT(D1193,2)&amp;":"&amp;MID(D1193,3,2)&amp;":"&amp;MID(D1193,5,2)&amp;":"&amp;MID(D1193,7,2)&amp;":"&amp;MID(D1193,9,2)&amp;":"&amp;RIGHT(D1193,2)</f>
        <v/>
      </c>
      <c r="H1193" s="2" t="inlineStr">
        <is>
          <t>B2E3144ACF5A1111</t>
        </is>
      </c>
      <c r="J1193" t="inlineStr">
        <is>
          <t>VIEZO0000000000000013</t>
        </is>
      </c>
    </row>
    <row r="1194">
      <c r="A1194" s="32" t="inlineStr">
        <is>
          <t>TANKWAGON</t>
        </is>
      </c>
      <c r="B1194" s="24">
        <f>IFERROR(INDEX(Companies!$A$3:$A$101,MATCH(A1194,Companies!$B$3:$B$101,0)),"")</f>
        <v/>
      </c>
      <c r="D1194" t="inlineStr">
        <is>
          <t>F0430D3B7ED9</t>
        </is>
      </c>
      <c r="E1194" s="24">
        <f>LEFT(D1194,2)&amp;":"&amp;MID(D1194,3,2)&amp;":"&amp;MID(D1194,5,2)&amp;":"&amp;MID(D1194,7,2)&amp;":"&amp;MID(D1194,9,2)&amp;":"&amp;RIGHT(D1194,2)</f>
        <v/>
      </c>
      <c r="H1194" s="2" t="inlineStr">
        <is>
          <t>101B5AFEBB7E9904</t>
        </is>
      </c>
      <c r="J1194" t="inlineStr">
        <is>
          <t>VIEZO0000000000000014</t>
        </is>
      </c>
    </row>
    <row r="1195">
      <c r="A1195" s="32" t="inlineStr">
        <is>
          <t>TANKWAGON</t>
        </is>
      </c>
      <c r="B1195" s="24">
        <f>IFERROR(INDEX(Companies!$A$3:$A$101,MATCH(A1195,Companies!$B$3:$B$101,0)),"")</f>
        <v/>
      </c>
      <c r="D1195" t="inlineStr">
        <is>
          <t>D5DD17E08DFA</t>
        </is>
      </c>
      <c r="E1195" s="24">
        <f>LEFT(D1195,2)&amp;":"&amp;MID(D1195,3,2)&amp;":"&amp;MID(D1195,5,2)&amp;":"&amp;MID(D1195,7,2)&amp;":"&amp;MID(D1195,9,2)&amp;":"&amp;RIGHT(D1195,2)</f>
        <v/>
      </c>
      <c r="H1195" s="2" t="inlineStr">
        <is>
          <t>C327C692B47FB4E3</t>
        </is>
      </c>
      <c r="J1195" t="inlineStr">
        <is>
          <t>VIEZO0000000000000015</t>
        </is>
      </c>
    </row>
    <row r="1196">
      <c r="A1196" s="32" t="inlineStr">
        <is>
          <t>TANKWAGON</t>
        </is>
      </c>
      <c r="B1196" s="24">
        <f>IFERROR(INDEX(Companies!$A$3:$A$101,MATCH(A1196,Companies!$B$3:$B$101,0)),"")</f>
        <v/>
      </c>
      <c r="D1196" t="inlineStr">
        <is>
          <t>FDA39D1782AA</t>
        </is>
      </c>
      <c r="E1196" s="24">
        <f>LEFT(D1196,2)&amp;":"&amp;MID(D1196,3,2)&amp;":"&amp;MID(D1196,5,2)&amp;":"&amp;MID(D1196,7,2)&amp;":"&amp;MID(D1196,9,2)&amp;":"&amp;RIGHT(D1196,2)</f>
        <v/>
      </c>
      <c r="H1196" s="2" t="inlineStr">
        <is>
          <t>735E0CCACF8E1125</t>
        </is>
      </c>
      <c r="J1196" t="inlineStr">
        <is>
          <t>VIEZO0000000000000016</t>
        </is>
      </c>
    </row>
    <row r="1197">
      <c r="A1197" s="32" t="inlineStr">
        <is>
          <t>TANKWAGON</t>
        </is>
      </c>
      <c r="B1197" s="24">
        <f>IFERROR(INDEX(Companies!$A$3:$A$101,MATCH(A1197,Companies!$B$3:$B$101,0)),"")</f>
        <v/>
      </c>
      <c r="D1197" t="inlineStr">
        <is>
          <t>D91C3F1BE877</t>
        </is>
      </c>
      <c r="E1197" s="24">
        <f>LEFT(D1197,2)&amp;":"&amp;MID(D1197,3,2)&amp;":"&amp;MID(D1197,5,2)&amp;":"&amp;MID(D1197,7,2)&amp;":"&amp;MID(D1197,9,2)&amp;":"&amp;RIGHT(D1197,2)</f>
        <v/>
      </c>
      <c r="H1197" s="2" t="inlineStr">
        <is>
          <t>D4926D18FE6FBCCF</t>
        </is>
      </c>
      <c r="J1197" t="inlineStr">
        <is>
          <t>VIEZO0000000000000017</t>
        </is>
      </c>
    </row>
    <row r="1198">
      <c r="A1198" s="32" t="inlineStr">
        <is>
          <t>TANKWAGON</t>
        </is>
      </c>
      <c r="B1198" s="24">
        <f>IFERROR(INDEX(Companies!$A$3:$A$101,MATCH(A1198,Companies!$B$3:$B$101,0)),"")</f>
        <v/>
      </c>
      <c r="D1198" t="inlineStr">
        <is>
          <t>CC1949080822</t>
        </is>
      </c>
      <c r="E1198" s="24">
        <f>LEFT(D1198,2)&amp;":"&amp;MID(D1198,3,2)&amp;":"&amp;MID(D1198,5,2)&amp;":"&amp;MID(D1198,7,2)&amp;":"&amp;MID(D1198,9,2)&amp;":"&amp;RIGHT(D1198,2)</f>
        <v/>
      </c>
      <c r="H1198" s="2" t="inlineStr">
        <is>
          <t>77CDBC633C5471F9</t>
        </is>
      </c>
      <c r="J1198" t="inlineStr">
        <is>
          <t>VIEZO0000000000000018</t>
        </is>
      </c>
    </row>
    <row r="1199">
      <c r="A1199" s="32" t="inlineStr">
        <is>
          <t>TANKWAGON</t>
        </is>
      </c>
      <c r="B1199" s="24">
        <f>IFERROR(INDEX(Companies!$A$3:$A$101,MATCH(A1199,Companies!$B$3:$B$101,0)),"")</f>
        <v/>
      </c>
      <c r="D1199" t="inlineStr">
        <is>
          <t>F351D49EA1BF</t>
        </is>
      </c>
      <c r="E1199" s="24">
        <f>LEFT(D1199,2)&amp;":"&amp;MID(D1199,3,2)&amp;":"&amp;MID(D1199,5,2)&amp;":"&amp;MID(D1199,7,2)&amp;":"&amp;MID(D1199,9,2)&amp;":"&amp;RIGHT(D1199,2)</f>
        <v/>
      </c>
      <c r="H1199" s="2" t="inlineStr">
        <is>
          <t>7EB4CD23BD48BE35</t>
        </is>
      </c>
      <c r="J1199" t="inlineStr">
        <is>
          <t>VIEZO0000000000000019</t>
        </is>
      </c>
    </row>
    <row r="1200">
      <c r="A1200" s="32" t="inlineStr">
        <is>
          <t>TANKWAGON</t>
        </is>
      </c>
      <c r="B1200" s="24">
        <f>IFERROR(INDEX(Companies!$A$3:$A$101,MATCH(A1200,Companies!$B$3:$B$101,0)),"")</f>
        <v/>
      </c>
      <c r="D1200" t="inlineStr">
        <is>
          <t>D36D979F567A</t>
        </is>
      </c>
      <c r="E1200" s="24">
        <f>LEFT(D1200,2)&amp;":"&amp;MID(D1200,3,2)&amp;":"&amp;MID(D1200,5,2)&amp;":"&amp;MID(D1200,7,2)&amp;":"&amp;MID(D1200,9,2)&amp;":"&amp;RIGHT(D1200,2)</f>
        <v/>
      </c>
      <c r="H1200" s="2" t="inlineStr">
        <is>
          <t>2287FAC5586DBA1E</t>
        </is>
      </c>
      <c r="J1200" t="inlineStr">
        <is>
          <t>VIEZO0000000000000020</t>
        </is>
      </c>
    </row>
    <row r="1201">
      <c r="A1201" s="32" t="inlineStr">
        <is>
          <t>TANKWAGON</t>
        </is>
      </c>
      <c r="B1201" s="24">
        <f>IFERROR(INDEX(Companies!$A$3:$A$101,MATCH(A1201,Companies!$B$3:$B$101,0)),"")</f>
        <v/>
      </c>
      <c r="D1201" t="inlineStr">
        <is>
          <t>E775697B8AB8</t>
        </is>
      </c>
      <c r="E1201" s="24">
        <f>LEFT(D1201,2)&amp;":"&amp;MID(D1201,3,2)&amp;":"&amp;MID(D1201,5,2)&amp;":"&amp;MID(D1201,7,2)&amp;":"&amp;MID(D1201,9,2)&amp;":"&amp;RIGHT(D1201,2)</f>
        <v/>
      </c>
      <c r="H1201" s="2" t="inlineStr">
        <is>
          <t>40B1873BAA8182A0</t>
        </is>
      </c>
      <c r="J1201" t="inlineStr">
        <is>
          <t>VIEZO0000000000000021</t>
        </is>
      </c>
    </row>
    <row r="1202">
      <c r="A1202" s="32" t="inlineStr">
        <is>
          <t>TANKWAGON</t>
        </is>
      </c>
      <c r="B1202" s="24">
        <f>IFERROR(INDEX(Companies!$A$3:$A$101,MATCH(A1202,Companies!$B$3:$B$101,0)),"")</f>
        <v/>
      </c>
      <c r="D1202" t="inlineStr">
        <is>
          <t>C71CD33AB971</t>
        </is>
      </c>
      <c r="E1202" s="24">
        <f>LEFT(D1202,2)&amp;":"&amp;MID(D1202,3,2)&amp;":"&amp;MID(D1202,5,2)&amp;":"&amp;MID(D1202,7,2)&amp;":"&amp;MID(D1202,9,2)&amp;":"&amp;RIGHT(D1202,2)</f>
        <v/>
      </c>
      <c r="H1202" s="2" t="inlineStr">
        <is>
          <t>5C07B27DDB79A893</t>
        </is>
      </c>
      <c r="J1202" s="26" t="inlineStr">
        <is>
          <t>VIEZO0000000000000023</t>
        </is>
      </c>
    </row>
    <row r="1203">
      <c r="A1203" s="32" t="inlineStr">
        <is>
          <t>TANKWAGON</t>
        </is>
      </c>
      <c r="B1203" s="24">
        <f>IFERROR(INDEX(Companies!$A$3:$A$101,MATCH(A1203,Companies!$B$3:$B$101,0)),"")</f>
        <v/>
      </c>
      <c r="D1203" t="inlineStr">
        <is>
          <t>EB25C485B03F</t>
        </is>
      </c>
      <c r="E1203" s="24">
        <f>LEFT(D1203,2)&amp;":"&amp;MID(D1203,3,2)&amp;":"&amp;MID(D1203,5,2)&amp;":"&amp;MID(D1203,7,2)&amp;":"&amp;MID(D1203,9,2)&amp;":"&amp;RIGHT(D1203,2)</f>
        <v/>
      </c>
      <c r="H1203" s="2" t="inlineStr">
        <is>
          <t>6306752490400F28</t>
        </is>
      </c>
      <c r="J1203" t="inlineStr">
        <is>
          <t>VIEZO0000000000000024</t>
        </is>
      </c>
    </row>
    <row r="1204">
      <c r="A1204" s="32" t="inlineStr">
        <is>
          <t>TANKWAGON</t>
        </is>
      </c>
      <c r="B1204" s="24">
        <f>IFERROR(INDEX(Companies!$A$3:$A$101,MATCH(A1204,Companies!$B$3:$B$101,0)),"")</f>
        <v/>
      </c>
      <c r="D1204" t="inlineStr">
        <is>
          <t>ED4630FCF668</t>
        </is>
      </c>
      <c r="E1204" s="24">
        <f>LEFT(D1204,2)&amp;":"&amp;MID(D1204,3,2)&amp;":"&amp;MID(D1204,5,2)&amp;":"&amp;MID(D1204,7,2)&amp;":"&amp;MID(D1204,9,2)&amp;":"&amp;RIGHT(D1204,2)</f>
        <v/>
      </c>
      <c r="H1204" s="2" t="inlineStr">
        <is>
          <t>B3DCB625E4837026</t>
        </is>
      </c>
      <c r="J1204" t="inlineStr">
        <is>
          <t>VIEZO0000000000000025</t>
        </is>
      </c>
    </row>
    <row r="1205">
      <c r="A1205" s="32" t="inlineStr">
        <is>
          <t>TANKWAGON</t>
        </is>
      </c>
      <c r="B1205" s="24">
        <f>IFERROR(INDEX(Companies!$A$3:$A$101,MATCH(A1205,Companies!$B$3:$B$101,0)),"")</f>
        <v/>
      </c>
      <c r="D1205" t="inlineStr">
        <is>
          <t>FCA2C78E0353</t>
        </is>
      </c>
      <c r="E1205" s="24">
        <f>LEFT(D1205,2)&amp;":"&amp;MID(D1205,3,2)&amp;":"&amp;MID(D1205,5,2)&amp;":"&amp;MID(D1205,7,2)&amp;":"&amp;MID(D1205,9,2)&amp;":"&amp;RIGHT(D1205,2)</f>
        <v/>
      </c>
      <c r="H1205" s="2" t="inlineStr">
        <is>
          <t>E09BF38BF1F2C141</t>
        </is>
      </c>
      <c r="J1205" t="inlineStr">
        <is>
          <t>VIEZO0000000000000026</t>
        </is>
      </c>
    </row>
    <row r="1206">
      <c r="A1206" s="32" t="inlineStr">
        <is>
          <t>TANKWAGON</t>
        </is>
      </c>
      <c r="B1206" s="24">
        <f>IFERROR(INDEX(Companies!$A$3:$A$101,MATCH(A1206,Companies!$B$3:$B$101,0)),"")</f>
        <v/>
      </c>
      <c r="D1206" t="inlineStr">
        <is>
          <t>CB2CBB2A187D</t>
        </is>
      </c>
      <c r="E1206" s="24">
        <f>LEFT(D1206,2)&amp;":"&amp;MID(D1206,3,2)&amp;":"&amp;MID(D1206,5,2)&amp;":"&amp;MID(D1206,7,2)&amp;":"&amp;MID(D1206,9,2)&amp;":"&amp;RIGHT(D1206,2)</f>
        <v/>
      </c>
      <c r="H1206" s="2" t="inlineStr">
        <is>
          <t>715A5DF2DC66905B</t>
        </is>
      </c>
      <c r="J1206" t="inlineStr">
        <is>
          <t>VIEZO0000000000000027</t>
        </is>
      </c>
    </row>
    <row r="1207">
      <c r="A1207" s="32" t="inlineStr">
        <is>
          <t>TANKWAGON</t>
        </is>
      </c>
      <c r="B1207" s="24">
        <f>IFERROR(INDEX(Companies!$A$3:$A$101,MATCH(A1207,Companies!$B$3:$B$101,0)),"")</f>
        <v/>
      </c>
      <c r="D1207" t="inlineStr">
        <is>
          <t>D7599355472F</t>
        </is>
      </c>
      <c r="E1207" s="24">
        <f>LEFT(D1207,2)&amp;":"&amp;MID(D1207,3,2)&amp;":"&amp;MID(D1207,5,2)&amp;":"&amp;MID(D1207,7,2)&amp;":"&amp;MID(D1207,9,2)&amp;":"&amp;RIGHT(D1207,2)</f>
        <v/>
      </c>
      <c r="H1207" s="2" t="inlineStr">
        <is>
          <t>BCE1C1968C149404</t>
        </is>
      </c>
      <c r="J1207" t="inlineStr">
        <is>
          <t>VIEZO0000000000000028</t>
        </is>
      </c>
    </row>
    <row r="1208">
      <c r="A1208" s="32" t="inlineStr">
        <is>
          <t>TANKWAGON</t>
        </is>
      </c>
      <c r="B1208" s="24">
        <f>IFERROR(INDEX(Companies!$A$3:$A$101,MATCH(A1208,Companies!$B$3:$B$101,0)),"")</f>
        <v/>
      </c>
      <c r="D1208" t="inlineStr">
        <is>
          <t>C48670BF80C3</t>
        </is>
      </c>
      <c r="E1208" s="24">
        <f>LEFT(D1208,2)&amp;":"&amp;MID(D1208,3,2)&amp;":"&amp;MID(D1208,5,2)&amp;":"&amp;MID(D1208,7,2)&amp;":"&amp;MID(D1208,9,2)&amp;":"&amp;RIGHT(D1208,2)</f>
        <v/>
      </c>
      <c r="H1208" s="2" t="inlineStr">
        <is>
          <t>2F7E444B857D5393</t>
        </is>
      </c>
      <c r="J1208" t="inlineStr">
        <is>
          <t>VIEZO0000000000000029</t>
        </is>
      </c>
    </row>
    <row r="1209">
      <c r="A1209" s="32" t="inlineStr">
        <is>
          <t>TANKWAGON</t>
        </is>
      </c>
      <c r="B1209" s="24">
        <f>IFERROR(INDEX(Companies!$A$3:$A$101,MATCH(A1209,Companies!$B$3:$B$101,0)),"")</f>
        <v/>
      </c>
      <c r="D1209" t="inlineStr">
        <is>
          <t>E1F34EBAF565</t>
        </is>
      </c>
      <c r="E1209" s="24">
        <f>LEFT(D1209,2)&amp;":"&amp;MID(D1209,3,2)&amp;":"&amp;MID(D1209,5,2)&amp;":"&amp;MID(D1209,7,2)&amp;":"&amp;MID(D1209,9,2)&amp;":"&amp;RIGHT(D1209,2)</f>
        <v/>
      </c>
      <c r="H1209" s="2" t="inlineStr">
        <is>
          <t>A6AACAE5BF9A3CCE</t>
        </is>
      </c>
      <c r="J1209" t="inlineStr">
        <is>
          <t>VIEZO0000000000000030</t>
        </is>
      </c>
    </row>
    <row r="1210">
      <c r="A1210" s="32" t="inlineStr">
        <is>
          <t>TANKWAGON</t>
        </is>
      </c>
      <c r="B1210" s="24">
        <f>IFERROR(INDEX(Companies!$A$3:$A$101,MATCH(A1210,Companies!$B$3:$B$101,0)),"")</f>
        <v/>
      </c>
      <c r="D1210" t="inlineStr">
        <is>
          <t>D83C3FDE2C4A</t>
        </is>
      </c>
      <c r="E1210" s="24">
        <f>LEFT(D1210,2)&amp;":"&amp;MID(D1210,3,2)&amp;":"&amp;MID(D1210,5,2)&amp;":"&amp;MID(D1210,7,2)&amp;":"&amp;MID(D1210,9,2)&amp;":"&amp;RIGHT(D1210,2)</f>
        <v/>
      </c>
      <c r="H1210" s="2" t="inlineStr">
        <is>
          <t>C10982CF6B1AA6A7</t>
        </is>
      </c>
      <c r="J1210" t="inlineStr">
        <is>
          <t>VIEZO0000000000000031</t>
        </is>
      </c>
    </row>
    <row r="1211">
      <c r="A1211" s="32" t="inlineStr">
        <is>
          <t>TANKWAGON</t>
        </is>
      </c>
      <c r="B1211" s="24">
        <f>IFERROR(INDEX(Companies!$A$3:$A$101,MATCH(A1211,Companies!$B$3:$B$101,0)),"")</f>
        <v/>
      </c>
      <c r="D1211" t="inlineStr">
        <is>
          <t>CE0B066C32D4</t>
        </is>
      </c>
      <c r="E1211" s="24">
        <f>LEFT(D1211,2)&amp;":"&amp;MID(D1211,3,2)&amp;":"&amp;MID(D1211,5,2)&amp;":"&amp;MID(D1211,7,2)&amp;":"&amp;MID(D1211,9,2)&amp;":"&amp;RIGHT(D1211,2)</f>
        <v/>
      </c>
      <c r="H1211" s="2" t="inlineStr">
        <is>
          <t>92EC8E2ED1BD0FDB</t>
        </is>
      </c>
      <c r="J1211" t="inlineStr">
        <is>
          <t>VIEZO0000000000000032</t>
        </is>
      </c>
    </row>
    <row r="1212">
      <c r="A1212" s="32" t="inlineStr">
        <is>
          <t>TANKWAGON</t>
        </is>
      </c>
      <c r="B1212" s="24">
        <f>IFERROR(INDEX(Companies!$A$3:$A$101,MATCH(A1212,Companies!$B$3:$B$101,0)),"")</f>
        <v/>
      </c>
      <c r="D1212" t="inlineStr">
        <is>
          <t>D2B2E846DF80</t>
        </is>
      </c>
      <c r="E1212" s="24">
        <f>LEFT(D1212,2)&amp;":"&amp;MID(D1212,3,2)&amp;":"&amp;MID(D1212,5,2)&amp;":"&amp;MID(D1212,7,2)&amp;":"&amp;MID(D1212,9,2)&amp;":"&amp;RIGHT(D1212,2)</f>
        <v/>
      </c>
      <c r="H1212" s="2" t="inlineStr">
        <is>
          <t>307BE3A59A54752D</t>
        </is>
      </c>
      <c r="J1212" t="inlineStr">
        <is>
          <t>VIEZO0000000000000033</t>
        </is>
      </c>
    </row>
    <row r="1213">
      <c r="A1213" s="32" t="inlineStr">
        <is>
          <t>TANKWAGON</t>
        </is>
      </c>
      <c r="B1213" s="24">
        <f>IFERROR(INDEX(Companies!$A$3:$A$101,MATCH(A1213,Companies!$B$3:$B$101,0)),"")</f>
        <v/>
      </c>
      <c r="D1213" t="inlineStr">
        <is>
          <t>FFFBE01E1AF8</t>
        </is>
      </c>
      <c r="E1213" s="24">
        <f>LEFT(D1213,2)&amp;":"&amp;MID(D1213,3,2)&amp;":"&amp;MID(D1213,5,2)&amp;":"&amp;MID(D1213,7,2)&amp;":"&amp;MID(D1213,9,2)&amp;":"&amp;RIGHT(D1213,2)</f>
        <v/>
      </c>
      <c r="H1213" s="2" t="inlineStr">
        <is>
          <t>2B20F3AA754719AF</t>
        </is>
      </c>
      <c r="J1213" t="inlineStr">
        <is>
          <t>VIEZO0000000000000034</t>
        </is>
      </c>
    </row>
    <row r="1214">
      <c r="A1214" s="32" t="inlineStr">
        <is>
          <t>TANKWAGON</t>
        </is>
      </c>
      <c r="B1214" s="24">
        <f>IFERROR(INDEX(Companies!$A$3:$A$101,MATCH(A1214,Companies!$B$3:$B$101,0)),"")</f>
        <v/>
      </c>
      <c r="D1214" t="inlineStr">
        <is>
          <t>FBFB93797021</t>
        </is>
      </c>
      <c r="E1214" s="24">
        <f>LEFT(D1214,2)&amp;":"&amp;MID(D1214,3,2)&amp;":"&amp;MID(D1214,5,2)&amp;":"&amp;MID(D1214,7,2)&amp;":"&amp;MID(D1214,9,2)&amp;":"&amp;RIGHT(D1214,2)</f>
        <v/>
      </c>
      <c r="H1214" s="2" t="inlineStr">
        <is>
          <t>298605DD9A0287AD</t>
        </is>
      </c>
      <c r="J1214" t="inlineStr">
        <is>
          <t>VIEZO0000000000000035</t>
        </is>
      </c>
    </row>
    <row r="1215">
      <c r="A1215" s="32" t="inlineStr">
        <is>
          <t>TANKWAGON</t>
        </is>
      </c>
      <c r="B1215" s="24">
        <f>IFERROR(INDEX(Companies!$A$3:$A$101,MATCH(A1215,Companies!$B$3:$B$101,0)),"")</f>
        <v/>
      </c>
      <c r="D1215" t="inlineStr">
        <is>
          <t>C939052DB445</t>
        </is>
      </c>
      <c r="E1215" s="24">
        <f>LEFT(D1215,2)&amp;":"&amp;MID(D1215,3,2)&amp;":"&amp;MID(D1215,5,2)&amp;":"&amp;MID(D1215,7,2)&amp;":"&amp;MID(D1215,9,2)&amp;":"&amp;RIGHT(D1215,2)</f>
        <v/>
      </c>
      <c r="H1215" s="2" t="inlineStr">
        <is>
          <t>592BC67F23136955</t>
        </is>
      </c>
      <c r="J1215" t="inlineStr">
        <is>
          <t>VIEZO0000000000000036</t>
        </is>
      </c>
    </row>
    <row r="1216">
      <c r="A1216" s="32" t="inlineStr">
        <is>
          <t>TANKWAGON</t>
        </is>
      </c>
      <c r="B1216" s="24">
        <f>IFERROR(INDEX(Companies!$A$3:$A$101,MATCH(A1216,Companies!$B$3:$B$101,0)),"")</f>
        <v/>
      </c>
      <c r="D1216" t="inlineStr">
        <is>
          <t>FE6DC828D895</t>
        </is>
      </c>
      <c r="E1216" s="24">
        <f>LEFT(D1216,2)&amp;":"&amp;MID(D1216,3,2)&amp;":"&amp;MID(D1216,5,2)&amp;":"&amp;MID(D1216,7,2)&amp;":"&amp;MID(D1216,9,2)&amp;":"&amp;RIGHT(D1216,2)</f>
        <v/>
      </c>
      <c r="H1216" s="2" t="inlineStr">
        <is>
          <t>FCC3259991126E37</t>
        </is>
      </c>
      <c r="J1216" t="inlineStr">
        <is>
          <t>VIEZO0000000000000037</t>
        </is>
      </c>
    </row>
    <row r="1217">
      <c r="A1217" s="32" t="inlineStr">
        <is>
          <t>TANKWAGON</t>
        </is>
      </c>
      <c r="B1217" s="24">
        <f>IFERROR(INDEX(Companies!$A$3:$A$101,MATCH(A1217,Companies!$B$3:$B$101,0)),"")</f>
        <v/>
      </c>
      <c r="D1217" t="inlineStr">
        <is>
          <t>D78B511BE07A</t>
        </is>
      </c>
      <c r="E1217" s="24">
        <f>LEFT(D1217,2)&amp;":"&amp;MID(D1217,3,2)&amp;":"&amp;MID(D1217,5,2)&amp;":"&amp;MID(D1217,7,2)&amp;":"&amp;MID(D1217,9,2)&amp;":"&amp;RIGHT(D1217,2)</f>
        <v/>
      </c>
      <c r="H1217" s="2" t="inlineStr">
        <is>
          <t>A94B059E2980CFDD</t>
        </is>
      </c>
      <c r="J1217" t="inlineStr">
        <is>
          <t>VIEZO0000000000000038</t>
        </is>
      </c>
    </row>
    <row r="1218">
      <c r="A1218" s="32" t="inlineStr">
        <is>
          <t>TANKWAGON</t>
        </is>
      </c>
      <c r="B1218" s="24">
        <f>IFERROR(INDEX(Companies!$A$3:$A$101,MATCH(A1218,Companies!$B$3:$B$101,0)),"")</f>
        <v/>
      </c>
      <c r="D1218" t="inlineStr">
        <is>
          <t>DA04F1D79D46</t>
        </is>
      </c>
      <c r="E1218" s="24">
        <f>LEFT(D1218,2)&amp;":"&amp;MID(D1218,3,2)&amp;":"&amp;MID(D1218,5,2)&amp;":"&amp;MID(D1218,7,2)&amp;":"&amp;MID(D1218,9,2)&amp;":"&amp;RIGHT(D1218,2)</f>
        <v/>
      </c>
      <c r="H1218" s="2" t="inlineStr">
        <is>
          <t>11D5B50D0E8F112D</t>
        </is>
      </c>
      <c r="J1218" t="inlineStr">
        <is>
          <t>VIEZO0000000000000039</t>
        </is>
      </c>
    </row>
    <row r="1219">
      <c r="A1219" s="32" t="inlineStr">
        <is>
          <t>TANKWAGON</t>
        </is>
      </c>
      <c r="B1219" s="24">
        <f>IFERROR(INDEX(Companies!$A$3:$A$101,MATCH(A1219,Companies!$B$3:$B$101,0)),"")</f>
        <v/>
      </c>
      <c r="D1219" t="inlineStr">
        <is>
          <t>FA2AC78D6B19</t>
        </is>
      </c>
      <c r="E1219" s="24">
        <f>LEFT(D1219,2)&amp;":"&amp;MID(D1219,3,2)&amp;":"&amp;MID(D1219,5,2)&amp;":"&amp;MID(D1219,7,2)&amp;":"&amp;MID(D1219,9,2)&amp;":"&amp;RIGHT(D1219,2)</f>
        <v/>
      </c>
      <c r="H1219" s="2" t="inlineStr">
        <is>
          <t>3F6A49C2E3433FE0</t>
        </is>
      </c>
      <c r="J1219" t="inlineStr">
        <is>
          <t>VIEZO0000000000000040</t>
        </is>
      </c>
    </row>
    <row r="1220">
      <c r="A1220" s="32" t="inlineStr">
        <is>
          <t>TANKWAGON</t>
        </is>
      </c>
      <c r="B1220" s="24">
        <f>IFERROR(INDEX(Companies!$A$3:$A$101,MATCH(A1220,Companies!$B$3:$B$101,0)),"")</f>
        <v/>
      </c>
      <c r="D1220" t="inlineStr">
        <is>
          <t>C8D1A6091702</t>
        </is>
      </c>
      <c r="E1220" s="24">
        <f>LEFT(D1220,2)&amp;":"&amp;MID(D1220,3,2)&amp;":"&amp;MID(D1220,5,2)&amp;":"&amp;MID(D1220,7,2)&amp;":"&amp;MID(D1220,9,2)&amp;":"&amp;RIGHT(D1220,2)</f>
        <v/>
      </c>
      <c r="H1220" s="2" t="inlineStr">
        <is>
          <t>7540F8148D86BD1E</t>
        </is>
      </c>
      <c r="J1220" s="26" t="inlineStr">
        <is>
          <t>VIEZO0000000000000041</t>
        </is>
      </c>
    </row>
    <row r="1221">
      <c r="A1221" s="32" t="inlineStr">
        <is>
          <t>TANKWAGON</t>
        </is>
      </c>
      <c r="B1221" s="24">
        <f>IFERROR(INDEX(Companies!$A$3:$A$101,MATCH(A1221,Companies!$B$3:$B$101,0)),"")</f>
        <v/>
      </c>
      <c r="D1221" t="inlineStr">
        <is>
          <t>D36C22F73109</t>
        </is>
      </c>
      <c r="E1221" s="24">
        <f>LEFT(D1221,2)&amp;":"&amp;MID(D1221,3,2)&amp;":"&amp;MID(D1221,5,2)&amp;":"&amp;MID(D1221,7,2)&amp;":"&amp;MID(D1221,9,2)&amp;":"&amp;RIGHT(D1221,2)</f>
        <v/>
      </c>
      <c r="H1221" s="2" t="inlineStr">
        <is>
          <t>16C0349303074666</t>
        </is>
      </c>
      <c r="J1221" t="inlineStr">
        <is>
          <t>VIEZO0000000000000042</t>
        </is>
      </c>
    </row>
    <row r="1222">
      <c r="A1222" s="32" t="inlineStr">
        <is>
          <t>TANKWAGON</t>
        </is>
      </c>
      <c r="B1222" s="24">
        <f>IFERROR(INDEX(Companies!$A$3:$A$101,MATCH(A1222,Companies!$B$3:$B$101,0)),"")</f>
        <v/>
      </c>
      <c r="D1222" t="inlineStr">
        <is>
          <t>FEEC28ECE0D1</t>
        </is>
      </c>
      <c r="E1222" s="24">
        <f>LEFT(D1222,2)&amp;":"&amp;MID(D1222,3,2)&amp;":"&amp;MID(D1222,5,2)&amp;":"&amp;MID(D1222,7,2)&amp;":"&amp;MID(D1222,9,2)&amp;":"&amp;RIGHT(D1222,2)</f>
        <v/>
      </c>
      <c r="H1222" s="2" t="inlineStr">
        <is>
          <t>E6358A2CEBBDB404</t>
        </is>
      </c>
      <c r="J1222" t="inlineStr">
        <is>
          <t>VIEZO0000000000000043</t>
        </is>
      </c>
    </row>
    <row r="1223">
      <c r="A1223" s="32" t="inlineStr">
        <is>
          <t>TANKWAGON</t>
        </is>
      </c>
      <c r="B1223" s="24">
        <f>IFERROR(INDEX(Companies!$A$3:$A$101,MATCH(A1223,Companies!$B$3:$B$101,0)),"")</f>
        <v/>
      </c>
      <c r="D1223" t="inlineStr">
        <is>
          <t>DE2078D4C50C</t>
        </is>
      </c>
      <c r="E1223" s="24">
        <f>LEFT(D1223,2)&amp;":"&amp;MID(D1223,3,2)&amp;":"&amp;MID(D1223,5,2)&amp;":"&amp;MID(D1223,7,2)&amp;":"&amp;MID(D1223,9,2)&amp;":"&amp;RIGHT(D1223,2)</f>
        <v/>
      </c>
      <c r="H1223" s="2" t="inlineStr">
        <is>
          <t>66C84AED7928CE6E</t>
        </is>
      </c>
      <c r="J1223" t="inlineStr">
        <is>
          <t>VIEZO0000000000000044</t>
        </is>
      </c>
    </row>
    <row r="1224">
      <c r="A1224" s="32" t="inlineStr">
        <is>
          <t>TANKWAGON</t>
        </is>
      </c>
      <c r="B1224" s="24">
        <f>IFERROR(INDEX(Companies!$A$3:$A$101,MATCH(A1224,Companies!$B$3:$B$101,0)),"")</f>
        <v/>
      </c>
      <c r="D1224" t="inlineStr">
        <is>
          <t>CB04791C53EF</t>
        </is>
      </c>
      <c r="E1224" s="24">
        <f>LEFT(D1224,2)&amp;":"&amp;MID(D1224,3,2)&amp;":"&amp;MID(D1224,5,2)&amp;":"&amp;MID(D1224,7,2)&amp;":"&amp;MID(D1224,9,2)&amp;":"&amp;RIGHT(D1224,2)</f>
        <v/>
      </c>
      <c r="H1224" s="2" t="inlineStr">
        <is>
          <t>919B8BD6F10D707D</t>
        </is>
      </c>
      <c r="J1224" t="inlineStr">
        <is>
          <t>VIEZO0000000000000045</t>
        </is>
      </c>
    </row>
    <row r="1225">
      <c r="A1225" s="32" t="inlineStr">
        <is>
          <t>TANKWAGON</t>
        </is>
      </c>
      <c r="B1225" s="24">
        <f>IFERROR(INDEX(Companies!$A$3:$A$101,MATCH(A1225,Companies!$B$3:$B$101,0)),"")</f>
        <v/>
      </c>
      <c r="D1225" t="inlineStr">
        <is>
          <t>FE35550C2826</t>
        </is>
      </c>
      <c r="E1225" s="24">
        <f>LEFT(D1225,2)&amp;":"&amp;MID(D1225,3,2)&amp;":"&amp;MID(D1225,5,2)&amp;":"&amp;MID(D1225,7,2)&amp;":"&amp;MID(D1225,9,2)&amp;":"&amp;RIGHT(D1225,2)</f>
        <v/>
      </c>
      <c r="H1225" s="2" t="inlineStr">
        <is>
          <t>E08815769BF2D018</t>
        </is>
      </c>
      <c r="J1225" t="inlineStr">
        <is>
          <t>VIEZO0000000000000046</t>
        </is>
      </c>
    </row>
    <row r="1226">
      <c r="A1226" s="32" t="inlineStr">
        <is>
          <t>TANKWAGON</t>
        </is>
      </c>
      <c r="B1226" s="24">
        <f>IFERROR(INDEX(Companies!$A$3:$A$101,MATCH(A1226,Companies!$B$3:$B$101,0)),"")</f>
        <v/>
      </c>
      <c r="D1226" t="inlineStr">
        <is>
          <t>E085DCD4A7C9</t>
        </is>
      </c>
      <c r="E1226" s="24">
        <f>LEFT(D1226,2)&amp;":"&amp;MID(D1226,3,2)&amp;":"&amp;MID(D1226,5,2)&amp;":"&amp;MID(D1226,7,2)&amp;":"&amp;MID(D1226,9,2)&amp;":"&amp;RIGHT(D1226,2)</f>
        <v/>
      </c>
      <c r="H1226" s="2" t="inlineStr">
        <is>
          <t>C3BE170516BB4E79</t>
        </is>
      </c>
      <c r="J1226" t="inlineStr">
        <is>
          <t>VIEZO0000000000000047</t>
        </is>
      </c>
    </row>
    <row r="1227">
      <c r="A1227" s="32" t="inlineStr">
        <is>
          <t>TANKWAGON</t>
        </is>
      </c>
      <c r="B1227" s="24">
        <f>IFERROR(INDEX(Companies!$A$3:$A$101,MATCH(A1227,Companies!$B$3:$B$101,0)),"")</f>
        <v/>
      </c>
      <c r="D1227" t="inlineStr">
        <is>
          <t>E8E7FAC5DEB5</t>
        </is>
      </c>
      <c r="E1227" s="24">
        <f>LEFT(D1227,2)&amp;":"&amp;MID(D1227,3,2)&amp;":"&amp;MID(D1227,5,2)&amp;":"&amp;MID(D1227,7,2)&amp;":"&amp;MID(D1227,9,2)&amp;":"&amp;RIGHT(D1227,2)</f>
        <v/>
      </c>
      <c r="H1227" s="2" t="inlineStr">
        <is>
          <t>6BD7A6BB0175846F</t>
        </is>
      </c>
      <c r="J1227" t="inlineStr">
        <is>
          <t>VIEZO0000000000000048</t>
        </is>
      </c>
    </row>
    <row r="1228">
      <c r="A1228" s="32" t="inlineStr">
        <is>
          <t>TANKWAGON</t>
        </is>
      </c>
      <c r="B1228" s="24">
        <f>IFERROR(INDEX(Companies!$A$3:$A$101,MATCH(A1228,Companies!$B$3:$B$101,0)),"")</f>
        <v/>
      </c>
      <c r="D1228" t="inlineStr">
        <is>
          <t>DF6F5A4FFE51</t>
        </is>
      </c>
      <c r="E1228" s="24">
        <f>LEFT(D1228,2)&amp;":"&amp;MID(D1228,3,2)&amp;":"&amp;MID(D1228,5,2)&amp;":"&amp;MID(D1228,7,2)&amp;":"&amp;MID(D1228,9,2)&amp;":"&amp;RIGHT(D1228,2)</f>
        <v/>
      </c>
      <c r="H1228" s="2" t="inlineStr">
        <is>
          <t>8F82726C9570F2D3</t>
        </is>
      </c>
      <c r="J1228" t="inlineStr">
        <is>
          <t>VIEZO0000000000000049</t>
        </is>
      </c>
    </row>
    <row r="1229">
      <c r="A1229" s="32" t="inlineStr">
        <is>
          <t>TANKWAGON</t>
        </is>
      </c>
      <c r="B1229" s="24">
        <f>IFERROR(INDEX(Companies!$A$3:$A$101,MATCH(A1229,Companies!$B$3:$B$101,0)),"")</f>
        <v/>
      </c>
      <c r="D1229" t="inlineStr">
        <is>
          <t>DDAC47FB2090</t>
        </is>
      </c>
      <c r="E1229" s="24">
        <f>LEFT(D1229,2)&amp;":"&amp;MID(D1229,3,2)&amp;":"&amp;MID(D1229,5,2)&amp;":"&amp;MID(D1229,7,2)&amp;":"&amp;MID(D1229,9,2)&amp;":"&amp;RIGHT(D1229,2)</f>
        <v/>
      </c>
      <c r="H1229" s="2" t="inlineStr">
        <is>
          <t>AAC057573DF9E488</t>
        </is>
      </c>
      <c r="J1229" t="inlineStr">
        <is>
          <t>VIEZO0000000000000050</t>
        </is>
      </c>
    </row>
    <row r="1230">
      <c r="A1230" s="32" t="inlineStr">
        <is>
          <t>TANKWAGON</t>
        </is>
      </c>
      <c r="B1230" s="24">
        <f>IFERROR(INDEX(Companies!$A$3:$A$101,MATCH(A1230,Companies!$B$3:$B$101,0)),"")</f>
        <v/>
      </c>
      <c r="D1230" t="inlineStr">
        <is>
          <t>DD09C5C21AB3</t>
        </is>
      </c>
      <c r="E1230" s="24">
        <f>LEFT(D1230,2)&amp;":"&amp;MID(D1230,3,2)&amp;":"&amp;MID(D1230,5,2)&amp;":"&amp;MID(D1230,7,2)&amp;":"&amp;MID(D1230,9,2)&amp;":"&amp;RIGHT(D1230,2)</f>
        <v/>
      </c>
      <c r="H1230" s="2" t="inlineStr">
        <is>
          <t>2DDD0954EB0192C1</t>
        </is>
      </c>
      <c r="J1230" t="inlineStr">
        <is>
          <t>VIEZO0000000000000051</t>
        </is>
      </c>
    </row>
    <row r="1231">
      <c r="A1231" s="32" t="inlineStr">
        <is>
          <t>TANKWAGON</t>
        </is>
      </c>
      <c r="B1231" s="24">
        <f>IFERROR(INDEX(Companies!$A$3:$A$101,MATCH(A1231,Companies!$B$3:$B$101,0)),"")</f>
        <v/>
      </c>
      <c r="D1231" t="inlineStr">
        <is>
          <t>F8EE539AF1FD</t>
        </is>
      </c>
      <c r="E1231" s="24">
        <f>LEFT(D1231,2)&amp;":"&amp;MID(D1231,3,2)&amp;":"&amp;MID(D1231,5,2)&amp;":"&amp;MID(D1231,7,2)&amp;":"&amp;MID(D1231,9,2)&amp;":"&amp;RIGHT(D1231,2)</f>
        <v/>
      </c>
      <c r="H1231" s="2" t="inlineStr">
        <is>
          <t>79D7547214F068B0</t>
        </is>
      </c>
      <c r="J1231" t="inlineStr">
        <is>
          <t>VIEZO0000000000000052</t>
        </is>
      </c>
    </row>
    <row r="1232">
      <c r="A1232" s="32" t="inlineStr">
        <is>
          <t>TANKWAGON</t>
        </is>
      </c>
      <c r="B1232" s="24">
        <f>IFERROR(INDEX(Companies!$A$3:$A$101,MATCH(A1232,Companies!$B$3:$B$101,0)),"")</f>
        <v/>
      </c>
      <c r="D1232" t="inlineStr">
        <is>
          <t>F0BA2E701E6C</t>
        </is>
      </c>
      <c r="E1232" s="24">
        <f>LEFT(D1232,2)&amp;":"&amp;MID(D1232,3,2)&amp;":"&amp;MID(D1232,5,2)&amp;":"&amp;MID(D1232,7,2)&amp;":"&amp;MID(D1232,9,2)&amp;":"&amp;RIGHT(D1232,2)</f>
        <v/>
      </c>
      <c r="H1232" s="2" t="inlineStr">
        <is>
          <t>AB5E12A54241588D</t>
        </is>
      </c>
      <c r="J1232" t="inlineStr">
        <is>
          <t>VIEZO0000000000000053</t>
        </is>
      </c>
    </row>
    <row r="1233">
      <c r="A1233" s="32" t="inlineStr">
        <is>
          <t>TANKWAGON</t>
        </is>
      </c>
      <c r="B1233" s="24">
        <f>IFERROR(INDEX(Companies!$A$3:$A$101,MATCH(A1233,Companies!$B$3:$B$101,0)),"")</f>
        <v/>
      </c>
      <c r="D1233" t="inlineStr">
        <is>
          <t>C13583CBE446</t>
        </is>
      </c>
      <c r="E1233" s="24">
        <f>LEFT(D1233,2)&amp;":"&amp;MID(D1233,3,2)&amp;":"&amp;MID(D1233,5,2)&amp;":"&amp;MID(D1233,7,2)&amp;":"&amp;MID(D1233,9,2)&amp;":"&amp;RIGHT(D1233,2)</f>
        <v/>
      </c>
      <c r="H1233" s="2" t="inlineStr">
        <is>
          <t>33592CB855BC4605</t>
        </is>
      </c>
      <c r="J1233" t="inlineStr">
        <is>
          <t>VIEZO0000000000000054</t>
        </is>
      </c>
    </row>
    <row r="1234">
      <c r="A1234" s="32" t="inlineStr">
        <is>
          <t>TANKWAGON</t>
        </is>
      </c>
      <c r="B1234" s="24">
        <f>IFERROR(INDEX(Companies!$A$3:$A$101,MATCH(A1234,Companies!$B$3:$B$101,0)),"")</f>
        <v/>
      </c>
      <c r="D1234" t="inlineStr">
        <is>
          <t>F88B7FF25546</t>
        </is>
      </c>
      <c r="E1234" s="24">
        <f>LEFT(D1234,2)&amp;":"&amp;MID(D1234,3,2)&amp;":"&amp;MID(D1234,5,2)&amp;":"&amp;MID(D1234,7,2)&amp;":"&amp;MID(D1234,9,2)&amp;":"&amp;RIGHT(D1234,2)</f>
        <v/>
      </c>
      <c r="H1234" s="2" t="inlineStr">
        <is>
          <t>C92D5A43040FF580</t>
        </is>
      </c>
      <c r="J1234" t="inlineStr">
        <is>
          <t>VIEZO0000000000000055</t>
        </is>
      </c>
    </row>
    <row r="1235">
      <c r="A1235" s="32" t="inlineStr">
        <is>
          <t>TANKWAGON</t>
        </is>
      </c>
      <c r="B1235" s="24">
        <f>IFERROR(INDEX(Companies!$A$3:$A$101,MATCH(A1235,Companies!$B$3:$B$101,0)),"")</f>
        <v/>
      </c>
      <c r="D1235" t="inlineStr">
        <is>
          <t>DF052A94CC4B</t>
        </is>
      </c>
      <c r="E1235" s="24">
        <f>LEFT(D1235,2)&amp;":"&amp;MID(D1235,3,2)&amp;":"&amp;MID(D1235,5,2)&amp;":"&amp;MID(D1235,7,2)&amp;":"&amp;MID(D1235,9,2)&amp;":"&amp;RIGHT(D1235,2)</f>
        <v/>
      </c>
      <c r="H1235" s="2" t="inlineStr">
        <is>
          <t>8642703B0B20A9ED</t>
        </is>
      </c>
      <c r="J1235" t="inlineStr">
        <is>
          <t>VIEZO0000000000000056</t>
        </is>
      </c>
    </row>
    <row r="1236">
      <c r="A1236" s="32" t="inlineStr">
        <is>
          <t>TANKWAGON</t>
        </is>
      </c>
      <c r="B1236" s="24">
        <f>IFERROR(INDEX(Companies!$A$3:$A$101,MATCH(A1236,Companies!$B$3:$B$101,0)),"")</f>
        <v/>
      </c>
      <c r="D1236" t="inlineStr">
        <is>
          <t>D934F3D6F9D5</t>
        </is>
      </c>
      <c r="E1236" s="24">
        <f>LEFT(D1236,2)&amp;":"&amp;MID(D1236,3,2)&amp;":"&amp;MID(D1236,5,2)&amp;":"&amp;MID(D1236,7,2)&amp;":"&amp;MID(D1236,9,2)&amp;":"&amp;RIGHT(D1236,2)</f>
        <v/>
      </c>
      <c r="H1236" s="2" t="inlineStr">
        <is>
          <t>2A8F886D737402F7</t>
        </is>
      </c>
      <c r="J1236" t="inlineStr">
        <is>
          <t>VIEZO0000000000000057</t>
        </is>
      </c>
    </row>
    <row r="1237">
      <c r="A1237" s="32" t="inlineStr">
        <is>
          <t>TANKWAGON</t>
        </is>
      </c>
      <c r="B1237" s="24">
        <f>IFERROR(INDEX(Companies!$A$3:$A$101,MATCH(A1237,Companies!$B$3:$B$101,0)),"")</f>
        <v/>
      </c>
      <c r="D1237" t="inlineStr">
        <is>
          <t>EE54D8BC1C96</t>
        </is>
      </c>
      <c r="E1237" s="24">
        <f>LEFT(D1237,2)&amp;":"&amp;MID(D1237,3,2)&amp;":"&amp;MID(D1237,5,2)&amp;":"&amp;MID(D1237,7,2)&amp;":"&amp;MID(D1237,9,2)&amp;":"&amp;RIGHT(D1237,2)</f>
        <v/>
      </c>
      <c r="H1237" s="2" t="inlineStr">
        <is>
          <t>D0CE2E4C126B8DD3</t>
        </is>
      </c>
      <c r="J1237" t="inlineStr">
        <is>
          <t>VIEZO0000000000000058</t>
        </is>
      </c>
    </row>
    <row r="1238">
      <c r="A1238" s="32" t="inlineStr">
        <is>
          <t>TANKWAGON</t>
        </is>
      </c>
      <c r="B1238" s="24">
        <f>IFERROR(INDEX(Companies!$A$3:$A$101,MATCH(A1238,Companies!$B$3:$B$101,0)),"")</f>
        <v/>
      </c>
      <c r="D1238" t="inlineStr">
        <is>
          <t>EAFDF00F29CD</t>
        </is>
      </c>
      <c r="E1238" s="24">
        <f>LEFT(D1238,2)&amp;":"&amp;MID(D1238,3,2)&amp;":"&amp;MID(D1238,5,2)&amp;":"&amp;MID(D1238,7,2)&amp;":"&amp;MID(D1238,9,2)&amp;":"&amp;RIGHT(D1238,2)</f>
        <v/>
      </c>
      <c r="H1238" s="2" t="inlineStr">
        <is>
          <t>199E205C3313E25D</t>
        </is>
      </c>
      <c r="J1238" t="inlineStr">
        <is>
          <t>VIEZO0000000000000059</t>
        </is>
      </c>
    </row>
    <row r="1239">
      <c r="A1239" s="32" t="inlineStr">
        <is>
          <t>TANKWAGON</t>
        </is>
      </c>
      <c r="B1239" s="24">
        <f>IFERROR(INDEX(Companies!$A$3:$A$101,MATCH(A1239,Companies!$B$3:$B$101,0)),"")</f>
        <v/>
      </c>
      <c r="D1239" t="inlineStr">
        <is>
          <t>E599116AB00A</t>
        </is>
      </c>
      <c r="E1239" s="24">
        <f>LEFT(D1239,2)&amp;":"&amp;MID(D1239,3,2)&amp;":"&amp;MID(D1239,5,2)&amp;":"&amp;MID(D1239,7,2)&amp;":"&amp;MID(D1239,9,2)&amp;":"&amp;RIGHT(D1239,2)</f>
        <v/>
      </c>
      <c r="H1239" s="2" t="inlineStr">
        <is>
          <t>4DB2E0DD9CE4FE11</t>
        </is>
      </c>
      <c r="J1239" t="inlineStr">
        <is>
          <t>VIEZO0000000000000060</t>
        </is>
      </c>
    </row>
    <row r="1240">
      <c r="A1240" s="32" t="inlineStr">
        <is>
          <t>TANKWAGON</t>
        </is>
      </c>
      <c r="B1240" s="24">
        <f>IFERROR(INDEX(Companies!$A$3:$A$101,MATCH(A1240,Companies!$B$3:$B$101,0)),"")</f>
        <v/>
      </c>
      <c r="D1240" t="inlineStr">
        <is>
          <t>C3EF118A7D8A</t>
        </is>
      </c>
      <c r="E1240" s="24">
        <f>LEFT(D1240,2)&amp;":"&amp;MID(D1240,3,2)&amp;":"&amp;MID(D1240,5,2)&amp;":"&amp;MID(D1240,7,2)&amp;":"&amp;MID(D1240,9,2)&amp;":"&amp;RIGHT(D1240,2)</f>
        <v/>
      </c>
      <c r="H1240" s="2" t="inlineStr">
        <is>
          <t>B4BA819597519955</t>
        </is>
      </c>
      <c r="J1240" t="inlineStr">
        <is>
          <t>VIEZO0000000000000061</t>
        </is>
      </c>
    </row>
    <row r="1241">
      <c r="A1241" s="32" t="inlineStr">
        <is>
          <t>TANKWAGON</t>
        </is>
      </c>
      <c r="B1241" s="24">
        <f>IFERROR(INDEX(Companies!$A$3:$A$101,MATCH(A1241,Companies!$B$3:$B$101,0)),"")</f>
        <v/>
      </c>
      <c r="D1241" t="inlineStr">
        <is>
          <t>C8CA02E23403</t>
        </is>
      </c>
      <c r="E1241" s="24">
        <f>LEFT(D1241,2)&amp;":"&amp;MID(D1241,3,2)&amp;":"&amp;MID(D1241,5,2)&amp;":"&amp;MID(D1241,7,2)&amp;":"&amp;MID(D1241,9,2)&amp;":"&amp;RIGHT(D1241,2)</f>
        <v/>
      </c>
      <c r="H1241" s="2" t="inlineStr">
        <is>
          <t>0CF779BDCF15D29C</t>
        </is>
      </c>
      <c r="J1241" t="inlineStr">
        <is>
          <t>VIEZO0000000000000062</t>
        </is>
      </c>
    </row>
    <row r="1242">
      <c r="A1242" s="32" t="inlineStr">
        <is>
          <t>TANKWAGON</t>
        </is>
      </c>
      <c r="B1242" s="24">
        <f>IFERROR(INDEX(Companies!$A$3:$A$101,MATCH(A1242,Companies!$B$3:$B$101,0)),"")</f>
        <v/>
      </c>
      <c r="D1242" t="inlineStr">
        <is>
          <t>E687F9903371</t>
        </is>
      </c>
      <c r="E1242" s="24">
        <f>LEFT(D1242,2)&amp;":"&amp;MID(D1242,3,2)&amp;":"&amp;MID(D1242,5,2)&amp;":"&amp;MID(D1242,7,2)&amp;":"&amp;MID(D1242,9,2)&amp;":"&amp;RIGHT(D1242,2)</f>
        <v/>
      </c>
      <c r="H1242" s="2" t="inlineStr">
        <is>
          <t>CB2D3386F3B31A79</t>
        </is>
      </c>
      <c r="J1242" t="inlineStr">
        <is>
          <t>VIEZO0000000000000063</t>
        </is>
      </c>
    </row>
    <row r="1243">
      <c r="A1243" s="32" t="inlineStr">
        <is>
          <t>TANKWAGON</t>
        </is>
      </c>
      <c r="B1243" s="24">
        <f>IFERROR(INDEX(Companies!$A$3:$A$101,MATCH(A1243,Companies!$B$3:$B$101,0)),"")</f>
        <v/>
      </c>
      <c r="D1243" t="inlineStr">
        <is>
          <t>E6E35A7AB372</t>
        </is>
      </c>
      <c r="E1243" s="24">
        <f>LEFT(D1243,2)&amp;":"&amp;MID(D1243,3,2)&amp;":"&amp;MID(D1243,5,2)&amp;":"&amp;MID(D1243,7,2)&amp;":"&amp;MID(D1243,9,2)&amp;":"&amp;RIGHT(D1243,2)</f>
        <v/>
      </c>
      <c r="H1243" s="2" t="inlineStr">
        <is>
          <t>CA8EC87DE07EB37E</t>
        </is>
      </c>
      <c r="J1243" t="inlineStr">
        <is>
          <t>VIEZO0000000000000064</t>
        </is>
      </c>
    </row>
    <row r="1244">
      <c r="A1244" s="32" t="inlineStr">
        <is>
          <t>TANKWAGON</t>
        </is>
      </c>
      <c r="B1244" s="24">
        <f>IFERROR(INDEX(Companies!$A$3:$A$101,MATCH(A1244,Companies!$B$3:$B$101,0)),"")</f>
        <v/>
      </c>
      <c r="D1244" t="inlineStr">
        <is>
          <t>D7288346D1DD</t>
        </is>
      </c>
      <c r="E1244" s="24">
        <f>LEFT(D1244,2)&amp;":"&amp;MID(D1244,3,2)&amp;":"&amp;MID(D1244,5,2)&amp;":"&amp;MID(D1244,7,2)&amp;":"&amp;MID(D1244,9,2)&amp;":"&amp;RIGHT(D1244,2)</f>
        <v/>
      </c>
      <c r="H1244" s="2" t="inlineStr">
        <is>
          <t>3C13D2F0045C7D5A</t>
        </is>
      </c>
      <c r="J1244" t="inlineStr">
        <is>
          <t>VIEZO0000000000000065</t>
        </is>
      </c>
    </row>
    <row r="1245">
      <c r="A1245" s="32" t="inlineStr">
        <is>
          <t>TANKWAGON</t>
        </is>
      </c>
      <c r="B1245" s="24">
        <f>IFERROR(INDEX(Companies!$A$3:$A$101,MATCH(A1245,Companies!$B$3:$B$101,0)),"")</f>
        <v/>
      </c>
      <c r="D1245" t="inlineStr">
        <is>
          <t>E528F434C0F6</t>
        </is>
      </c>
      <c r="E1245" s="24">
        <f>LEFT(D1245,2)&amp;":"&amp;MID(D1245,3,2)&amp;":"&amp;MID(D1245,5,2)&amp;":"&amp;MID(D1245,7,2)&amp;":"&amp;MID(D1245,9,2)&amp;":"&amp;RIGHT(D1245,2)</f>
        <v/>
      </c>
      <c r="H1245" s="2" t="inlineStr">
        <is>
          <t>869692B0A67536C2</t>
        </is>
      </c>
      <c r="J1245" t="inlineStr">
        <is>
          <t>VIEZO0000000000000066</t>
        </is>
      </c>
    </row>
    <row r="1246">
      <c r="A1246" s="32" t="inlineStr">
        <is>
          <t>TANKWAGON</t>
        </is>
      </c>
      <c r="B1246" s="24">
        <f>IFERROR(INDEX(Companies!$A$3:$A$101,MATCH(A1246,Companies!$B$3:$B$101,0)),"")</f>
        <v/>
      </c>
      <c r="D1246" t="inlineStr">
        <is>
          <t>D8618D094DE3</t>
        </is>
      </c>
      <c r="E1246" s="24">
        <f>LEFT(D1246,2)&amp;":"&amp;MID(D1246,3,2)&amp;":"&amp;MID(D1246,5,2)&amp;":"&amp;MID(D1246,7,2)&amp;":"&amp;MID(D1246,9,2)&amp;":"&amp;RIGHT(D1246,2)</f>
        <v/>
      </c>
      <c r="H1246" s="2" t="inlineStr">
        <is>
          <t>346253DA50639650</t>
        </is>
      </c>
      <c r="J1246" t="inlineStr">
        <is>
          <t>VIEZO0000000000000067</t>
        </is>
      </c>
    </row>
    <row r="1247">
      <c r="A1247" s="32" t="inlineStr">
        <is>
          <t>TANKWAGON</t>
        </is>
      </c>
      <c r="B1247" s="24">
        <f>IFERROR(INDEX(Companies!$A$3:$A$101,MATCH(A1247,Companies!$B$3:$B$101,0)),"")</f>
        <v/>
      </c>
      <c r="D1247" t="inlineStr">
        <is>
          <t>F911A09289F9</t>
        </is>
      </c>
      <c r="E1247" s="24">
        <f>LEFT(D1247,2)&amp;":"&amp;MID(D1247,3,2)&amp;":"&amp;MID(D1247,5,2)&amp;":"&amp;MID(D1247,7,2)&amp;":"&amp;MID(D1247,9,2)&amp;":"&amp;RIGHT(D1247,2)</f>
        <v/>
      </c>
      <c r="H1247" s="2" t="inlineStr">
        <is>
          <t>EC901E3A975BD32B</t>
        </is>
      </c>
      <c r="J1247" t="inlineStr">
        <is>
          <t>VIEZO0000000000000068</t>
        </is>
      </c>
    </row>
    <row r="1248">
      <c r="A1248" s="32" t="inlineStr">
        <is>
          <t>TANKWAGON</t>
        </is>
      </c>
      <c r="B1248" s="24">
        <f>IFERROR(INDEX(Companies!$A$3:$A$101,MATCH(A1248,Companies!$B$3:$B$101,0)),"")</f>
        <v/>
      </c>
      <c r="D1248" t="inlineStr">
        <is>
          <t>C1B695A2B1DD</t>
        </is>
      </c>
      <c r="E1248" s="24">
        <f>LEFT(D1248,2)&amp;":"&amp;MID(D1248,3,2)&amp;":"&amp;MID(D1248,5,2)&amp;":"&amp;MID(D1248,7,2)&amp;":"&amp;MID(D1248,9,2)&amp;":"&amp;RIGHT(D1248,2)</f>
        <v/>
      </c>
      <c r="H1248" s="2" t="inlineStr">
        <is>
          <t>D7EED580AA0FC360</t>
        </is>
      </c>
      <c r="J1248" t="inlineStr">
        <is>
          <t>VIEZO0000000000000069</t>
        </is>
      </c>
    </row>
    <row r="1249">
      <c r="A1249" s="32" t="inlineStr">
        <is>
          <t>TANKWAGON</t>
        </is>
      </c>
      <c r="B1249" s="24">
        <f>IFERROR(INDEX(Companies!$A$3:$A$101,MATCH(A1249,Companies!$B$3:$B$101,0)),"")</f>
        <v/>
      </c>
      <c r="D1249" t="inlineStr">
        <is>
          <t>F82EEA8EA326</t>
        </is>
      </c>
      <c r="E1249" s="24">
        <f>LEFT(D1249,2)&amp;":"&amp;MID(D1249,3,2)&amp;":"&amp;MID(D1249,5,2)&amp;":"&amp;MID(D1249,7,2)&amp;":"&amp;MID(D1249,9,2)&amp;":"&amp;RIGHT(D1249,2)</f>
        <v/>
      </c>
      <c r="H1249" s="2" t="inlineStr">
        <is>
          <t>CA10902C8ADB5F44</t>
        </is>
      </c>
      <c r="J1249" t="inlineStr">
        <is>
          <t>VIEZO0000000000000070</t>
        </is>
      </c>
    </row>
    <row r="1250">
      <c r="A1250" s="32" t="inlineStr">
        <is>
          <t>TANKWAGON</t>
        </is>
      </c>
      <c r="B1250" s="24">
        <f>IFERROR(INDEX(Companies!$A$3:$A$101,MATCH(A1250,Companies!$B$3:$B$101,0)),"")</f>
        <v/>
      </c>
      <c r="D1250" t="inlineStr">
        <is>
          <t>D0C5E7B48A84</t>
        </is>
      </c>
      <c r="E1250" s="24">
        <f>LEFT(D1250,2)&amp;":"&amp;MID(D1250,3,2)&amp;":"&amp;MID(D1250,5,2)&amp;":"&amp;MID(D1250,7,2)&amp;":"&amp;MID(D1250,9,2)&amp;":"&amp;RIGHT(D1250,2)</f>
        <v/>
      </c>
      <c r="H1250" s="2" t="inlineStr">
        <is>
          <t>8F9A1F98A6BACC04</t>
        </is>
      </c>
      <c r="J1250" t="inlineStr">
        <is>
          <t>VIEZO0000000000000071</t>
        </is>
      </c>
    </row>
    <row r="1251">
      <c r="A1251" s="32" t="inlineStr">
        <is>
          <t>TANKWAGON</t>
        </is>
      </c>
      <c r="B1251" s="24">
        <f>IFERROR(INDEX(Companies!$A$3:$A$101,MATCH(A1251,Companies!$B$3:$B$101,0)),"")</f>
        <v/>
      </c>
      <c r="D1251" t="inlineStr">
        <is>
          <t>E8F91AC4A236</t>
        </is>
      </c>
      <c r="E1251" s="24">
        <f>LEFT(D1251,2)&amp;":"&amp;MID(D1251,3,2)&amp;":"&amp;MID(D1251,5,2)&amp;":"&amp;MID(D1251,7,2)&amp;":"&amp;MID(D1251,9,2)&amp;":"&amp;RIGHT(D1251,2)</f>
        <v/>
      </c>
      <c r="H1251" s="2" t="inlineStr">
        <is>
          <t>EACB98210EF51383</t>
        </is>
      </c>
      <c r="J1251" t="inlineStr">
        <is>
          <t>VIEZO0000000000000072</t>
        </is>
      </c>
    </row>
    <row r="1252">
      <c r="A1252" s="32" t="inlineStr">
        <is>
          <t>TANKWAGON</t>
        </is>
      </c>
      <c r="B1252" s="24">
        <f>IFERROR(INDEX(Companies!$A$3:$A$101,MATCH(A1252,Companies!$B$3:$B$101,0)),"")</f>
        <v/>
      </c>
      <c r="D1252" t="inlineStr">
        <is>
          <t>E110E20BE70B</t>
        </is>
      </c>
      <c r="E1252" s="24">
        <f>LEFT(D1252,2)&amp;":"&amp;MID(D1252,3,2)&amp;":"&amp;MID(D1252,5,2)&amp;":"&amp;MID(D1252,7,2)&amp;":"&amp;MID(D1252,9,2)&amp;":"&amp;RIGHT(D1252,2)</f>
        <v/>
      </c>
      <c r="H1252" s="2" t="inlineStr">
        <is>
          <t>61AD42F1B4D93762</t>
        </is>
      </c>
      <c r="J1252" t="inlineStr">
        <is>
          <t>VIEZO0000000000000073</t>
        </is>
      </c>
    </row>
    <row r="1253">
      <c r="A1253" s="32" t="inlineStr">
        <is>
          <t>TANKWAGON</t>
        </is>
      </c>
      <c r="B1253" s="24">
        <f>IFERROR(INDEX(Companies!$A$3:$A$101,MATCH(A1253,Companies!$B$3:$B$101,0)),"")</f>
        <v/>
      </c>
      <c r="D1253" t="inlineStr">
        <is>
          <t>D6D0E0B6F842</t>
        </is>
      </c>
      <c r="E1253" s="24">
        <f>LEFT(D1253,2)&amp;":"&amp;MID(D1253,3,2)&amp;":"&amp;MID(D1253,5,2)&amp;":"&amp;MID(D1253,7,2)&amp;":"&amp;MID(D1253,9,2)&amp;":"&amp;RIGHT(D1253,2)</f>
        <v/>
      </c>
      <c r="H1253" s="2" t="inlineStr">
        <is>
          <t>4C85AAEBF901F66E</t>
        </is>
      </c>
      <c r="J1253" t="inlineStr">
        <is>
          <t>VIEZO0000000000000074</t>
        </is>
      </c>
    </row>
    <row r="1254">
      <c r="A1254" s="32" t="inlineStr">
        <is>
          <t>TANKWAGON</t>
        </is>
      </c>
      <c r="B1254" s="24">
        <f>IFERROR(INDEX(Companies!$A$3:$A$101,MATCH(A1254,Companies!$B$3:$B$101,0)),"")</f>
        <v/>
      </c>
      <c r="D1254" t="inlineStr">
        <is>
          <t>C7B1CDF0147F</t>
        </is>
      </c>
      <c r="E1254" s="24">
        <f>LEFT(D1254,2)&amp;":"&amp;MID(D1254,3,2)&amp;":"&amp;MID(D1254,5,2)&amp;":"&amp;MID(D1254,7,2)&amp;":"&amp;MID(D1254,9,2)&amp;":"&amp;RIGHT(D1254,2)</f>
        <v/>
      </c>
      <c r="H1254" s="2" t="inlineStr">
        <is>
          <t>BA1739FED451707A</t>
        </is>
      </c>
      <c r="J1254" t="inlineStr">
        <is>
          <t>VIEZO0000000000000075</t>
        </is>
      </c>
    </row>
    <row r="1255">
      <c r="A1255" s="32" t="inlineStr">
        <is>
          <t>TANKWAGON</t>
        </is>
      </c>
      <c r="B1255" s="24">
        <f>IFERROR(INDEX(Companies!$A$3:$A$101,MATCH(A1255,Companies!$B$3:$B$101,0)),"")</f>
        <v/>
      </c>
      <c r="D1255" t="inlineStr">
        <is>
          <t>E6381F059C5D</t>
        </is>
      </c>
      <c r="E1255" s="24">
        <f>LEFT(D1255,2)&amp;":"&amp;MID(D1255,3,2)&amp;":"&amp;MID(D1255,5,2)&amp;":"&amp;MID(D1255,7,2)&amp;":"&amp;MID(D1255,9,2)&amp;":"&amp;RIGHT(D1255,2)</f>
        <v/>
      </c>
      <c r="H1255" s="2" t="inlineStr">
        <is>
          <t>2B964A2A69409996</t>
        </is>
      </c>
      <c r="J1255" t="inlineStr">
        <is>
          <t>VIEZO0000000000000076</t>
        </is>
      </c>
    </row>
    <row r="1256">
      <c r="A1256" s="32" t="inlineStr">
        <is>
          <t>TANKWAGON</t>
        </is>
      </c>
      <c r="B1256" s="24">
        <f>IFERROR(INDEX(Companies!$A$3:$A$101,MATCH(A1256,Companies!$B$3:$B$101,0)),"")</f>
        <v/>
      </c>
      <c r="D1256" t="inlineStr">
        <is>
          <t>C07B717E2E26</t>
        </is>
      </c>
      <c r="E1256" s="24">
        <f>LEFT(D1256,2)&amp;":"&amp;MID(D1256,3,2)&amp;":"&amp;MID(D1256,5,2)&amp;":"&amp;MID(D1256,7,2)&amp;":"&amp;MID(D1256,9,2)&amp;":"&amp;RIGHT(D1256,2)</f>
        <v/>
      </c>
      <c r="H1256" s="2" t="inlineStr">
        <is>
          <t>FD53973B7170C5A3</t>
        </is>
      </c>
      <c r="J1256" s="26" t="inlineStr">
        <is>
          <t>VIEZO0000000000000077</t>
        </is>
      </c>
    </row>
    <row r="1257">
      <c r="A1257" s="32" t="inlineStr">
        <is>
          <t>TANKWAGON</t>
        </is>
      </c>
      <c r="B1257" s="24">
        <f>IFERROR(INDEX(Companies!$A$3:$A$101,MATCH(A1257,Companies!$B$3:$B$101,0)),"")</f>
        <v/>
      </c>
      <c r="D1257" t="inlineStr">
        <is>
          <t>DE4A1AA1DD33</t>
        </is>
      </c>
      <c r="E1257" s="24">
        <f>LEFT(D1257,2)&amp;":"&amp;MID(D1257,3,2)&amp;":"&amp;MID(D1257,5,2)&amp;":"&amp;MID(D1257,7,2)&amp;":"&amp;MID(D1257,9,2)&amp;":"&amp;RIGHT(D1257,2)</f>
        <v/>
      </c>
      <c r="H1257" s="2" t="inlineStr">
        <is>
          <t>974865DEB6D1464D</t>
        </is>
      </c>
      <c r="J1257" t="inlineStr">
        <is>
          <t>VIEZO0000000000000078</t>
        </is>
      </c>
    </row>
    <row r="1258">
      <c r="A1258" s="32" t="inlineStr">
        <is>
          <t>TANKWAGON</t>
        </is>
      </c>
      <c r="B1258" s="24">
        <f>IFERROR(INDEX(Companies!$A$3:$A$101,MATCH(A1258,Companies!$B$3:$B$101,0)),"")</f>
        <v/>
      </c>
      <c r="D1258" t="inlineStr">
        <is>
          <t>D672BD75FBBA</t>
        </is>
      </c>
      <c r="E1258" s="24">
        <f>LEFT(D1258,2)&amp;":"&amp;MID(D1258,3,2)&amp;":"&amp;MID(D1258,5,2)&amp;":"&amp;MID(D1258,7,2)&amp;":"&amp;MID(D1258,9,2)&amp;":"&amp;RIGHT(D1258,2)</f>
        <v/>
      </c>
      <c r="H1258" s="2" t="inlineStr">
        <is>
          <t>EB5F7347A82D2986</t>
        </is>
      </c>
      <c r="J1258" t="inlineStr">
        <is>
          <t>VIEZO0000000000000079</t>
        </is>
      </c>
    </row>
    <row r="1259">
      <c r="A1259" s="32" t="inlineStr">
        <is>
          <t>TANKWAGON</t>
        </is>
      </c>
      <c r="B1259" s="24">
        <f>IFERROR(INDEX(Companies!$A$3:$A$101,MATCH(A1259,Companies!$B$3:$B$101,0)),"")</f>
        <v/>
      </c>
      <c r="D1259" t="inlineStr">
        <is>
          <t>E8CE1DE98F89</t>
        </is>
      </c>
      <c r="E1259" s="24">
        <f>LEFT(D1259,2)&amp;":"&amp;MID(D1259,3,2)&amp;":"&amp;MID(D1259,5,2)&amp;":"&amp;MID(D1259,7,2)&amp;":"&amp;MID(D1259,9,2)&amp;":"&amp;RIGHT(D1259,2)</f>
        <v/>
      </c>
      <c r="H1259" s="2" t="inlineStr">
        <is>
          <t>C445FB4A47D3A549</t>
        </is>
      </c>
      <c r="J1259" t="inlineStr">
        <is>
          <t>VIEZO0000000000000080</t>
        </is>
      </c>
    </row>
    <row r="1260">
      <c r="A1260" s="32" t="inlineStr">
        <is>
          <t>TANKWAGON</t>
        </is>
      </c>
      <c r="B1260" s="24">
        <f>IFERROR(INDEX(Companies!$A$3:$A$101,MATCH(A1260,Companies!$B$3:$B$101,0)),"")</f>
        <v/>
      </c>
      <c r="D1260" t="inlineStr">
        <is>
          <t>F4F19521CDFE</t>
        </is>
      </c>
      <c r="E1260" s="24">
        <f>LEFT(D1260,2)&amp;":"&amp;MID(D1260,3,2)&amp;":"&amp;MID(D1260,5,2)&amp;":"&amp;MID(D1260,7,2)&amp;":"&amp;MID(D1260,9,2)&amp;":"&amp;RIGHT(D1260,2)</f>
        <v/>
      </c>
      <c r="H1260" s="2" t="inlineStr">
        <is>
          <t>CF1A80F9D92730A3</t>
        </is>
      </c>
      <c r="J1260" t="inlineStr">
        <is>
          <t>VIEZO0000000000000081</t>
        </is>
      </c>
    </row>
    <row r="1261">
      <c r="A1261" s="32" t="inlineStr">
        <is>
          <t>TANKWAGON</t>
        </is>
      </c>
      <c r="B1261" s="24">
        <f>IFERROR(INDEX(Companies!$A$3:$A$101,MATCH(A1261,Companies!$B$3:$B$101,0)),"")</f>
        <v/>
      </c>
      <c r="D1261" t="inlineStr">
        <is>
          <t>D835ADC8665D</t>
        </is>
      </c>
      <c r="E1261" s="24">
        <f>LEFT(D1261,2)&amp;":"&amp;MID(D1261,3,2)&amp;":"&amp;MID(D1261,5,2)&amp;":"&amp;MID(D1261,7,2)&amp;":"&amp;MID(D1261,9,2)&amp;":"&amp;RIGHT(D1261,2)</f>
        <v/>
      </c>
      <c r="H1261" s="2" t="inlineStr">
        <is>
          <t>6D6CC74FC024B264</t>
        </is>
      </c>
      <c r="J1261" t="inlineStr">
        <is>
          <t>VIEZO0000000000000082</t>
        </is>
      </c>
    </row>
    <row r="1262">
      <c r="A1262" s="32" t="inlineStr">
        <is>
          <t>TANKWAGON</t>
        </is>
      </c>
      <c r="B1262" s="24">
        <f>IFERROR(INDEX(Companies!$A$3:$A$101,MATCH(A1262,Companies!$B$3:$B$101,0)),"")</f>
        <v/>
      </c>
      <c r="D1262" t="inlineStr">
        <is>
          <t>D89471C10EF2</t>
        </is>
      </c>
      <c r="E1262" s="24">
        <f>LEFT(D1262,2)&amp;":"&amp;MID(D1262,3,2)&amp;":"&amp;MID(D1262,5,2)&amp;":"&amp;MID(D1262,7,2)&amp;":"&amp;MID(D1262,9,2)&amp;":"&amp;RIGHT(D1262,2)</f>
        <v/>
      </c>
      <c r="H1262" s="2" t="inlineStr">
        <is>
          <t>20AA30591A4B8298</t>
        </is>
      </c>
      <c r="J1262" t="inlineStr">
        <is>
          <t>VIEZO0000000000000083</t>
        </is>
      </c>
    </row>
    <row r="1263">
      <c r="A1263" s="32" t="inlineStr">
        <is>
          <t>TANKWAGON</t>
        </is>
      </c>
      <c r="B1263" s="24">
        <f>IFERROR(INDEX(Companies!$A$3:$A$101,MATCH(A1263,Companies!$B$3:$B$101,0)),"")</f>
        <v/>
      </c>
      <c r="D1263" t="inlineStr">
        <is>
          <t>DA7F260E738D</t>
        </is>
      </c>
      <c r="E1263" s="24">
        <f>LEFT(D1263,2)&amp;":"&amp;MID(D1263,3,2)&amp;":"&amp;MID(D1263,5,2)&amp;":"&amp;MID(D1263,7,2)&amp;":"&amp;MID(D1263,9,2)&amp;":"&amp;RIGHT(D1263,2)</f>
        <v/>
      </c>
      <c r="H1263" s="2" t="inlineStr">
        <is>
          <t>6EA47C1DEFB6A1CF</t>
        </is>
      </c>
      <c r="J1263" t="inlineStr">
        <is>
          <t>VIEZO0000000000000084</t>
        </is>
      </c>
    </row>
    <row r="1264">
      <c r="A1264" s="32" t="inlineStr">
        <is>
          <t>TANKWAGON</t>
        </is>
      </c>
      <c r="B1264" s="24">
        <f>IFERROR(INDEX(Companies!$A$3:$A$101,MATCH(A1264,Companies!$B$3:$B$101,0)),"")</f>
        <v/>
      </c>
      <c r="D1264" t="inlineStr">
        <is>
          <t>DCFD353E699A</t>
        </is>
      </c>
      <c r="E1264" s="24">
        <f>LEFT(D1264,2)&amp;":"&amp;MID(D1264,3,2)&amp;":"&amp;MID(D1264,5,2)&amp;":"&amp;MID(D1264,7,2)&amp;":"&amp;MID(D1264,9,2)&amp;":"&amp;RIGHT(D1264,2)</f>
        <v/>
      </c>
      <c r="H1264" s="2" t="inlineStr">
        <is>
          <t>CD7A2AC1048E5937</t>
        </is>
      </c>
      <c r="J1264" t="inlineStr">
        <is>
          <t>VIEZO0000000000000085</t>
        </is>
      </c>
    </row>
    <row r="1265">
      <c r="A1265" s="32" t="inlineStr">
        <is>
          <t>TANKWAGON</t>
        </is>
      </c>
      <c r="B1265" s="24">
        <f>IFERROR(INDEX(Companies!$A$3:$A$101,MATCH(A1265,Companies!$B$3:$B$101,0)),"")</f>
        <v/>
      </c>
      <c r="D1265" t="inlineStr">
        <is>
          <t>EF7D5B01313C</t>
        </is>
      </c>
      <c r="E1265" s="24">
        <f>LEFT(D1265,2)&amp;":"&amp;MID(D1265,3,2)&amp;":"&amp;MID(D1265,5,2)&amp;":"&amp;MID(D1265,7,2)&amp;":"&amp;MID(D1265,9,2)&amp;":"&amp;RIGHT(D1265,2)</f>
        <v/>
      </c>
      <c r="H1265" s="2" t="inlineStr">
        <is>
          <t>C53315A076A3A61B</t>
        </is>
      </c>
      <c r="J1265" t="inlineStr">
        <is>
          <t>VIEZO0000000000000086</t>
        </is>
      </c>
    </row>
    <row r="1266">
      <c r="A1266" s="32" t="inlineStr">
        <is>
          <t>TANKWAGON</t>
        </is>
      </c>
      <c r="B1266" s="24">
        <f>IFERROR(INDEX(Companies!$A$3:$A$101,MATCH(A1266,Companies!$B$3:$B$101,0)),"")</f>
        <v/>
      </c>
      <c r="D1266" t="inlineStr">
        <is>
          <t>EA3AD03479E0</t>
        </is>
      </c>
      <c r="E1266" s="24">
        <f>LEFT(D1266,2)&amp;":"&amp;MID(D1266,3,2)&amp;":"&amp;MID(D1266,5,2)&amp;":"&amp;MID(D1266,7,2)&amp;":"&amp;MID(D1266,9,2)&amp;":"&amp;RIGHT(D1266,2)</f>
        <v/>
      </c>
      <c r="H1266" s="2" t="inlineStr">
        <is>
          <t>65397FBC2BC7D0FE</t>
        </is>
      </c>
      <c r="J1266" t="inlineStr">
        <is>
          <t>VIEZO0000000000000087</t>
        </is>
      </c>
    </row>
    <row r="1267">
      <c r="A1267" s="32" t="inlineStr">
        <is>
          <t>TANKWAGON</t>
        </is>
      </c>
      <c r="B1267" s="24">
        <f>IFERROR(INDEX(Companies!$A$3:$A$101,MATCH(A1267,Companies!$B$3:$B$101,0)),"")</f>
        <v/>
      </c>
      <c r="D1267" t="inlineStr">
        <is>
          <t>FA6865802738</t>
        </is>
      </c>
      <c r="E1267" s="24">
        <f>LEFT(D1267,2)&amp;":"&amp;MID(D1267,3,2)&amp;":"&amp;MID(D1267,5,2)&amp;":"&amp;MID(D1267,7,2)&amp;":"&amp;MID(D1267,9,2)&amp;":"&amp;RIGHT(D1267,2)</f>
        <v/>
      </c>
      <c r="H1267" s="2" t="inlineStr">
        <is>
          <t>E1B20941CBF7B13A</t>
        </is>
      </c>
      <c r="J1267" t="inlineStr">
        <is>
          <t>VIEZO0000000000000088</t>
        </is>
      </c>
    </row>
    <row r="1268">
      <c r="A1268" s="32" t="inlineStr">
        <is>
          <t>TANKWAGON</t>
        </is>
      </c>
      <c r="B1268" s="24">
        <f>IFERROR(INDEX(Companies!$A$3:$A$101,MATCH(A1268,Companies!$B$3:$B$101,0)),"")</f>
        <v/>
      </c>
      <c r="D1268" t="inlineStr">
        <is>
          <t>C922DE1E2E93</t>
        </is>
      </c>
      <c r="E1268" s="24">
        <f>LEFT(D1268,2)&amp;":"&amp;MID(D1268,3,2)&amp;":"&amp;MID(D1268,5,2)&amp;":"&amp;MID(D1268,7,2)&amp;":"&amp;MID(D1268,9,2)&amp;":"&amp;RIGHT(D1268,2)</f>
        <v/>
      </c>
      <c r="F1268" s="29" t="n">
        <v>45260</v>
      </c>
      <c r="G1268" s="29" t="inlineStr">
        <is>
          <t>Tankwagon</t>
        </is>
      </c>
      <c r="H1268" s="2" t="inlineStr">
        <is>
          <t>C050AA249B959523</t>
        </is>
      </c>
      <c r="J1268" t="inlineStr">
        <is>
          <t>VIEZO0000000000000089</t>
        </is>
      </c>
      <c r="K1268" s="27" t="inlineStr">
        <is>
          <t>33877916663-0</t>
        </is>
      </c>
      <c r="L1268" s="27" t="inlineStr">
        <is>
          <t>3L</t>
        </is>
      </c>
    </row>
    <row r="1269">
      <c r="A1269" s="32" t="inlineStr">
        <is>
          <t>TANKWAGON</t>
        </is>
      </c>
      <c r="B1269" s="24">
        <f>IFERROR(INDEX(Companies!$A$3:$A$101,MATCH(A1269,Companies!$B$3:$B$101,0)),"")</f>
        <v/>
      </c>
      <c r="D1269" t="inlineStr">
        <is>
          <t>E494D01BB7EF</t>
        </is>
      </c>
      <c r="E1269" s="24">
        <f>LEFT(D1269,2)&amp;":"&amp;MID(D1269,3,2)&amp;":"&amp;MID(D1269,5,2)&amp;":"&amp;MID(D1269,7,2)&amp;":"&amp;MID(D1269,9,2)&amp;":"&amp;RIGHT(D1269,2)</f>
        <v/>
      </c>
      <c r="F1269" s="29" t="n">
        <v>45260</v>
      </c>
      <c r="G1269" s="29" t="inlineStr">
        <is>
          <t>Tankwagon</t>
        </is>
      </c>
      <c r="H1269" s="2" t="inlineStr">
        <is>
          <t>21B97CF2F353E9B3</t>
        </is>
      </c>
      <c r="J1269" t="inlineStr">
        <is>
          <t>VIEZO0000000000000090</t>
        </is>
      </c>
      <c r="K1269" s="27" t="inlineStr">
        <is>
          <t>33877916663-0</t>
        </is>
      </c>
      <c r="L1269" s="27" t="inlineStr">
        <is>
          <t>4L</t>
        </is>
      </c>
    </row>
    <row r="1270">
      <c r="A1270" s="32" t="inlineStr">
        <is>
          <t>TANKWAGON</t>
        </is>
      </c>
      <c r="B1270" s="24">
        <f>IFERROR(INDEX(Companies!$A$3:$A$101,MATCH(A1270,Companies!$B$3:$B$101,0)),"")</f>
        <v/>
      </c>
      <c r="D1270" t="inlineStr">
        <is>
          <t>C2F1558483FE</t>
        </is>
      </c>
      <c r="E1270" s="24">
        <f>LEFT(D1270,2)&amp;":"&amp;MID(D1270,3,2)&amp;":"&amp;MID(D1270,5,2)&amp;":"&amp;MID(D1270,7,2)&amp;":"&amp;MID(D1270,9,2)&amp;":"&amp;RIGHT(D1270,2)</f>
        <v/>
      </c>
      <c r="F1270" s="29" t="n">
        <v>45260</v>
      </c>
      <c r="G1270" s="29" t="inlineStr">
        <is>
          <t>Tankwagon</t>
        </is>
      </c>
      <c r="H1270" s="2" t="inlineStr">
        <is>
          <t>EC2E4989C032A99B</t>
        </is>
      </c>
      <c r="J1270" t="inlineStr">
        <is>
          <t>VIEZO0000000000000091</t>
        </is>
      </c>
      <c r="K1270" s="27" t="inlineStr">
        <is>
          <t>33877916671-3</t>
        </is>
      </c>
      <c r="L1270" s="27" t="inlineStr">
        <is>
          <t>3L</t>
        </is>
      </c>
    </row>
    <row r="1271">
      <c r="A1271" s="32" t="inlineStr">
        <is>
          <t>TANKWAGON</t>
        </is>
      </c>
      <c r="B1271" s="24">
        <f>IFERROR(INDEX(Companies!$A$3:$A$101,MATCH(A1271,Companies!$B$3:$B$101,0)),"")</f>
        <v/>
      </c>
      <c r="D1271" t="inlineStr">
        <is>
          <t>FB886241BC57</t>
        </is>
      </c>
      <c r="E1271" s="24">
        <f>LEFT(D1271,2)&amp;":"&amp;MID(D1271,3,2)&amp;":"&amp;MID(D1271,5,2)&amp;":"&amp;MID(D1271,7,2)&amp;":"&amp;MID(D1271,9,2)&amp;":"&amp;RIGHT(D1271,2)</f>
        <v/>
      </c>
      <c r="F1271" s="29" t="n">
        <v>45260</v>
      </c>
      <c r="G1271" s="29" t="inlineStr">
        <is>
          <t>Tankwagon</t>
        </is>
      </c>
      <c r="H1271" s="2" t="inlineStr">
        <is>
          <t>C80525764DE6A452</t>
        </is>
      </c>
      <c r="J1271" t="inlineStr">
        <is>
          <t>VIEZO0000000000000092</t>
        </is>
      </c>
      <c r="K1271" s="27" t="inlineStr">
        <is>
          <t>33877916671-3</t>
        </is>
      </c>
      <c r="L1271" s="27" t="inlineStr">
        <is>
          <t>4R</t>
        </is>
      </c>
    </row>
    <row r="1272">
      <c r="A1272" s="32" t="inlineStr">
        <is>
          <t>TANKWAGON</t>
        </is>
      </c>
      <c r="B1272" s="24">
        <f>IFERROR(INDEX(Companies!$A$3:$A$101,MATCH(A1272,Companies!$B$3:$B$101,0)),"")</f>
        <v/>
      </c>
      <c r="D1272" t="inlineStr">
        <is>
          <t>CE3356CD09CF</t>
        </is>
      </c>
      <c r="E1272" s="24">
        <f>LEFT(D1272,2)&amp;":"&amp;MID(D1272,3,2)&amp;":"&amp;MID(D1272,5,2)&amp;":"&amp;MID(D1272,7,2)&amp;":"&amp;MID(D1272,9,2)&amp;":"&amp;RIGHT(D1272,2)</f>
        <v/>
      </c>
      <c r="F1272" s="29" t="n">
        <v>45260</v>
      </c>
      <c r="G1272" s="29" t="inlineStr">
        <is>
          <t>Tankwagon</t>
        </is>
      </c>
      <c r="H1272" s="2" t="inlineStr">
        <is>
          <t>C666D9653E65A68C</t>
        </is>
      </c>
      <c r="J1272" t="inlineStr">
        <is>
          <t>VIEZO0000000000000093</t>
        </is>
      </c>
      <c r="K1272" s="27" t="inlineStr">
        <is>
          <t>33747913061-5</t>
        </is>
      </c>
      <c r="L1272" s="27" t="inlineStr">
        <is>
          <t>2R</t>
        </is>
      </c>
    </row>
    <row r="1273">
      <c r="A1273" s="32" t="inlineStr">
        <is>
          <t>TANKWAGON</t>
        </is>
      </c>
      <c r="B1273" s="24">
        <f>IFERROR(INDEX(Companies!$A$3:$A$101,MATCH(A1273,Companies!$B$3:$B$101,0)),"")</f>
        <v/>
      </c>
      <c r="D1273" t="inlineStr">
        <is>
          <t>ECE9776EE421</t>
        </is>
      </c>
      <c r="E1273" s="24">
        <f>LEFT(D1273,2)&amp;":"&amp;MID(D1273,3,2)&amp;":"&amp;MID(D1273,5,2)&amp;":"&amp;MID(D1273,7,2)&amp;":"&amp;MID(D1273,9,2)&amp;":"&amp;RIGHT(D1273,2)</f>
        <v/>
      </c>
      <c r="F1273" s="29" t="n">
        <v>45260</v>
      </c>
      <c r="G1273" s="29" t="inlineStr">
        <is>
          <t>Tankwagon</t>
        </is>
      </c>
      <c r="H1273" s="2" t="inlineStr">
        <is>
          <t>024F1E9FE9CA58EB</t>
        </is>
      </c>
      <c r="J1273" t="inlineStr">
        <is>
          <t>VIEZO0000000000000094</t>
        </is>
      </c>
      <c r="K1273" s="27" t="inlineStr">
        <is>
          <t>33877916663-0</t>
        </is>
      </c>
      <c r="L1273" s="27" t="inlineStr">
        <is>
          <t>1L</t>
        </is>
      </c>
    </row>
    <row r="1274">
      <c r="A1274" s="32" t="inlineStr">
        <is>
          <t>TANKWAGON</t>
        </is>
      </c>
      <c r="B1274" s="24">
        <f>IFERROR(INDEX(Companies!$A$3:$A$101,MATCH(A1274,Companies!$B$3:$B$101,0)),"")</f>
        <v/>
      </c>
      <c r="D1274" t="inlineStr">
        <is>
          <t>E280B1FB8757</t>
        </is>
      </c>
      <c r="E1274" s="24">
        <f>LEFT(D1274,2)&amp;":"&amp;MID(D1274,3,2)&amp;":"&amp;MID(D1274,5,2)&amp;":"&amp;MID(D1274,7,2)&amp;":"&amp;MID(D1274,9,2)&amp;":"&amp;RIGHT(D1274,2)</f>
        <v/>
      </c>
      <c r="F1274" s="29" t="n">
        <v>45260</v>
      </c>
      <c r="G1274" s="29" t="inlineStr">
        <is>
          <t>Tankwagon</t>
        </is>
      </c>
      <c r="H1274" s="2" t="inlineStr">
        <is>
          <t>E67B133C5208A924</t>
        </is>
      </c>
      <c r="J1274" t="inlineStr">
        <is>
          <t>VIEZO0000000000000095</t>
        </is>
      </c>
      <c r="K1274" s="27" t="inlineStr">
        <is>
          <t>33877916671-3</t>
        </is>
      </c>
      <c r="L1274" s="27" t="inlineStr">
        <is>
          <t>1R</t>
        </is>
      </c>
    </row>
    <row r="1275">
      <c r="A1275" s="32" t="inlineStr">
        <is>
          <t>TANKWAGON</t>
        </is>
      </c>
      <c r="B1275" s="24">
        <f>IFERROR(INDEX(Companies!$A$3:$A$101,MATCH(A1275,Companies!$B$3:$B$101,0)),"")</f>
        <v/>
      </c>
      <c r="D1275" t="inlineStr">
        <is>
          <t>D875FD6113EA</t>
        </is>
      </c>
      <c r="E1275" s="24">
        <f>LEFT(D1275,2)&amp;":"&amp;MID(D1275,3,2)&amp;":"&amp;MID(D1275,5,2)&amp;":"&amp;MID(D1275,7,2)&amp;":"&amp;MID(D1275,9,2)&amp;":"&amp;RIGHT(D1275,2)</f>
        <v/>
      </c>
      <c r="F1275" s="29" t="n">
        <v>45260</v>
      </c>
      <c r="G1275" s="29" t="inlineStr">
        <is>
          <t>Tankwagon</t>
        </is>
      </c>
      <c r="H1275" s="2" t="inlineStr">
        <is>
          <t>6874F170883288C0</t>
        </is>
      </c>
      <c r="J1275" t="inlineStr">
        <is>
          <t>VIEZO0000000000000096</t>
        </is>
      </c>
      <c r="K1275" s="27" t="inlineStr">
        <is>
          <t>33877916671-3</t>
        </is>
      </c>
      <c r="L1275" s="27" t="inlineStr">
        <is>
          <t>2L</t>
        </is>
      </c>
    </row>
    <row r="1276">
      <c r="A1276" s="32" t="inlineStr">
        <is>
          <t>TANKWAGON</t>
        </is>
      </c>
      <c r="B1276" s="24">
        <f>IFERROR(INDEX(Companies!$A$3:$A$101,MATCH(A1276,Companies!$B$3:$B$101,0)),"")</f>
        <v/>
      </c>
      <c r="D1276" t="inlineStr">
        <is>
          <t>C04DA488694C</t>
        </is>
      </c>
      <c r="E1276" s="24">
        <f>LEFT(D1276,2)&amp;":"&amp;MID(D1276,3,2)&amp;":"&amp;MID(D1276,5,2)&amp;":"&amp;MID(D1276,7,2)&amp;":"&amp;MID(D1276,9,2)&amp;":"&amp;RIGHT(D1276,2)</f>
        <v/>
      </c>
      <c r="F1276" s="29" t="n">
        <v>45260</v>
      </c>
      <c r="G1276" s="29" t="inlineStr">
        <is>
          <t>Tankwagon</t>
        </is>
      </c>
      <c r="H1276" s="2" t="inlineStr">
        <is>
          <t>99A48C652CA9AC9D</t>
        </is>
      </c>
      <c r="J1276" t="inlineStr">
        <is>
          <t>VIEZO0000000000000097</t>
        </is>
      </c>
      <c r="K1276" s="27" t="inlineStr">
        <is>
          <t>33877916671-3</t>
        </is>
      </c>
      <c r="L1276" s="27" t="inlineStr">
        <is>
          <t>3R</t>
        </is>
      </c>
    </row>
    <row r="1277">
      <c r="A1277" s="32" t="inlineStr">
        <is>
          <t>TANKWAGON</t>
        </is>
      </c>
      <c r="B1277" s="24">
        <f>IFERROR(INDEX(Companies!$A$3:$A$101,MATCH(A1277,Companies!$B$3:$B$101,0)),"")</f>
        <v/>
      </c>
      <c r="D1277" t="inlineStr">
        <is>
          <t>D72585A4090E</t>
        </is>
      </c>
      <c r="E1277" s="24">
        <f>LEFT(D1277,2)&amp;":"&amp;MID(D1277,3,2)&amp;":"&amp;MID(D1277,5,2)&amp;":"&amp;MID(D1277,7,2)&amp;":"&amp;MID(D1277,9,2)&amp;":"&amp;RIGHT(D1277,2)</f>
        <v/>
      </c>
      <c r="F1277" s="29" t="n">
        <v>45260</v>
      </c>
      <c r="G1277" s="29" t="inlineStr">
        <is>
          <t>Tankwagon</t>
        </is>
      </c>
      <c r="H1277" s="2" t="inlineStr">
        <is>
          <t>66A3423E98B46DFD</t>
        </is>
      </c>
      <c r="J1277" t="inlineStr">
        <is>
          <t>VIEZO0000000000000098</t>
        </is>
      </c>
      <c r="K1277" s="27" t="inlineStr">
        <is>
          <t>33877916663-0</t>
        </is>
      </c>
      <c r="L1277" s="27" t="inlineStr">
        <is>
          <t>2L</t>
        </is>
      </c>
    </row>
    <row r="1278">
      <c r="A1278" s="32" t="inlineStr">
        <is>
          <t>TANKWAGON</t>
        </is>
      </c>
      <c r="B1278" s="24">
        <f>IFERROR(INDEX(Companies!$A$3:$A$101,MATCH(A1278,Companies!$B$3:$B$101,0)),"")</f>
        <v/>
      </c>
      <c r="D1278" t="inlineStr">
        <is>
          <t>C9CA1246F268</t>
        </is>
      </c>
      <c r="E1278" s="24">
        <f>LEFT(D1278,2)&amp;":"&amp;MID(D1278,3,2)&amp;":"&amp;MID(D1278,5,2)&amp;":"&amp;MID(D1278,7,2)&amp;":"&amp;MID(D1278,9,2)&amp;":"&amp;RIGHT(D1278,2)</f>
        <v/>
      </c>
      <c r="F1278" s="29" t="n">
        <v>45260</v>
      </c>
      <c r="G1278" s="29" t="inlineStr">
        <is>
          <t>Tankwagon</t>
        </is>
      </c>
      <c r="H1278" s="2" t="inlineStr">
        <is>
          <t>DE9E8963A0D542B4</t>
        </is>
      </c>
      <c r="J1278" t="inlineStr">
        <is>
          <t>VIEZO0000000000000099</t>
        </is>
      </c>
      <c r="K1278" s="27" t="inlineStr">
        <is>
          <t>33747913061-5</t>
        </is>
      </c>
      <c r="L1278" s="27" t="inlineStr">
        <is>
          <t>4L</t>
        </is>
      </c>
    </row>
    <row r="1279">
      <c r="A1279" s="32" t="inlineStr">
        <is>
          <t>TANKWAGON</t>
        </is>
      </c>
      <c r="B1279" s="24">
        <f>IFERROR(INDEX(Companies!$A$3:$A$101,MATCH(A1279,Companies!$B$3:$B$101,0)),"")</f>
        <v/>
      </c>
      <c r="D1279" t="inlineStr">
        <is>
          <t>C5B0CE03AA1F</t>
        </is>
      </c>
      <c r="E1279" s="24">
        <f>LEFT(D1279,2)&amp;":"&amp;MID(D1279,3,2)&amp;":"&amp;MID(D1279,5,2)&amp;":"&amp;MID(D1279,7,2)&amp;":"&amp;MID(D1279,9,2)&amp;":"&amp;RIGHT(D1279,2)</f>
        <v/>
      </c>
      <c r="F1279" s="29" t="n">
        <v>45260</v>
      </c>
      <c r="G1279" s="29" t="inlineStr">
        <is>
          <t>Tankwagon</t>
        </is>
      </c>
      <c r="H1279" s="2" t="inlineStr">
        <is>
          <t>67DBB70BC2EA15B6</t>
        </is>
      </c>
      <c r="J1279" t="inlineStr">
        <is>
          <t>VIEZO0000000000000100</t>
        </is>
      </c>
      <c r="K1279" s="27" t="inlineStr">
        <is>
          <t>33747913061-5</t>
        </is>
      </c>
      <c r="L1279" s="27" t="inlineStr">
        <is>
          <t>3L</t>
        </is>
      </c>
    </row>
    <row r="1280">
      <c r="A1280" s="32" t="inlineStr">
        <is>
          <t>TANKWAGON</t>
        </is>
      </c>
      <c r="B1280" s="24">
        <f>IFERROR(INDEX(Companies!$A$3:$A$101,MATCH(A1280,Companies!$B$3:$B$101,0)),"")</f>
        <v/>
      </c>
      <c r="D1280" t="inlineStr">
        <is>
          <t>FD3623363A24</t>
        </is>
      </c>
      <c r="E1280" s="24">
        <f>LEFT(D1280,2)&amp;":"&amp;MID(D1280,3,2)&amp;":"&amp;MID(D1280,5,2)&amp;":"&amp;MID(D1280,7,2)&amp;":"&amp;MID(D1280,9,2)&amp;":"&amp;RIGHT(D1280,2)</f>
        <v/>
      </c>
      <c r="F1280" s="29" t="n">
        <v>45260</v>
      </c>
      <c r="G1280" s="29" t="inlineStr">
        <is>
          <t>Tankwagon</t>
        </is>
      </c>
      <c r="H1280" s="2" t="inlineStr">
        <is>
          <t>B98172D02CF853DE</t>
        </is>
      </c>
      <c r="J1280" t="inlineStr">
        <is>
          <t>VIEZO0000000000000101</t>
        </is>
      </c>
      <c r="K1280" s="27" t="inlineStr">
        <is>
          <t>33877916671-3</t>
        </is>
      </c>
      <c r="L1280" s="27" t="inlineStr">
        <is>
          <t>4L</t>
        </is>
      </c>
    </row>
    <row r="1281">
      <c r="A1281" s="32" t="inlineStr">
        <is>
          <t>TANKWAGON</t>
        </is>
      </c>
      <c r="B1281" s="24">
        <f>IFERROR(INDEX(Companies!$A$3:$A$101,MATCH(A1281,Companies!$B$3:$B$101,0)),"")</f>
        <v/>
      </c>
      <c r="D1281" t="inlineStr">
        <is>
          <t>E545D6880C0D</t>
        </is>
      </c>
      <c r="E1281" s="24">
        <f>LEFT(D1281,2)&amp;":"&amp;MID(D1281,3,2)&amp;":"&amp;MID(D1281,5,2)&amp;":"&amp;MID(D1281,7,2)&amp;":"&amp;MID(D1281,9,2)&amp;":"&amp;RIGHT(D1281,2)</f>
        <v/>
      </c>
      <c r="F1281" s="29" t="n">
        <v>45260</v>
      </c>
      <c r="G1281" s="29" t="inlineStr">
        <is>
          <t>Tankwagon</t>
        </is>
      </c>
      <c r="H1281" s="2" t="inlineStr">
        <is>
          <t>85552FCFF80C289A</t>
        </is>
      </c>
      <c r="J1281" t="inlineStr">
        <is>
          <t>VIEZO0000000000000102</t>
        </is>
      </c>
      <c r="K1281" s="27" t="inlineStr">
        <is>
          <t>33877916671-3</t>
        </is>
      </c>
      <c r="L1281" s="27" t="inlineStr">
        <is>
          <t>2R</t>
        </is>
      </c>
    </row>
    <row r="1282">
      <c r="A1282" s="32" t="inlineStr">
        <is>
          <t>TANKWAGON</t>
        </is>
      </c>
      <c r="B1282" s="24">
        <f>IFERROR(INDEX(Companies!$A$3:$A$101,MATCH(A1282,Companies!$B$3:$B$101,0)),"")</f>
        <v/>
      </c>
      <c r="D1282" t="inlineStr">
        <is>
          <t>EE32DE5B0871</t>
        </is>
      </c>
      <c r="E1282" s="24">
        <f>LEFT(D1282,2)&amp;":"&amp;MID(D1282,3,2)&amp;":"&amp;MID(D1282,5,2)&amp;":"&amp;MID(D1282,7,2)&amp;":"&amp;MID(D1282,9,2)&amp;":"&amp;RIGHT(D1282,2)</f>
        <v/>
      </c>
      <c r="F1282" s="29" t="n">
        <v>45260</v>
      </c>
      <c r="G1282" s="29" t="inlineStr">
        <is>
          <t>Tankwagon</t>
        </is>
      </c>
      <c r="H1282" s="2" t="inlineStr">
        <is>
          <t>DDE617A510EBF75A</t>
        </is>
      </c>
      <c r="J1282" t="inlineStr">
        <is>
          <t>VIEZO0000000000000103</t>
        </is>
      </c>
      <c r="K1282" s="27" t="inlineStr">
        <is>
          <t>33877916663-0</t>
        </is>
      </c>
      <c r="L1282" s="27" t="inlineStr">
        <is>
          <t>4R</t>
        </is>
      </c>
    </row>
    <row r="1283">
      <c r="A1283" s="32" t="inlineStr">
        <is>
          <t>TANKWAGON</t>
        </is>
      </c>
      <c r="B1283" s="24">
        <f>IFERROR(INDEX(Companies!$A$3:$A$101,MATCH(A1283,Companies!$B$3:$B$101,0)),"")</f>
        <v/>
      </c>
      <c r="D1283" t="inlineStr">
        <is>
          <t>C2D08FE96642</t>
        </is>
      </c>
      <c r="E1283" s="24">
        <f>LEFT(D1283,2)&amp;":"&amp;MID(D1283,3,2)&amp;":"&amp;MID(D1283,5,2)&amp;":"&amp;MID(D1283,7,2)&amp;":"&amp;MID(D1283,9,2)&amp;":"&amp;RIGHT(D1283,2)</f>
        <v/>
      </c>
      <c r="F1283" s="29" t="n">
        <v>45260</v>
      </c>
      <c r="G1283" s="29" t="inlineStr">
        <is>
          <t>Tankwagon</t>
        </is>
      </c>
      <c r="H1283" s="2" t="inlineStr">
        <is>
          <t>A71E6EBE64FE9384</t>
        </is>
      </c>
      <c r="J1283" t="inlineStr">
        <is>
          <t>VIEZO0000000000000104</t>
        </is>
      </c>
      <c r="K1283" s="27" t="inlineStr">
        <is>
          <t>33877916663-0</t>
        </is>
      </c>
      <c r="L1283" s="27" t="inlineStr">
        <is>
          <t>3R</t>
        </is>
      </c>
    </row>
    <row r="1284">
      <c r="A1284" s="32" t="inlineStr">
        <is>
          <t>TANKWAGON</t>
        </is>
      </c>
      <c r="B1284" s="24">
        <f>IFERROR(INDEX(Companies!$A$3:$A$101,MATCH(A1284,Companies!$B$3:$B$101,0)),"")</f>
        <v/>
      </c>
      <c r="D1284" t="inlineStr">
        <is>
          <t>D88B5A7C460F</t>
        </is>
      </c>
      <c r="E1284" s="24">
        <f>LEFT(D1284,2)&amp;":"&amp;MID(D1284,3,2)&amp;":"&amp;MID(D1284,5,2)&amp;":"&amp;MID(D1284,7,2)&amp;":"&amp;MID(D1284,9,2)&amp;":"&amp;RIGHT(D1284,2)</f>
        <v/>
      </c>
      <c r="F1284" s="29" t="n">
        <v>45260</v>
      </c>
      <c r="G1284" s="29" t="inlineStr">
        <is>
          <t>Tankwagon</t>
        </is>
      </c>
      <c r="H1284" s="2" t="inlineStr">
        <is>
          <t>233BC9208223D7AA</t>
        </is>
      </c>
      <c r="J1284" t="inlineStr">
        <is>
          <t>VIEZO0000000000000105</t>
        </is>
      </c>
      <c r="K1284" s="27" t="inlineStr">
        <is>
          <t>33877916641-6</t>
        </is>
      </c>
      <c r="L1284" s="27" t="inlineStr">
        <is>
          <t>4R</t>
        </is>
      </c>
    </row>
    <row r="1285">
      <c r="A1285" s="32" t="inlineStr">
        <is>
          <t>TANKWAGON</t>
        </is>
      </c>
      <c r="B1285" s="24">
        <f>IFERROR(INDEX(Companies!$A$3:$A$101,MATCH(A1285,Companies!$B$3:$B$101,0)),"")</f>
        <v/>
      </c>
      <c r="D1285" t="inlineStr">
        <is>
          <t>E2F52CAC969D</t>
        </is>
      </c>
      <c r="E1285" s="24">
        <f>LEFT(D1285,2)&amp;":"&amp;MID(D1285,3,2)&amp;":"&amp;MID(D1285,5,2)&amp;":"&amp;MID(D1285,7,2)&amp;":"&amp;MID(D1285,9,2)&amp;":"&amp;RIGHT(D1285,2)</f>
        <v/>
      </c>
      <c r="F1285" s="29" t="n">
        <v>45260</v>
      </c>
      <c r="G1285" s="29" t="inlineStr">
        <is>
          <t>Tankwagon</t>
        </is>
      </c>
      <c r="H1285" s="2" t="inlineStr">
        <is>
          <t>57A7A4E453CF8C39</t>
        </is>
      </c>
      <c r="J1285" t="inlineStr">
        <is>
          <t>VIEZO0000000000000106</t>
        </is>
      </c>
      <c r="K1285" s="27" t="inlineStr">
        <is>
          <t>33877916663-0</t>
        </is>
      </c>
      <c r="L1285" s="27" t="inlineStr">
        <is>
          <t>2R</t>
        </is>
      </c>
    </row>
    <row r="1286">
      <c r="A1286" s="32" t="inlineStr">
        <is>
          <t>TANKWAGON</t>
        </is>
      </c>
      <c r="B1286" s="24">
        <f>IFERROR(INDEX(Companies!$A$3:$A$101,MATCH(A1286,Companies!$B$3:$B$101,0)),"")</f>
        <v/>
      </c>
      <c r="D1286" t="inlineStr">
        <is>
          <t>F13BDF778C12</t>
        </is>
      </c>
      <c r="E1286" s="24">
        <f>LEFT(D1286,2)&amp;":"&amp;MID(D1286,3,2)&amp;":"&amp;MID(D1286,5,2)&amp;":"&amp;MID(D1286,7,2)&amp;":"&amp;MID(D1286,9,2)&amp;":"&amp;RIGHT(D1286,2)</f>
        <v/>
      </c>
      <c r="F1286" s="29" t="n">
        <v>45260</v>
      </c>
      <c r="G1286" s="29" t="inlineStr">
        <is>
          <t>Tankwagon</t>
        </is>
      </c>
      <c r="H1286" s="2" t="inlineStr">
        <is>
          <t>CAEC4D0D550896DC</t>
        </is>
      </c>
      <c r="J1286" t="inlineStr">
        <is>
          <t>VIEZO0000000000000107</t>
        </is>
      </c>
      <c r="K1286" s="27" t="inlineStr">
        <is>
          <t>33877916641-6</t>
        </is>
      </c>
      <c r="L1286" s="27" t="inlineStr">
        <is>
          <t>3R</t>
        </is>
      </c>
    </row>
    <row r="1287">
      <c r="A1287" s="32" t="inlineStr">
        <is>
          <t>TANKWAGON</t>
        </is>
      </c>
      <c r="B1287" s="24">
        <f>IFERROR(INDEX(Companies!$A$3:$A$101,MATCH(A1287,Companies!$B$3:$B$101,0)),"")</f>
        <v/>
      </c>
      <c r="D1287" t="inlineStr">
        <is>
          <t>EFE90647A0A0</t>
        </is>
      </c>
      <c r="E1287" s="24">
        <f>LEFT(D1287,2)&amp;":"&amp;MID(D1287,3,2)&amp;":"&amp;MID(D1287,5,2)&amp;":"&amp;MID(D1287,7,2)&amp;":"&amp;MID(D1287,9,2)&amp;":"&amp;RIGHT(D1287,2)</f>
        <v/>
      </c>
      <c r="F1287" s="29" t="n">
        <v>45260</v>
      </c>
      <c r="G1287" s="29" t="inlineStr">
        <is>
          <t>Tankwagon</t>
        </is>
      </c>
      <c r="H1287" s="2" t="inlineStr">
        <is>
          <t>24E43C107104C26C</t>
        </is>
      </c>
      <c r="J1287" t="inlineStr">
        <is>
          <t>VIEZO0000000000000108</t>
        </is>
      </c>
      <c r="K1287" s="27" t="inlineStr">
        <is>
          <t>33877916671-3</t>
        </is>
      </c>
      <c r="L1287" s="27" t="inlineStr">
        <is>
          <t>1L</t>
        </is>
      </c>
    </row>
    <row r="1288">
      <c r="A1288" s="32" t="inlineStr">
        <is>
          <t>TANKWAGON</t>
        </is>
      </c>
      <c r="B1288" s="24">
        <f>IFERROR(INDEX(Companies!$A$3:$A$101,MATCH(A1288,Companies!$B$3:$B$101,0)),"")</f>
        <v/>
      </c>
      <c r="D1288" t="inlineStr">
        <is>
          <t>F190AD7B0EDC</t>
        </is>
      </c>
      <c r="E1288" s="24">
        <f>LEFT(D1288,2)&amp;":"&amp;MID(D1288,3,2)&amp;":"&amp;MID(D1288,5,2)&amp;":"&amp;MID(D1288,7,2)&amp;":"&amp;MID(D1288,9,2)&amp;":"&amp;RIGHT(D1288,2)</f>
        <v/>
      </c>
      <c r="F1288" s="29" t="n">
        <v>45260</v>
      </c>
      <c r="G1288" s="29" t="inlineStr">
        <is>
          <t>Tankwagon</t>
        </is>
      </c>
      <c r="H1288" s="2" t="inlineStr">
        <is>
          <t>47EE34B4A941FC03</t>
        </is>
      </c>
      <c r="J1288" t="inlineStr">
        <is>
          <t>VIEZO0000000000000109</t>
        </is>
      </c>
      <c r="K1288" s="27" t="inlineStr">
        <is>
          <t>33877916666-3</t>
        </is>
      </c>
      <c r="L1288" s="27" t="inlineStr">
        <is>
          <t>4R</t>
        </is>
      </c>
    </row>
    <row r="1289">
      <c r="A1289" s="32" t="inlineStr">
        <is>
          <t>TANKWAGON</t>
        </is>
      </c>
      <c r="B1289" s="24">
        <f>IFERROR(INDEX(Companies!$A$3:$A$101,MATCH(A1289,Companies!$B$3:$B$101,0)),"")</f>
        <v/>
      </c>
      <c r="D1289" t="inlineStr">
        <is>
          <t>D26FEEFCC7DA</t>
        </is>
      </c>
      <c r="E1289" s="24">
        <f>LEFT(D1289,2)&amp;":"&amp;MID(D1289,3,2)&amp;":"&amp;MID(D1289,5,2)&amp;":"&amp;MID(D1289,7,2)&amp;":"&amp;MID(D1289,9,2)&amp;":"&amp;RIGHT(D1289,2)</f>
        <v/>
      </c>
      <c r="F1289" s="29" t="n">
        <v>45260</v>
      </c>
      <c r="G1289" s="29" t="inlineStr">
        <is>
          <t>Tankwagon</t>
        </is>
      </c>
      <c r="H1289" s="2" t="inlineStr">
        <is>
          <t>D06E3BDF7C54AEBA</t>
        </is>
      </c>
      <c r="J1289" t="inlineStr">
        <is>
          <t>VIEZO0000000000000110</t>
        </is>
      </c>
      <c r="K1289" s="27" t="inlineStr">
        <is>
          <t>33877916663-0</t>
        </is>
      </c>
      <c r="L1289" s="27" t="inlineStr">
        <is>
          <t>1R</t>
        </is>
      </c>
    </row>
    <row r="1290">
      <c r="A1290" s="32" t="inlineStr">
        <is>
          <t>TANKWAGON</t>
        </is>
      </c>
      <c r="B1290" s="24">
        <f>IFERROR(INDEX(Companies!$A$3:$A$101,MATCH(A1290,Companies!$B$3:$B$101,0)),"")</f>
        <v/>
      </c>
      <c r="D1290" t="inlineStr">
        <is>
          <t>CF803A287DA6</t>
        </is>
      </c>
      <c r="E1290" s="24">
        <f>LEFT(D1290,2)&amp;":"&amp;MID(D1290,3,2)&amp;":"&amp;MID(D1290,5,2)&amp;":"&amp;MID(D1290,7,2)&amp;":"&amp;MID(D1290,9,2)&amp;":"&amp;RIGHT(D1290,2)</f>
        <v/>
      </c>
      <c r="F1290" s="29" t="n">
        <v>45260</v>
      </c>
      <c r="G1290" s="29" t="inlineStr">
        <is>
          <t>Tankwagon</t>
        </is>
      </c>
      <c r="H1290" s="2" t="inlineStr">
        <is>
          <t>B1EC26923AAF1827</t>
        </is>
      </c>
      <c r="J1290" t="inlineStr">
        <is>
          <t>VIEZO0000000000000111</t>
        </is>
      </c>
      <c r="K1290" s="27" t="inlineStr">
        <is>
          <t>33877916641-6</t>
        </is>
      </c>
      <c r="L1290" s="27" t="inlineStr">
        <is>
          <t>1L</t>
        </is>
      </c>
    </row>
    <row r="1291">
      <c r="A1291" s="32" t="inlineStr">
        <is>
          <t>TANKWAGON</t>
        </is>
      </c>
      <c r="B1291" s="24">
        <f>IFERROR(INDEX(Companies!$A$3:$A$101,MATCH(A1291,Companies!$B$3:$B$101,0)),"")</f>
        <v/>
      </c>
      <c r="D1291" t="inlineStr">
        <is>
          <t>D60C0CB6F1F4</t>
        </is>
      </c>
      <c r="E1291" s="24">
        <f>LEFT(D1291,2)&amp;":"&amp;MID(D1291,3,2)&amp;":"&amp;MID(D1291,5,2)&amp;":"&amp;MID(D1291,7,2)&amp;":"&amp;MID(D1291,9,2)&amp;":"&amp;RIGHT(D1291,2)</f>
        <v/>
      </c>
      <c r="F1291" s="29" t="n">
        <v>45260</v>
      </c>
      <c r="G1291" s="29" t="inlineStr">
        <is>
          <t>Tankwagon</t>
        </is>
      </c>
      <c r="H1291" s="2" t="inlineStr">
        <is>
          <t>1FB71E255B070448</t>
        </is>
      </c>
      <c r="J1291" t="inlineStr">
        <is>
          <t>VIEZO0000000000000112</t>
        </is>
      </c>
      <c r="K1291" s="27" t="inlineStr">
        <is>
          <t>33877916641-6</t>
        </is>
      </c>
      <c r="L1291" s="27" t="inlineStr">
        <is>
          <t>2R</t>
        </is>
      </c>
    </row>
    <row r="1292">
      <c r="A1292" s="32" t="inlineStr">
        <is>
          <t>TANKWAGON</t>
        </is>
      </c>
      <c r="B1292" s="24">
        <f>IFERROR(INDEX(Companies!$A$3:$A$101,MATCH(A1292,Companies!$B$3:$B$101,0)),"")</f>
        <v/>
      </c>
      <c r="D1292" t="inlineStr">
        <is>
          <t>D614D2CD18C5</t>
        </is>
      </c>
      <c r="E1292" s="24">
        <f>LEFT(D1292,2)&amp;":"&amp;MID(D1292,3,2)&amp;":"&amp;MID(D1292,5,2)&amp;":"&amp;MID(D1292,7,2)&amp;":"&amp;MID(D1292,9,2)&amp;":"&amp;RIGHT(D1292,2)</f>
        <v/>
      </c>
      <c r="F1292" s="29" t="n">
        <v>45260</v>
      </c>
      <c r="G1292" s="29" t="inlineStr">
        <is>
          <t>Tankwagon</t>
        </is>
      </c>
      <c r="H1292" s="2" t="inlineStr">
        <is>
          <t>190F13EE15430D5A</t>
        </is>
      </c>
      <c r="J1292" t="inlineStr">
        <is>
          <t>VIEZO0000000000000113</t>
        </is>
      </c>
      <c r="K1292" s="27" t="inlineStr">
        <is>
          <t>33877916666-3</t>
        </is>
      </c>
      <c r="L1292" s="27" t="inlineStr">
        <is>
          <t>1R</t>
        </is>
      </c>
    </row>
    <row r="1293">
      <c r="A1293" s="32" t="inlineStr">
        <is>
          <t>TANKWAGON</t>
        </is>
      </c>
      <c r="B1293" s="24">
        <f>IFERROR(INDEX(Companies!$A$3:$A$101,MATCH(A1293,Companies!$B$3:$B$101,0)),"")</f>
        <v/>
      </c>
      <c r="D1293" t="inlineStr">
        <is>
          <t>C0394881593D</t>
        </is>
      </c>
      <c r="E1293" s="24">
        <f>LEFT(D1293,2)&amp;":"&amp;MID(D1293,3,2)&amp;":"&amp;MID(D1293,5,2)&amp;":"&amp;MID(D1293,7,2)&amp;":"&amp;MID(D1293,9,2)&amp;":"&amp;RIGHT(D1293,2)</f>
        <v/>
      </c>
      <c r="F1293" s="29" t="n">
        <v>45260</v>
      </c>
      <c r="G1293" s="29" t="inlineStr">
        <is>
          <t>Tankwagon</t>
        </is>
      </c>
      <c r="H1293" s="2" t="inlineStr">
        <is>
          <t>933C98AB174B539E</t>
        </is>
      </c>
      <c r="J1293" t="inlineStr">
        <is>
          <t>VIEZO0000000000000114</t>
        </is>
      </c>
      <c r="K1293" s="27" t="inlineStr">
        <is>
          <t>33877916641-6</t>
        </is>
      </c>
      <c r="L1293" s="27" t="inlineStr">
        <is>
          <t>2L</t>
        </is>
      </c>
    </row>
    <row r="1294">
      <c r="A1294" s="32" t="inlineStr">
        <is>
          <t>TANKWAGON</t>
        </is>
      </c>
      <c r="B1294" s="24">
        <f>IFERROR(INDEX(Companies!$A$3:$A$101,MATCH(A1294,Companies!$B$3:$B$101,0)),"")</f>
        <v/>
      </c>
      <c r="D1294" t="inlineStr">
        <is>
          <t>DBD6F516453C</t>
        </is>
      </c>
      <c r="E1294" s="24">
        <f>LEFT(D1294,2)&amp;":"&amp;MID(D1294,3,2)&amp;":"&amp;MID(D1294,5,2)&amp;":"&amp;MID(D1294,7,2)&amp;":"&amp;MID(D1294,9,2)&amp;":"&amp;RIGHT(D1294,2)</f>
        <v/>
      </c>
      <c r="F1294" s="29" t="n">
        <v>45260</v>
      </c>
      <c r="G1294" s="29" t="inlineStr">
        <is>
          <t>Tankwagon</t>
        </is>
      </c>
      <c r="H1294" s="2" t="inlineStr">
        <is>
          <t>89A2B813A3402C9F</t>
        </is>
      </c>
      <c r="J1294" t="inlineStr">
        <is>
          <t>VIEZO0000000000000115</t>
        </is>
      </c>
      <c r="K1294" s="27" t="inlineStr">
        <is>
          <t>33877916666-3</t>
        </is>
      </c>
      <c r="L1294" s="27" t="inlineStr">
        <is>
          <t>1L</t>
        </is>
      </c>
    </row>
    <row r="1295">
      <c r="A1295" s="32" t="inlineStr">
        <is>
          <t>TANKWAGON</t>
        </is>
      </c>
      <c r="B1295" s="24">
        <f>IFERROR(INDEX(Companies!$A$3:$A$101,MATCH(A1295,Companies!$B$3:$B$101,0)),"")</f>
        <v/>
      </c>
      <c r="D1295" t="inlineStr">
        <is>
          <t>D1030EBEA26F</t>
        </is>
      </c>
      <c r="E1295" s="24">
        <f>LEFT(D1295,2)&amp;":"&amp;MID(D1295,3,2)&amp;":"&amp;MID(D1295,5,2)&amp;":"&amp;MID(D1295,7,2)&amp;":"&amp;MID(D1295,9,2)&amp;":"&amp;RIGHT(D1295,2)</f>
        <v/>
      </c>
      <c r="F1295" s="29" t="n">
        <v>45260</v>
      </c>
      <c r="G1295" s="29" t="inlineStr">
        <is>
          <t>Tankwagon</t>
        </is>
      </c>
      <c r="H1295" s="2" t="inlineStr">
        <is>
          <t>85DAC019AF252E73</t>
        </is>
      </c>
      <c r="J1295" t="inlineStr">
        <is>
          <t>VIEZO0000000000000116</t>
        </is>
      </c>
      <c r="K1295" s="27" t="inlineStr">
        <is>
          <t>33877916666-3</t>
        </is>
      </c>
      <c r="L1295" s="27" t="inlineStr">
        <is>
          <t>2L</t>
        </is>
      </c>
    </row>
    <row r="1296">
      <c r="A1296" s="32" t="inlineStr">
        <is>
          <t>TANKWAGON</t>
        </is>
      </c>
      <c r="B1296" s="24">
        <f>IFERROR(INDEX(Companies!$A$3:$A$101,MATCH(A1296,Companies!$B$3:$B$101,0)),"")</f>
        <v/>
      </c>
      <c r="D1296" t="inlineStr">
        <is>
          <t>D8D60926F13D</t>
        </is>
      </c>
      <c r="E1296" s="24">
        <f>LEFT(D1296,2)&amp;":"&amp;MID(D1296,3,2)&amp;":"&amp;MID(D1296,5,2)&amp;":"&amp;MID(D1296,7,2)&amp;":"&amp;MID(D1296,9,2)&amp;":"&amp;RIGHT(D1296,2)</f>
        <v/>
      </c>
      <c r="F1296" s="29" t="n">
        <v>45260</v>
      </c>
      <c r="G1296" s="29" t="inlineStr">
        <is>
          <t>Tankwagon</t>
        </is>
      </c>
      <c r="H1296" s="2" t="inlineStr">
        <is>
          <t>D0B305FC89E3D47F</t>
        </is>
      </c>
      <c r="J1296" t="inlineStr">
        <is>
          <t>VIEZO0000000000000117</t>
        </is>
      </c>
      <c r="K1296" s="27" t="inlineStr">
        <is>
          <t>33877916641-6</t>
        </is>
      </c>
      <c r="L1296" s="27" t="inlineStr">
        <is>
          <t>4L</t>
        </is>
      </c>
    </row>
    <row r="1297">
      <c r="A1297" s="32" t="inlineStr">
        <is>
          <t>TANKWAGON</t>
        </is>
      </c>
      <c r="B1297" s="24">
        <f>IFERROR(INDEX(Companies!$A$3:$A$101,MATCH(A1297,Companies!$B$3:$B$101,0)),"")</f>
        <v/>
      </c>
      <c r="D1297" t="inlineStr">
        <is>
          <t>E17F9D34EFB0</t>
        </is>
      </c>
      <c r="E1297" s="24">
        <f>LEFT(D1297,2)&amp;":"&amp;MID(D1297,3,2)&amp;":"&amp;MID(D1297,5,2)&amp;":"&amp;MID(D1297,7,2)&amp;":"&amp;MID(D1297,9,2)&amp;":"&amp;RIGHT(D1297,2)</f>
        <v/>
      </c>
      <c r="F1297" s="29" t="n">
        <v>45260</v>
      </c>
      <c r="G1297" s="29" t="inlineStr">
        <is>
          <t>Tankwagon</t>
        </is>
      </c>
      <c r="H1297" s="2" t="inlineStr">
        <is>
          <t>9CAF990EFA01258F</t>
        </is>
      </c>
      <c r="J1297" t="inlineStr">
        <is>
          <t>VIEZO0000000000000118</t>
        </is>
      </c>
      <c r="K1297" s="27" t="inlineStr">
        <is>
          <t>33877916641-6</t>
        </is>
      </c>
      <c r="L1297" s="27" t="inlineStr">
        <is>
          <t>3L</t>
        </is>
      </c>
    </row>
    <row r="1298">
      <c r="A1298" s="32" t="inlineStr">
        <is>
          <t>TANKWAGON</t>
        </is>
      </c>
      <c r="B1298" s="24">
        <f>IFERROR(INDEX(Companies!$A$3:$A$101,MATCH(A1298,Companies!$B$3:$B$101,0)),"")</f>
        <v/>
      </c>
      <c r="D1298" t="inlineStr">
        <is>
          <t>FF0E19E5514F</t>
        </is>
      </c>
      <c r="E1298" s="24">
        <f>LEFT(D1298,2)&amp;":"&amp;MID(D1298,3,2)&amp;":"&amp;MID(D1298,5,2)&amp;":"&amp;MID(D1298,7,2)&amp;":"&amp;MID(D1298,9,2)&amp;":"&amp;RIGHT(D1298,2)</f>
        <v/>
      </c>
      <c r="F1298" s="29" t="n">
        <v>45260</v>
      </c>
      <c r="G1298" s="29" t="inlineStr">
        <is>
          <t>Tankwagon</t>
        </is>
      </c>
      <c r="H1298" s="2" t="inlineStr">
        <is>
          <t>59B52DDA69432243</t>
        </is>
      </c>
      <c r="J1298" t="inlineStr">
        <is>
          <t>VIEZO0000000000000119</t>
        </is>
      </c>
      <c r="K1298" s="27" t="inlineStr">
        <is>
          <t>33877916666-3</t>
        </is>
      </c>
      <c r="L1298" s="27" t="inlineStr">
        <is>
          <t>3R</t>
        </is>
      </c>
    </row>
    <row r="1299">
      <c r="A1299" s="32" t="inlineStr">
        <is>
          <t>TANKWAGON</t>
        </is>
      </c>
      <c r="B1299" s="24">
        <f>IFERROR(INDEX(Companies!$A$3:$A$101,MATCH(A1299,Companies!$B$3:$B$101,0)),"")</f>
        <v/>
      </c>
      <c r="D1299" t="inlineStr">
        <is>
          <t>F89D49C37CCB</t>
        </is>
      </c>
      <c r="E1299" s="24">
        <f>LEFT(D1299,2)&amp;":"&amp;MID(D1299,3,2)&amp;":"&amp;MID(D1299,5,2)&amp;":"&amp;MID(D1299,7,2)&amp;":"&amp;MID(D1299,9,2)&amp;":"&amp;RIGHT(D1299,2)</f>
        <v/>
      </c>
      <c r="F1299" s="29" t="n">
        <v>45260</v>
      </c>
      <c r="G1299" s="29" t="inlineStr">
        <is>
          <t>Tankwagon</t>
        </is>
      </c>
      <c r="H1299" s="2" t="inlineStr">
        <is>
          <t>B1AA7F119BD97497</t>
        </is>
      </c>
      <c r="J1299" t="inlineStr">
        <is>
          <t>VIEZO0000000000000120</t>
        </is>
      </c>
      <c r="K1299" s="27" t="inlineStr">
        <is>
          <t>33877916641-6</t>
        </is>
      </c>
      <c r="L1299" s="27" t="inlineStr">
        <is>
          <t>1R</t>
        </is>
      </c>
    </row>
    <row r="1300">
      <c r="A1300" s="32" t="inlineStr">
        <is>
          <t>TANKWAGON</t>
        </is>
      </c>
      <c r="B1300" s="24">
        <f>IFERROR(INDEX(Companies!$A$3:$A$101,MATCH(A1300,Companies!$B$3:$B$101,0)),"")</f>
        <v/>
      </c>
      <c r="D1300" t="inlineStr">
        <is>
          <t>DDEE9053E0E0</t>
        </is>
      </c>
      <c r="E1300" s="24">
        <f>LEFT(D1300,2)&amp;":"&amp;MID(D1300,3,2)&amp;":"&amp;MID(D1300,5,2)&amp;":"&amp;MID(D1300,7,2)&amp;":"&amp;MID(D1300,9,2)&amp;":"&amp;RIGHT(D1300,2)</f>
        <v/>
      </c>
      <c r="H1300" s="2" t="inlineStr">
        <is>
          <t>24F1FE33FD535D13</t>
        </is>
      </c>
      <c r="J1300" t="inlineStr">
        <is>
          <t>VIEZO0000000000000121</t>
        </is>
      </c>
    </row>
    <row r="1301">
      <c r="A1301" s="32" t="inlineStr">
        <is>
          <t>TANKWAGON</t>
        </is>
      </c>
      <c r="B1301" s="24">
        <f>IFERROR(INDEX(Companies!$A$3:$A$101,MATCH(A1301,Companies!$B$3:$B$101,0)),"")</f>
        <v/>
      </c>
      <c r="D1301" t="inlineStr">
        <is>
          <t>C9C572DD12BF</t>
        </is>
      </c>
      <c r="E1301" s="24">
        <f>LEFT(D1301,2)&amp;":"&amp;MID(D1301,3,2)&amp;":"&amp;MID(D1301,5,2)&amp;":"&amp;MID(D1301,7,2)&amp;":"&amp;MID(D1301,9,2)&amp;":"&amp;RIGHT(D1301,2)</f>
        <v/>
      </c>
      <c r="H1301" s="2" t="inlineStr">
        <is>
          <t>F932E8EC82FE603D</t>
        </is>
      </c>
      <c r="J1301" t="inlineStr">
        <is>
          <t>VIEZO0000000000000122</t>
        </is>
      </c>
    </row>
    <row r="1302">
      <c r="A1302" s="32" t="inlineStr">
        <is>
          <t>TANKWAGON</t>
        </is>
      </c>
      <c r="B1302" s="24">
        <f>IFERROR(INDEX(Companies!$A$3:$A$101,MATCH(A1302,Companies!$B$3:$B$101,0)),"")</f>
        <v/>
      </c>
      <c r="D1302" t="inlineStr">
        <is>
          <t>FFE592D03FB7</t>
        </is>
      </c>
      <c r="E1302" s="24">
        <f>LEFT(D1302,2)&amp;":"&amp;MID(D1302,3,2)&amp;":"&amp;MID(D1302,5,2)&amp;":"&amp;MID(D1302,7,2)&amp;":"&amp;MID(D1302,9,2)&amp;":"&amp;RIGHT(D1302,2)</f>
        <v/>
      </c>
      <c r="H1302" s="2" t="inlineStr">
        <is>
          <t>63051B9C88CA3C09</t>
        </is>
      </c>
      <c r="J1302" t="inlineStr">
        <is>
          <t>VIEZO0000000000000123</t>
        </is>
      </c>
    </row>
    <row r="1303">
      <c r="A1303" s="32" t="inlineStr">
        <is>
          <t>TANKWAGON</t>
        </is>
      </c>
      <c r="B1303" s="24">
        <f>IFERROR(INDEX(Companies!$A$3:$A$101,MATCH(A1303,Companies!$B$3:$B$101,0)),"")</f>
        <v/>
      </c>
      <c r="D1303" t="inlineStr">
        <is>
          <t>E253C6EFDACA</t>
        </is>
      </c>
      <c r="E1303" s="24">
        <f>LEFT(D1303,2)&amp;":"&amp;MID(D1303,3,2)&amp;":"&amp;MID(D1303,5,2)&amp;":"&amp;MID(D1303,7,2)&amp;":"&amp;MID(D1303,9,2)&amp;":"&amp;RIGHT(D1303,2)</f>
        <v/>
      </c>
      <c r="H1303" s="2" t="inlineStr">
        <is>
          <t>8D07F4897E43ED89</t>
        </is>
      </c>
      <c r="J1303" t="inlineStr">
        <is>
          <t>VIEZO0000000000000124</t>
        </is>
      </c>
    </row>
    <row r="1304">
      <c r="A1304" s="32" t="inlineStr">
        <is>
          <t>TANKWAGON</t>
        </is>
      </c>
      <c r="B1304" s="24">
        <f>IFERROR(INDEX(Companies!$A$3:$A$101,MATCH(A1304,Companies!$B$3:$B$101,0)),"")</f>
        <v/>
      </c>
      <c r="D1304" t="inlineStr">
        <is>
          <t>DDD8042CF8B6</t>
        </is>
      </c>
      <c r="E1304" s="24">
        <f>LEFT(D1304,2)&amp;":"&amp;MID(D1304,3,2)&amp;":"&amp;MID(D1304,5,2)&amp;":"&amp;MID(D1304,7,2)&amp;":"&amp;MID(D1304,9,2)&amp;":"&amp;RIGHT(D1304,2)</f>
        <v/>
      </c>
      <c r="H1304" s="2" t="inlineStr">
        <is>
          <t>74E7A0C97807D242</t>
        </is>
      </c>
      <c r="J1304" t="inlineStr">
        <is>
          <t>VIEZO0000000000000125</t>
        </is>
      </c>
    </row>
    <row r="1305">
      <c r="A1305" s="32" t="inlineStr">
        <is>
          <t>TANKWAGON</t>
        </is>
      </c>
      <c r="B1305" s="24">
        <f>IFERROR(INDEX(Companies!$A$3:$A$101,MATCH(A1305,Companies!$B$3:$B$101,0)),"")</f>
        <v/>
      </c>
      <c r="D1305" t="inlineStr">
        <is>
          <t>DD8D94E716D4</t>
        </is>
      </c>
      <c r="E1305" s="24">
        <f>LEFT(D1305,2)&amp;":"&amp;MID(D1305,3,2)&amp;":"&amp;MID(D1305,5,2)&amp;":"&amp;MID(D1305,7,2)&amp;":"&amp;MID(D1305,9,2)&amp;":"&amp;RIGHT(D1305,2)</f>
        <v/>
      </c>
      <c r="H1305" s="2" t="inlineStr">
        <is>
          <t>FDC57B4B784D79AE</t>
        </is>
      </c>
      <c r="J1305" t="inlineStr">
        <is>
          <t>VIEZO0000000000000126</t>
        </is>
      </c>
    </row>
    <row r="1306">
      <c r="A1306" s="32" t="inlineStr">
        <is>
          <t>TANKWAGON</t>
        </is>
      </c>
      <c r="B1306" s="24">
        <f>IFERROR(INDEX(Companies!$A$3:$A$101,MATCH(A1306,Companies!$B$3:$B$101,0)),"")</f>
        <v/>
      </c>
      <c r="D1306" t="inlineStr">
        <is>
          <t>FB21B2253E11</t>
        </is>
      </c>
      <c r="E1306" s="24">
        <f>LEFT(D1306,2)&amp;":"&amp;MID(D1306,3,2)&amp;":"&amp;MID(D1306,5,2)&amp;":"&amp;MID(D1306,7,2)&amp;":"&amp;MID(D1306,9,2)&amp;":"&amp;RIGHT(D1306,2)</f>
        <v/>
      </c>
      <c r="H1306" s="2" t="inlineStr">
        <is>
          <t>2FDA78F5A4DAE510</t>
        </is>
      </c>
      <c r="J1306" t="inlineStr">
        <is>
          <t>VIEZO0000000000000127</t>
        </is>
      </c>
    </row>
    <row r="1307">
      <c r="A1307" s="32" t="inlineStr">
        <is>
          <t>TANKWAGON</t>
        </is>
      </c>
      <c r="B1307" s="24">
        <f>IFERROR(INDEX(Companies!$A$3:$A$101,MATCH(A1307,Companies!$B$3:$B$101,0)),"")</f>
        <v/>
      </c>
      <c r="D1307" t="inlineStr">
        <is>
          <t>CB6A3A25AB95</t>
        </is>
      </c>
      <c r="E1307" s="24">
        <f>LEFT(D1307,2)&amp;":"&amp;MID(D1307,3,2)&amp;":"&amp;MID(D1307,5,2)&amp;":"&amp;MID(D1307,7,2)&amp;":"&amp;MID(D1307,9,2)&amp;":"&amp;RIGHT(D1307,2)</f>
        <v/>
      </c>
      <c r="H1307" s="2" t="inlineStr">
        <is>
          <t>AD50C518521D3657</t>
        </is>
      </c>
      <c r="J1307" t="inlineStr">
        <is>
          <t>VIEZO0000000000000128</t>
        </is>
      </c>
    </row>
    <row r="1308">
      <c r="A1308" s="32" t="inlineStr">
        <is>
          <t>TANKWAGON</t>
        </is>
      </c>
      <c r="B1308" s="24">
        <f>IFERROR(INDEX(Companies!$A$3:$A$101,MATCH(A1308,Companies!$B$3:$B$101,0)),"")</f>
        <v/>
      </c>
      <c r="D1308" t="inlineStr">
        <is>
          <t>E36248AEFB13</t>
        </is>
      </c>
      <c r="E1308" s="24">
        <f>LEFT(D1308,2)&amp;":"&amp;MID(D1308,3,2)&amp;":"&amp;MID(D1308,5,2)&amp;":"&amp;MID(D1308,7,2)&amp;":"&amp;MID(D1308,9,2)&amp;":"&amp;RIGHT(D1308,2)</f>
        <v/>
      </c>
      <c r="H1308" s="2" t="inlineStr">
        <is>
          <t>4EC551049EBBF341</t>
        </is>
      </c>
      <c r="J1308" t="inlineStr">
        <is>
          <t>VIEZO0000000000000129</t>
        </is>
      </c>
    </row>
    <row r="1309">
      <c r="A1309" s="32" t="inlineStr">
        <is>
          <t>TANKWAGON</t>
        </is>
      </c>
      <c r="B1309" s="24">
        <f>IFERROR(INDEX(Companies!$A$3:$A$101,MATCH(A1309,Companies!$B$3:$B$101,0)),"")</f>
        <v/>
      </c>
      <c r="D1309" t="inlineStr">
        <is>
          <t>F0F9BB18A94C</t>
        </is>
      </c>
      <c r="E1309" s="24">
        <f>LEFT(D1309,2)&amp;":"&amp;MID(D1309,3,2)&amp;":"&amp;MID(D1309,5,2)&amp;":"&amp;MID(D1309,7,2)&amp;":"&amp;MID(D1309,9,2)&amp;":"&amp;RIGHT(D1309,2)</f>
        <v/>
      </c>
      <c r="H1309" s="2" t="inlineStr">
        <is>
          <t>0944F1EADB9BBA4D</t>
        </is>
      </c>
      <c r="J1309" t="inlineStr">
        <is>
          <t>VIEZO0000000000000130</t>
        </is>
      </c>
    </row>
    <row r="1310">
      <c r="A1310" s="32" t="inlineStr">
        <is>
          <t>TANKWAGON</t>
        </is>
      </c>
      <c r="B1310" s="24">
        <f>IFERROR(INDEX(Companies!$A$3:$A$101,MATCH(A1310,Companies!$B$3:$B$101,0)),"")</f>
        <v/>
      </c>
      <c r="D1310" t="inlineStr">
        <is>
          <t>CE4445A2C95E</t>
        </is>
      </c>
      <c r="E1310" s="24">
        <f>LEFT(D1310,2)&amp;":"&amp;MID(D1310,3,2)&amp;":"&amp;MID(D1310,5,2)&amp;":"&amp;MID(D1310,7,2)&amp;":"&amp;MID(D1310,9,2)&amp;":"&amp;RIGHT(D1310,2)</f>
        <v/>
      </c>
      <c r="H1310" s="2" t="inlineStr">
        <is>
          <t>E5680E77FC20A158</t>
        </is>
      </c>
      <c r="J1310" t="inlineStr">
        <is>
          <t>VIEZO0000000000000131</t>
        </is>
      </c>
    </row>
    <row r="1311">
      <c r="A1311" s="32" t="inlineStr">
        <is>
          <t>TANKWAGON</t>
        </is>
      </c>
      <c r="B1311" s="24">
        <f>IFERROR(INDEX(Companies!$A$3:$A$101,MATCH(A1311,Companies!$B$3:$B$101,0)),"")</f>
        <v/>
      </c>
      <c r="D1311" t="inlineStr">
        <is>
          <t>CCB36C39F0DE</t>
        </is>
      </c>
      <c r="E1311" s="24">
        <f>LEFT(D1311,2)&amp;":"&amp;MID(D1311,3,2)&amp;":"&amp;MID(D1311,5,2)&amp;":"&amp;MID(D1311,7,2)&amp;":"&amp;MID(D1311,9,2)&amp;":"&amp;RIGHT(D1311,2)</f>
        <v/>
      </c>
      <c r="H1311" s="2" t="inlineStr">
        <is>
          <t>E38B61186A50CA3D</t>
        </is>
      </c>
      <c r="J1311" t="inlineStr">
        <is>
          <t>VIEZO0000000000000132</t>
        </is>
      </c>
    </row>
    <row r="1312">
      <c r="A1312" s="32" t="inlineStr">
        <is>
          <t>TANKWAGON</t>
        </is>
      </c>
      <c r="B1312" s="24">
        <f>IFERROR(INDEX(Companies!$A$3:$A$101,MATCH(A1312,Companies!$B$3:$B$101,0)),"")</f>
        <v/>
      </c>
      <c r="D1312" t="inlineStr">
        <is>
          <t>C83F0E1D5B71</t>
        </is>
      </c>
      <c r="E1312" s="24">
        <f>LEFT(D1312,2)&amp;":"&amp;MID(D1312,3,2)&amp;":"&amp;MID(D1312,5,2)&amp;":"&amp;MID(D1312,7,2)&amp;":"&amp;MID(D1312,9,2)&amp;":"&amp;RIGHT(D1312,2)</f>
        <v/>
      </c>
      <c r="H1312" s="2" t="inlineStr">
        <is>
          <t>644B6F189921C355</t>
        </is>
      </c>
      <c r="J1312" t="inlineStr">
        <is>
          <t>VIEZO0000000000000133</t>
        </is>
      </c>
    </row>
    <row r="1313">
      <c r="A1313" s="32" t="inlineStr">
        <is>
          <t>TANKWAGON</t>
        </is>
      </c>
      <c r="B1313" s="24">
        <f>IFERROR(INDEX(Companies!$A$3:$A$101,MATCH(A1313,Companies!$B$3:$B$101,0)),"")</f>
        <v/>
      </c>
      <c r="D1313" t="inlineStr">
        <is>
          <t>EE8FF5B91A62</t>
        </is>
      </c>
      <c r="E1313" s="24">
        <f>LEFT(D1313,2)&amp;":"&amp;MID(D1313,3,2)&amp;":"&amp;MID(D1313,5,2)&amp;":"&amp;MID(D1313,7,2)&amp;":"&amp;MID(D1313,9,2)&amp;":"&amp;RIGHT(D1313,2)</f>
        <v/>
      </c>
      <c r="H1313" s="2" t="inlineStr">
        <is>
          <t>918664A477AA1F31</t>
        </is>
      </c>
      <c r="J1313" t="inlineStr">
        <is>
          <t>VIEZO0000000000000134</t>
        </is>
      </c>
    </row>
    <row r="1314">
      <c r="A1314" s="32" t="inlineStr">
        <is>
          <t>TANKWAGON</t>
        </is>
      </c>
      <c r="B1314" s="24">
        <f>IFERROR(INDEX(Companies!$A$3:$A$101,MATCH(A1314,Companies!$B$3:$B$101,0)),"")</f>
        <v/>
      </c>
      <c r="D1314" t="inlineStr">
        <is>
          <t>D8CF70472C13</t>
        </is>
      </c>
      <c r="E1314" s="24">
        <f>LEFT(D1314,2)&amp;":"&amp;MID(D1314,3,2)&amp;":"&amp;MID(D1314,5,2)&amp;":"&amp;MID(D1314,7,2)&amp;":"&amp;MID(D1314,9,2)&amp;":"&amp;RIGHT(D1314,2)</f>
        <v/>
      </c>
      <c r="H1314" s="2" t="inlineStr">
        <is>
          <t>A2E0FCE04B86CE72</t>
        </is>
      </c>
      <c r="J1314" t="inlineStr">
        <is>
          <t>VIEZO0000000000000135</t>
        </is>
      </c>
    </row>
    <row r="1315">
      <c r="A1315" s="32" t="inlineStr">
        <is>
          <t>TANKWAGON</t>
        </is>
      </c>
      <c r="B1315" s="24">
        <f>IFERROR(INDEX(Companies!$A$3:$A$101,MATCH(A1315,Companies!$B$3:$B$101,0)),"")</f>
        <v/>
      </c>
      <c r="D1315" t="inlineStr">
        <is>
          <t>D269BD6C1A61</t>
        </is>
      </c>
      <c r="E1315" s="24">
        <f>LEFT(D1315,2)&amp;":"&amp;MID(D1315,3,2)&amp;":"&amp;MID(D1315,5,2)&amp;":"&amp;MID(D1315,7,2)&amp;":"&amp;MID(D1315,9,2)&amp;":"&amp;RIGHT(D1315,2)</f>
        <v/>
      </c>
      <c r="H1315" s="2" t="inlineStr">
        <is>
          <t>4A2B1BFD940985D5</t>
        </is>
      </c>
      <c r="J1315" t="inlineStr">
        <is>
          <t>VIEZO0000000000000136</t>
        </is>
      </c>
    </row>
    <row r="1316">
      <c r="A1316" s="32" t="inlineStr">
        <is>
          <t>TANKWAGON</t>
        </is>
      </c>
      <c r="B1316" s="24">
        <f>IFERROR(INDEX(Companies!$A$3:$A$101,MATCH(A1316,Companies!$B$3:$B$101,0)),"")</f>
        <v/>
      </c>
      <c r="D1316" t="inlineStr">
        <is>
          <t>D3196493A1A7</t>
        </is>
      </c>
      <c r="E1316" s="24">
        <f>LEFT(D1316,2)&amp;":"&amp;MID(D1316,3,2)&amp;":"&amp;MID(D1316,5,2)&amp;":"&amp;MID(D1316,7,2)&amp;":"&amp;MID(D1316,9,2)&amp;":"&amp;RIGHT(D1316,2)</f>
        <v/>
      </c>
      <c r="H1316" s="2" t="inlineStr">
        <is>
          <t>AD20418DDBEFBF61</t>
        </is>
      </c>
      <c r="J1316" t="inlineStr">
        <is>
          <t>VIEZO0000000000000137</t>
        </is>
      </c>
    </row>
    <row r="1317">
      <c r="A1317" s="32" t="inlineStr">
        <is>
          <t>TANKWAGON</t>
        </is>
      </c>
      <c r="B1317" s="24">
        <f>IFERROR(INDEX(Companies!$A$3:$A$101,MATCH(A1317,Companies!$B$3:$B$101,0)),"")</f>
        <v/>
      </c>
      <c r="D1317" t="inlineStr">
        <is>
          <t>DD8E32C3D332</t>
        </is>
      </c>
      <c r="E1317" s="24">
        <f>LEFT(D1317,2)&amp;":"&amp;MID(D1317,3,2)&amp;":"&amp;MID(D1317,5,2)&amp;":"&amp;MID(D1317,7,2)&amp;":"&amp;MID(D1317,9,2)&amp;":"&amp;RIGHT(D1317,2)</f>
        <v/>
      </c>
      <c r="H1317" s="2" t="inlineStr">
        <is>
          <t>492DA35EE584BE6C</t>
        </is>
      </c>
      <c r="J1317" t="inlineStr">
        <is>
          <t>VIEZO0000000000000138</t>
        </is>
      </c>
    </row>
    <row r="1318">
      <c r="A1318" s="32" t="inlineStr">
        <is>
          <t>TANKWAGON</t>
        </is>
      </c>
      <c r="B1318" s="24">
        <f>IFERROR(INDEX(Companies!$A$3:$A$101,MATCH(A1318,Companies!$B$3:$B$101,0)),"")</f>
        <v/>
      </c>
      <c r="D1318" t="inlineStr">
        <is>
          <t>C774E30F3548</t>
        </is>
      </c>
      <c r="E1318" s="24">
        <f>LEFT(D1318,2)&amp;":"&amp;MID(D1318,3,2)&amp;":"&amp;MID(D1318,5,2)&amp;":"&amp;MID(D1318,7,2)&amp;":"&amp;MID(D1318,9,2)&amp;":"&amp;RIGHT(D1318,2)</f>
        <v/>
      </c>
      <c r="H1318" s="2" t="inlineStr">
        <is>
          <t>376CB5BBD41FE240</t>
        </is>
      </c>
      <c r="J1318" t="inlineStr">
        <is>
          <t>VIEZO0000000000000139</t>
        </is>
      </c>
    </row>
    <row r="1319">
      <c r="A1319" s="32" t="inlineStr">
        <is>
          <t>TANKWAGON</t>
        </is>
      </c>
      <c r="B1319" s="24">
        <f>IFERROR(INDEX(Companies!$A$3:$A$101,MATCH(A1319,Companies!$B$3:$B$101,0)),"")</f>
        <v/>
      </c>
      <c r="D1319" t="inlineStr">
        <is>
          <t>F333CE342171</t>
        </is>
      </c>
      <c r="E1319" s="24">
        <f>LEFT(D1319,2)&amp;":"&amp;MID(D1319,3,2)&amp;":"&amp;MID(D1319,5,2)&amp;":"&amp;MID(D1319,7,2)&amp;":"&amp;MID(D1319,9,2)&amp;":"&amp;RIGHT(D1319,2)</f>
        <v/>
      </c>
      <c r="H1319" s="2" t="inlineStr">
        <is>
          <t>2BBE250D49701044</t>
        </is>
      </c>
      <c r="J1319" t="inlineStr">
        <is>
          <t>VIEZO0000000000000140</t>
        </is>
      </c>
    </row>
    <row r="1320">
      <c r="A1320" s="32" t="inlineStr">
        <is>
          <t>TANKWAGON</t>
        </is>
      </c>
      <c r="B1320" s="24">
        <f>IFERROR(INDEX(Companies!$A$3:$A$101,MATCH(A1320,Companies!$B$3:$B$101,0)),"")</f>
        <v/>
      </c>
      <c r="D1320" t="inlineStr">
        <is>
          <t>C35083B774D0</t>
        </is>
      </c>
      <c r="E1320" s="24">
        <f>LEFT(D1320,2)&amp;":"&amp;MID(D1320,3,2)&amp;":"&amp;MID(D1320,5,2)&amp;":"&amp;MID(D1320,7,2)&amp;":"&amp;MID(D1320,9,2)&amp;":"&amp;RIGHT(D1320,2)</f>
        <v/>
      </c>
      <c r="H1320" s="2" t="inlineStr">
        <is>
          <t>763F4B98AE23B396</t>
        </is>
      </c>
      <c r="J1320" t="inlineStr">
        <is>
          <t>VIEZO0000000000000141</t>
        </is>
      </c>
    </row>
    <row r="1321">
      <c r="A1321" s="32" t="inlineStr">
        <is>
          <t>TANKWAGON</t>
        </is>
      </c>
      <c r="B1321" s="24">
        <f>IFERROR(INDEX(Companies!$A$3:$A$101,MATCH(A1321,Companies!$B$3:$B$101,0)),"")</f>
        <v/>
      </c>
      <c r="D1321" t="inlineStr">
        <is>
          <t>F08006F80EAC</t>
        </is>
      </c>
      <c r="E1321" s="24">
        <f>LEFT(D1321,2)&amp;":"&amp;MID(D1321,3,2)&amp;":"&amp;MID(D1321,5,2)&amp;":"&amp;MID(D1321,7,2)&amp;":"&amp;MID(D1321,9,2)&amp;":"&amp;RIGHT(D1321,2)</f>
        <v/>
      </c>
      <c r="H1321" s="2" t="inlineStr">
        <is>
          <t>3AC13909DAA21A56</t>
        </is>
      </c>
      <c r="J1321" t="inlineStr">
        <is>
          <t>VIEZO0000000000000142</t>
        </is>
      </c>
    </row>
    <row r="1322">
      <c r="A1322" s="32" t="inlineStr">
        <is>
          <t>TANKWAGON</t>
        </is>
      </c>
      <c r="B1322" s="24">
        <f>IFERROR(INDEX(Companies!$A$3:$A$101,MATCH(A1322,Companies!$B$3:$B$101,0)),"")</f>
        <v/>
      </c>
      <c r="D1322" t="inlineStr">
        <is>
          <t>EB8763AAD235</t>
        </is>
      </c>
      <c r="E1322" s="24">
        <f>LEFT(D1322,2)&amp;":"&amp;MID(D1322,3,2)&amp;":"&amp;MID(D1322,5,2)&amp;":"&amp;MID(D1322,7,2)&amp;":"&amp;MID(D1322,9,2)&amp;":"&amp;RIGHT(D1322,2)</f>
        <v/>
      </c>
      <c r="H1322" s="2" t="inlineStr">
        <is>
          <t>38CD1EC6BA1816FC</t>
        </is>
      </c>
      <c r="J1322" t="inlineStr">
        <is>
          <t>VIEZO0000000000000143</t>
        </is>
      </c>
    </row>
    <row r="1323">
      <c r="A1323" s="32" t="inlineStr">
        <is>
          <t>TANKWAGON</t>
        </is>
      </c>
      <c r="B1323" s="24">
        <f>IFERROR(INDEX(Companies!$A$3:$A$101,MATCH(A1323,Companies!$B$3:$B$101,0)),"")</f>
        <v/>
      </c>
      <c r="D1323" t="inlineStr">
        <is>
          <t>CED4F1E5BF28</t>
        </is>
      </c>
      <c r="E1323" s="24">
        <f>LEFT(D1323,2)&amp;":"&amp;MID(D1323,3,2)&amp;":"&amp;MID(D1323,5,2)&amp;":"&amp;MID(D1323,7,2)&amp;":"&amp;MID(D1323,9,2)&amp;":"&amp;RIGHT(D1323,2)</f>
        <v/>
      </c>
      <c r="H1323" s="2" t="inlineStr">
        <is>
          <t>99CA6D06B4487B34</t>
        </is>
      </c>
      <c r="J1323" t="inlineStr">
        <is>
          <t>VIEZO0000000000000144</t>
        </is>
      </c>
    </row>
    <row r="1324">
      <c r="A1324" s="32" t="inlineStr">
        <is>
          <t>TANKWAGON</t>
        </is>
      </c>
      <c r="B1324" s="24">
        <f>IFERROR(INDEX(Companies!$A$3:$A$101,MATCH(A1324,Companies!$B$3:$B$101,0)),"")</f>
        <v/>
      </c>
      <c r="D1324" t="inlineStr">
        <is>
          <t>CEA73CBE1811</t>
        </is>
      </c>
      <c r="E1324" s="24">
        <f>LEFT(D1324,2)&amp;":"&amp;MID(D1324,3,2)&amp;":"&amp;MID(D1324,5,2)&amp;":"&amp;MID(D1324,7,2)&amp;":"&amp;MID(D1324,9,2)&amp;":"&amp;RIGHT(D1324,2)</f>
        <v/>
      </c>
      <c r="H1324" s="2" t="inlineStr">
        <is>
          <t>F111BEB5BD3D820A</t>
        </is>
      </c>
      <c r="J1324" t="inlineStr">
        <is>
          <t>VIEZO0000000000000145</t>
        </is>
      </c>
    </row>
    <row r="1325">
      <c r="A1325" s="32" t="inlineStr">
        <is>
          <t>TANKWAGON</t>
        </is>
      </c>
      <c r="B1325" s="24">
        <f>IFERROR(INDEX(Companies!$A$3:$A$101,MATCH(A1325,Companies!$B$3:$B$101,0)),"")</f>
        <v/>
      </c>
      <c r="D1325" t="inlineStr">
        <is>
          <t>FFA7E2ACCB16</t>
        </is>
      </c>
      <c r="E1325" s="24">
        <f>LEFT(D1325,2)&amp;":"&amp;MID(D1325,3,2)&amp;":"&amp;MID(D1325,5,2)&amp;":"&amp;MID(D1325,7,2)&amp;":"&amp;MID(D1325,9,2)&amp;":"&amp;RIGHT(D1325,2)</f>
        <v/>
      </c>
      <c r="H1325" s="2" t="inlineStr">
        <is>
          <t>93900B84BDE44620</t>
        </is>
      </c>
      <c r="J1325" t="inlineStr">
        <is>
          <t>VIEZO0000000000000146</t>
        </is>
      </c>
    </row>
    <row r="1326">
      <c r="A1326" s="32" t="inlineStr">
        <is>
          <t>TANKWAGON</t>
        </is>
      </c>
      <c r="B1326" s="24">
        <f>IFERROR(INDEX(Companies!$A$3:$A$101,MATCH(A1326,Companies!$B$3:$B$101,0)),"")</f>
        <v/>
      </c>
      <c r="D1326" t="inlineStr">
        <is>
          <t>F5AB0862318F</t>
        </is>
      </c>
      <c r="E1326" s="24">
        <f>LEFT(D1326,2)&amp;":"&amp;MID(D1326,3,2)&amp;":"&amp;MID(D1326,5,2)&amp;":"&amp;MID(D1326,7,2)&amp;":"&amp;MID(D1326,9,2)&amp;":"&amp;RIGHT(D1326,2)</f>
        <v/>
      </c>
      <c r="H1326" s="2" t="inlineStr">
        <is>
          <t>B04908CDFAB2C63F</t>
        </is>
      </c>
      <c r="J1326" t="inlineStr">
        <is>
          <t>VIEZO0000000000000147</t>
        </is>
      </c>
    </row>
    <row r="1327">
      <c r="A1327" s="32" t="inlineStr">
        <is>
          <t>TANKWAGON</t>
        </is>
      </c>
      <c r="B1327" s="24">
        <f>IFERROR(INDEX(Companies!$A$3:$A$101,MATCH(A1327,Companies!$B$3:$B$101,0)),"")</f>
        <v/>
      </c>
      <c r="D1327" t="inlineStr">
        <is>
          <t>D0AFAF796096</t>
        </is>
      </c>
      <c r="E1327" s="24">
        <f>LEFT(D1327,2)&amp;":"&amp;MID(D1327,3,2)&amp;":"&amp;MID(D1327,5,2)&amp;":"&amp;MID(D1327,7,2)&amp;":"&amp;MID(D1327,9,2)&amp;":"&amp;RIGHT(D1327,2)</f>
        <v/>
      </c>
      <c r="H1327" s="2" t="inlineStr">
        <is>
          <t>B62DB554AA66E9F0</t>
        </is>
      </c>
      <c r="J1327" t="inlineStr">
        <is>
          <t>VIEZO0000000000000148</t>
        </is>
      </c>
    </row>
    <row r="1328">
      <c r="A1328" s="32" t="inlineStr">
        <is>
          <t>TANKWAGON</t>
        </is>
      </c>
      <c r="B1328" s="24">
        <f>IFERROR(INDEX(Companies!$A$3:$A$101,MATCH(A1328,Companies!$B$3:$B$101,0)),"")</f>
        <v/>
      </c>
      <c r="D1328" t="inlineStr">
        <is>
          <t>E45E62F35295</t>
        </is>
      </c>
      <c r="E1328" s="24">
        <f>LEFT(D1328,2)&amp;":"&amp;MID(D1328,3,2)&amp;":"&amp;MID(D1328,5,2)&amp;":"&amp;MID(D1328,7,2)&amp;":"&amp;MID(D1328,9,2)&amp;":"&amp;RIGHT(D1328,2)</f>
        <v/>
      </c>
      <c r="H1328" s="2" t="inlineStr">
        <is>
          <t>C69F1B8B7E951BC1</t>
        </is>
      </c>
      <c r="J1328" t="inlineStr">
        <is>
          <t>VIEZO0000000000000149</t>
        </is>
      </c>
    </row>
    <row r="1329">
      <c r="A1329" s="32" t="inlineStr">
        <is>
          <t>TANKWAGON</t>
        </is>
      </c>
      <c r="B1329" s="24">
        <f>IFERROR(INDEX(Companies!$A$3:$A$101,MATCH(A1329,Companies!$B$3:$B$101,0)),"")</f>
        <v/>
      </c>
      <c r="D1329" t="inlineStr">
        <is>
          <t>E5BD7BCC60E8</t>
        </is>
      </c>
      <c r="E1329" s="24">
        <f>LEFT(D1329,2)&amp;":"&amp;MID(D1329,3,2)&amp;":"&amp;MID(D1329,5,2)&amp;":"&amp;MID(D1329,7,2)&amp;":"&amp;MID(D1329,9,2)&amp;":"&amp;RIGHT(D1329,2)</f>
        <v/>
      </c>
      <c r="H1329" s="2" t="inlineStr">
        <is>
          <t>F3A9D0C07EF8A974</t>
        </is>
      </c>
      <c r="J1329" t="inlineStr">
        <is>
          <t>VIEZO0000000000000150</t>
        </is>
      </c>
    </row>
    <row r="1330">
      <c r="A1330" s="32" t="inlineStr">
        <is>
          <t>TANKWAGON</t>
        </is>
      </c>
      <c r="B1330" s="24">
        <f>IFERROR(INDEX(Companies!$A$3:$A$101,MATCH(A1330,Companies!$B$3:$B$101,0)),"")</f>
        <v/>
      </c>
      <c r="D1330" t="inlineStr">
        <is>
          <t>E96FC4948220</t>
        </is>
      </c>
      <c r="E1330" s="24">
        <f>LEFT(D1330,2)&amp;":"&amp;MID(D1330,3,2)&amp;":"&amp;MID(D1330,5,2)&amp;":"&amp;MID(D1330,7,2)&amp;":"&amp;MID(D1330,9,2)&amp;":"&amp;RIGHT(D1330,2)</f>
        <v/>
      </c>
      <c r="H1330" s="2" t="inlineStr">
        <is>
          <t>BDAA3A836673BAF9</t>
        </is>
      </c>
      <c r="J1330" t="inlineStr">
        <is>
          <t>VIEZO0000000000000151</t>
        </is>
      </c>
    </row>
    <row r="1331">
      <c r="A1331" s="32" t="inlineStr">
        <is>
          <t>TANKWAGON</t>
        </is>
      </c>
      <c r="B1331" s="24">
        <f>IFERROR(INDEX(Companies!$A$3:$A$101,MATCH(A1331,Companies!$B$3:$B$101,0)),"")</f>
        <v/>
      </c>
      <c r="D1331" t="inlineStr">
        <is>
          <t>E995D3A43CDE</t>
        </is>
      </c>
      <c r="E1331" s="24">
        <f>LEFT(D1331,2)&amp;":"&amp;MID(D1331,3,2)&amp;":"&amp;MID(D1331,5,2)&amp;":"&amp;MID(D1331,7,2)&amp;":"&amp;MID(D1331,9,2)&amp;":"&amp;RIGHT(D1331,2)</f>
        <v/>
      </c>
      <c r="H1331" s="2" t="inlineStr">
        <is>
          <t>F1916F38CF9595C5</t>
        </is>
      </c>
      <c r="J1331" t="inlineStr">
        <is>
          <t>VIEZO0000000000000152</t>
        </is>
      </c>
    </row>
    <row r="1332">
      <c r="A1332" s="32" t="inlineStr">
        <is>
          <t>TANKWAGON</t>
        </is>
      </c>
      <c r="B1332" s="24">
        <f>IFERROR(INDEX(Companies!$A$3:$A$101,MATCH(A1332,Companies!$B$3:$B$101,0)),"")</f>
        <v/>
      </c>
      <c r="D1332" t="inlineStr">
        <is>
          <t>EFAFE36C24F4</t>
        </is>
      </c>
      <c r="E1332" s="24">
        <f>LEFT(D1332,2)&amp;":"&amp;MID(D1332,3,2)&amp;":"&amp;MID(D1332,5,2)&amp;":"&amp;MID(D1332,7,2)&amp;":"&amp;MID(D1332,9,2)&amp;":"&amp;RIGHT(D1332,2)</f>
        <v/>
      </c>
      <c r="F1332" s="29" t="n">
        <v>45260</v>
      </c>
      <c r="G1332" s="29" t="inlineStr">
        <is>
          <t>Tankwagon</t>
        </is>
      </c>
      <c r="H1332" s="2" t="inlineStr">
        <is>
          <t>2EDD74B0545CC722</t>
        </is>
      </c>
      <c r="J1332" t="inlineStr">
        <is>
          <t>VIEZO0000000000000153</t>
        </is>
      </c>
      <c r="K1332" s="27" t="inlineStr">
        <is>
          <t>33877916681-2</t>
        </is>
      </c>
      <c r="L1332" s="27" t="inlineStr">
        <is>
          <t>3R</t>
        </is>
      </c>
    </row>
    <row r="1333">
      <c r="A1333" s="32" t="inlineStr">
        <is>
          <t>TANKWAGON</t>
        </is>
      </c>
      <c r="B1333" s="24">
        <f>IFERROR(INDEX(Companies!$A$3:$A$101,MATCH(A1333,Companies!$B$3:$B$101,0)),"")</f>
        <v/>
      </c>
      <c r="D1333" t="inlineStr">
        <is>
          <t>FCB4DDEEF101</t>
        </is>
      </c>
      <c r="E1333" s="24">
        <f>LEFT(D1333,2)&amp;":"&amp;MID(D1333,3,2)&amp;":"&amp;MID(D1333,5,2)&amp;":"&amp;MID(D1333,7,2)&amp;":"&amp;MID(D1333,9,2)&amp;":"&amp;RIGHT(D1333,2)</f>
        <v/>
      </c>
      <c r="F1333" s="29" t="n">
        <v>45260</v>
      </c>
      <c r="G1333" s="29" t="inlineStr">
        <is>
          <t>Tankwagon</t>
        </is>
      </c>
      <c r="H1333" s="2" t="inlineStr">
        <is>
          <t>9FDD7F279B31C23A</t>
        </is>
      </c>
      <c r="J1333" t="inlineStr">
        <is>
          <t>VIEZO0000000000000154</t>
        </is>
      </c>
      <c r="K1333" s="27" t="inlineStr">
        <is>
          <t>33877916669-7</t>
        </is>
      </c>
      <c r="L1333" s="27" t="inlineStr">
        <is>
          <t>4L</t>
        </is>
      </c>
    </row>
    <row r="1334">
      <c r="A1334" s="32" t="inlineStr">
        <is>
          <t>TANKWAGON</t>
        </is>
      </c>
      <c r="B1334" s="24">
        <f>IFERROR(INDEX(Companies!$A$3:$A$101,MATCH(A1334,Companies!$B$3:$B$101,0)),"")</f>
        <v/>
      </c>
      <c r="D1334" t="inlineStr">
        <is>
          <t>DB8594530FF0</t>
        </is>
      </c>
      <c r="E1334" s="24">
        <f>LEFT(D1334,2)&amp;":"&amp;MID(D1334,3,2)&amp;":"&amp;MID(D1334,5,2)&amp;":"&amp;MID(D1334,7,2)&amp;":"&amp;MID(D1334,9,2)&amp;":"&amp;RIGHT(D1334,2)</f>
        <v/>
      </c>
      <c r="F1334" s="29" t="n">
        <v>45260</v>
      </c>
      <c r="G1334" s="29" t="inlineStr">
        <is>
          <t>Tankwagon</t>
        </is>
      </c>
      <c r="H1334" s="2" t="inlineStr">
        <is>
          <t>81F575CDB34D2AF3</t>
        </is>
      </c>
      <c r="J1334" t="inlineStr">
        <is>
          <t>VIEZO0000000000000155</t>
        </is>
      </c>
      <c r="K1334" s="27" t="inlineStr">
        <is>
          <t>33877916669-7</t>
        </is>
      </c>
      <c r="L1334" s="27" t="inlineStr">
        <is>
          <t>2L</t>
        </is>
      </c>
    </row>
    <row r="1335">
      <c r="A1335" s="32" t="inlineStr">
        <is>
          <t>TANKWAGON</t>
        </is>
      </c>
      <c r="B1335" s="24">
        <f>IFERROR(INDEX(Companies!$A$3:$A$101,MATCH(A1335,Companies!$B$3:$B$101,0)),"")</f>
        <v/>
      </c>
      <c r="D1335" t="inlineStr">
        <is>
          <t>C80ADF9AD348</t>
        </is>
      </c>
      <c r="E1335" s="24">
        <f>LEFT(D1335,2)&amp;":"&amp;MID(D1335,3,2)&amp;":"&amp;MID(D1335,5,2)&amp;":"&amp;MID(D1335,7,2)&amp;":"&amp;MID(D1335,9,2)&amp;":"&amp;RIGHT(D1335,2)</f>
        <v/>
      </c>
      <c r="H1335" s="2" t="inlineStr">
        <is>
          <t>CC048A517DDFAFD4</t>
        </is>
      </c>
      <c r="J1335" t="inlineStr">
        <is>
          <t>VIEZO0000000000000156</t>
        </is>
      </c>
    </row>
    <row r="1336">
      <c r="A1336" s="32" t="inlineStr">
        <is>
          <t>TANKWAGON</t>
        </is>
      </c>
      <c r="B1336" s="24">
        <f>IFERROR(INDEX(Companies!$A$3:$A$101,MATCH(A1336,Companies!$B$3:$B$101,0)),"")</f>
        <v/>
      </c>
      <c r="D1336" t="inlineStr">
        <is>
          <t>C0ECEC5F0239</t>
        </is>
      </c>
      <c r="E1336" s="24">
        <f>LEFT(D1336,2)&amp;":"&amp;MID(D1336,3,2)&amp;":"&amp;MID(D1336,5,2)&amp;":"&amp;MID(D1336,7,2)&amp;":"&amp;MID(D1336,9,2)&amp;":"&amp;RIGHT(D1336,2)</f>
        <v/>
      </c>
      <c r="H1336" s="2" t="inlineStr">
        <is>
          <t>872E9041053CCAD2</t>
        </is>
      </c>
      <c r="J1336" t="inlineStr">
        <is>
          <t>VIEZO0000000000000157</t>
        </is>
      </c>
    </row>
    <row r="1337">
      <c r="A1337" s="32" t="inlineStr">
        <is>
          <t>TANKWAGON</t>
        </is>
      </c>
      <c r="B1337" s="24">
        <f>IFERROR(INDEX(Companies!$A$3:$A$101,MATCH(A1337,Companies!$B$3:$B$101,0)),"")</f>
        <v/>
      </c>
      <c r="D1337" t="inlineStr">
        <is>
          <t>ED5B80DA7CD2</t>
        </is>
      </c>
      <c r="E1337" s="24">
        <f>LEFT(D1337,2)&amp;":"&amp;MID(D1337,3,2)&amp;":"&amp;MID(D1337,5,2)&amp;":"&amp;MID(D1337,7,2)&amp;":"&amp;MID(D1337,9,2)&amp;":"&amp;RIGHT(D1337,2)</f>
        <v/>
      </c>
      <c r="F1337" s="29" t="n">
        <v>45260</v>
      </c>
      <c r="G1337" s="29" t="inlineStr">
        <is>
          <t>Tankwagon</t>
        </is>
      </c>
      <c r="H1337" s="2" t="inlineStr">
        <is>
          <t>BF2741EBE4D71D2A</t>
        </is>
      </c>
      <c r="J1337" t="inlineStr">
        <is>
          <t>VIEZO0000000000000158</t>
        </is>
      </c>
      <c r="K1337" s="27" t="inlineStr">
        <is>
          <t>33877916669-7</t>
        </is>
      </c>
      <c r="L1337" s="27" t="inlineStr">
        <is>
          <t>1R</t>
        </is>
      </c>
    </row>
    <row r="1338">
      <c r="A1338" s="32" t="inlineStr">
        <is>
          <t>TANKWAGON</t>
        </is>
      </c>
      <c r="B1338" s="24">
        <f>IFERROR(INDEX(Companies!$A$3:$A$101,MATCH(A1338,Companies!$B$3:$B$101,0)),"")</f>
        <v/>
      </c>
      <c r="D1338" t="inlineStr">
        <is>
          <t>F42B13BCF748</t>
        </is>
      </c>
      <c r="E1338" s="24">
        <f>LEFT(D1338,2)&amp;":"&amp;MID(D1338,3,2)&amp;":"&amp;MID(D1338,5,2)&amp;":"&amp;MID(D1338,7,2)&amp;":"&amp;MID(D1338,9,2)&amp;":"&amp;RIGHT(D1338,2)</f>
        <v/>
      </c>
      <c r="F1338" s="29" t="n">
        <v>45260</v>
      </c>
      <c r="G1338" s="29" t="inlineStr">
        <is>
          <t>Tankwagon</t>
        </is>
      </c>
      <c r="H1338" s="2" t="inlineStr">
        <is>
          <t>76FCD43988E893B4</t>
        </is>
      </c>
      <c r="J1338" t="inlineStr">
        <is>
          <t>VIEZO0000000000000159</t>
        </is>
      </c>
      <c r="K1338" s="27" t="inlineStr">
        <is>
          <t>33747913061-5</t>
        </is>
      </c>
      <c r="L1338" s="27" t="inlineStr">
        <is>
          <t>1R</t>
        </is>
      </c>
    </row>
    <row r="1339">
      <c r="A1339" s="32" t="inlineStr">
        <is>
          <t>TANKWAGON</t>
        </is>
      </c>
      <c r="B1339" s="24">
        <f>IFERROR(INDEX(Companies!$A$3:$A$101,MATCH(A1339,Companies!$B$3:$B$101,0)),"")</f>
        <v/>
      </c>
      <c r="D1339" t="inlineStr">
        <is>
          <t>E8E1AA5E80D9</t>
        </is>
      </c>
      <c r="E1339" s="24">
        <f>LEFT(D1339,2)&amp;":"&amp;MID(D1339,3,2)&amp;":"&amp;MID(D1339,5,2)&amp;":"&amp;MID(D1339,7,2)&amp;":"&amp;MID(D1339,9,2)&amp;":"&amp;RIGHT(D1339,2)</f>
        <v/>
      </c>
      <c r="F1339" s="29" t="n">
        <v>45260</v>
      </c>
      <c r="G1339" s="29" t="inlineStr">
        <is>
          <t>Tankwagon</t>
        </is>
      </c>
      <c r="H1339" s="2" t="inlineStr">
        <is>
          <t>29D5919D1096BFA0</t>
        </is>
      </c>
      <c r="J1339" t="inlineStr">
        <is>
          <t>VIEZO0000000000000160</t>
        </is>
      </c>
      <c r="K1339" s="27" t="inlineStr">
        <is>
          <t>33877916625-9</t>
        </is>
      </c>
      <c r="L1339" s="27" t="inlineStr">
        <is>
          <t>2L</t>
        </is>
      </c>
    </row>
    <row r="1340">
      <c r="A1340" s="32" t="inlineStr">
        <is>
          <t>TANKWAGON</t>
        </is>
      </c>
      <c r="B1340" s="24">
        <f>IFERROR(INDEX(Companies!$A$3:$A$101,MATCH(A1340,Companies!$B$3:$B$101,0)),"")</f>
        <v/>
      </c>
      <c r="D1340" t="inlineStr">
        <is>
          <t>DE4E70D81E9A</t>
        </is>
      </c>
      <c r="E1340" s="24">
        <f>LEFT(D1340,2)&amp;":"&amp;MID(D1340,3,2)&amp;":"&amp;MID(D1340,5,2)&amp;":"&amp;MID(D1340,7,2)&amp;":"&amp;MID(D1340,9,2)&amp;":"&amp;RIGHT(D1340,2)</f>
        <v/>
      </c>
      <c r="H1340" s="2" t="inlineStr">
        <is>
          <t>2E2CC6BB9CF84804</t>
        </is>
      </c>
      <c r="J1340" t="inlineStr">
        <is>
          <t>VIEZO0000000000000161</t>
        </is>
      </c>
    </row>
    <row r="1341">
      <c r="A1341" s="32" t="inlineStr">
        <is>
          <t>TANKWAGON</t>
        </is>
      </c>
      <c r="B1341" s="24">
        <f>IFERROR(INDEX(Companies!$A$3:$A$101,MATCH(A1341,Companies!$B$3:$B$101,0)),"")</f>
        <v/>
      </c>
      <c r="D1341" t="inlineStr">
        <is>
          <t>C20ABE362E10</t>
        </is>
      </c>
      <c r="E1341" s="24">
        <f>LEFT(D1341,2)&amp;":"&amp;MID(D1341,3,2)&amp;":"&amp;MID(D1341,5,2)&amp;":"&amp;MID(D1341,7,2)&amp;":"&amp;MID(D1341,9,2)&amp;":"&amp;RIGHT(D1341,2)</f>
        <v/>
      </c>
      <c r="H1341" s="2" t="inlineStr">
        <is>
          <t>C019504B33059239</t>
        </is>
      </c>
      <c r="J1341" t="inlineStr">
        <is>
          <t>VIEZO0000000000000162</t>
        </is>
      </c>
    </row>
    <row r="1342">
      <c r="A1342" s="32" t="inlineStr">
        <is>
          <t>TANKWAGON</t>
        </is>
      </c>
      <c r="B1342" s="24">
        <f>IFERROR(INDEX(Companies!$A$3:$A$101,MATCH(A1342,Companies!$B$3:$B$101,0)),"")</f>
        <v/>
      </c>
      <c r="D1342" t="inlineStr">
        <is>
          <t>C2044C81719C</t>
        </is>
      </c>
      <c r="E1342" s="24">
        <f>LEFT(D1342,2)&amp;":"&amp;MID(D1342,3,2)&amp;":"&amp;MID(D1342,5,2)&amp;":"&amp;MID(D1342,7,2)&amp;":"&amp;MID(D1342,9,2)&amp;":"&amp;RIGHT(D1342,2)</f>
        <v/>
      </c>
      <c r="H1342" s="2" t="inlineStr">
        <is>
          <t>CAD219ECB2E870B9</t>
        </is>
      </c>
      <c r="J1342" t="inlineStr">
        <is>
          <t>VIEZO0000000000000163</t>
        </is>
      </c>
    </row>
    <row r="1343">
      <c r="A1343" s="32" t="inlineStr">
        <is>
          <t>TANKWAGON</t>
        </is>
      </c>
      <c r="B1343" s="24">
        <f>IFERROR(INDEX(Companies!$A$3:$A$101,MATCH(A1343,Companies!$B$3:$B$101,0)),"")</f>
        <v/>
      </c>
      <c r="D1343" t="inlineStr">
        <is>
          <t>EF5EE047D88D</t>
        </is>
      </c>
      <c r="E1343" s="24">
        <f>LEFT(D1343,2)&amp;":"&amp;MID(D1343,3,2)&amp;":"&amp;MID(D1343,5,2)&amp;":"&amp;MID(D1343,7,2)&amp;":"&amp;MID(D1343,9,2)&amp;":"&amp;RIGHT(D1343,2)</f>
        <v/>
      </c>
      <c r="H1343" s="2" t="inlineStr">
        <is>
          <t>3AE80C11E83E5316</t>
        </is>
      </c>
      <c r="J1343" t="inlineStr">
        <is>
          <t>VIEZO0000000000000164</t>
        </is>
      </c>
    </row>
    <row r="1344">
      <c r="A1344" s="32" t="inlineStr">
        <is>
          <t>TANKWAGON</t>
        </is>
      </c>
      <c r="B1344" s="24">
        <f>IFERROR(INDEX(Companies!$A$3:$A$101,MATCH(A1344,Companies!$B$3:$B$101,0)),"")</f>
        <v/>
      </c>
      <c r="D1344" t="inlineStr">
        <is>
          <t>D8BDF8F3B433</t>
        </is>
      </c>
      <c r="E1344" s="24">
        <f>LEFT(D1344,2)&amp;":"&amp;MID(D1344,3,2)&amp;":"&amp;MID(D1344,5,2)&amp;":"&amp;MID(D1344,7,2)&amp;":"&amp;MID(D1344,9,2)&amp;":"&amp;RIGHT(D1344,2)</f>
        <v/>
      </c>
      <c r="H1344" s="2" t="inlineStr">
        <is>
          <t>7FE729EAF645A58F</t>
        </is>
      </c>
      <c r="J1344" t="inlineStr">
        <is>
          <t>VIEZO0000000000000165</t>
        </is>
      </c>
    </row>
    <row r="1345">
      <c r="A1345" s="32" t="inlineStr">
        <is>
          <t>TANKWAGON</t>
        </is>
      </c>
      <c r="B1345" s="24">
        <f>IFERROR(INDEX(Companies!$A$3:$A$101,MATCH(A1345,Companies!$B$3:$B$101,0)),"")</f>
        <v/>
      </c>
      <c r="D1345" t="inlineStr">
        <is>
          <t>EA03F5F852B3</t>
        </is>
      </c>
      <c r="E1345" s="24">
        <f>LEFT(D1345,2)&amp;":"&amp;MID(D1345,3,2)&amp;":"&amp;MID(D1345,5,2)&amp;":"&amp;MID(D1345,7,2)&amp;":"&amp;MID(D1345,9,2)&amp;":"&amp;RIGHT(D1345,2)</f>
        <v/>
      </c>
      <c r="H1345" s="2" t="inlineStr">
        <is>
          <t>101CCF2712D5294C</t>
        </is>
      </c>
      <c r="J1345" t="inlineStr">
        <is>
          <t>VIEZO0000000000000166</t>
        </is>
      </c>
    </row>
    <row r="1346">
      <c r="A1346" s="32" t="inlineStr">
        <is>
          <t>TANKWAGON</t>
        </is>
      </c>
      <c r="B1346" s="24">
        <f>IFERROR(INDEX(Companies!$A$3:$A$101,MATCH(A1346,Companies!$B$3:$B$101,0)),"")</f>
        <v/>
      </c>
      <c r="D1346" t="inlineStr">
        <is>
          <t>D2F1CFAB1CEA</t>
        </is>
      </c>
      <c r="E1346" s="24">
        <f>LEFT(D1346,2)&amp;":"&amp;MID(D1346,3,2)&amp;":"&amp;MID(D1346,5,2)&amp;":"&amp;MID(D1346,7,2)&amp;":"&amp;MID(D1346,9,2)&amp;":"&amp;RIGHT(D1346,2)</f>
        <v/>
      </c>
      <c r="H1346" s="2" t="inlineStr">
        <is>
          <t>8DB65D46C0188CBF</t>
        </is>
      </c>
      <c r="J1346" t="inlineStr">
        <is>
          <t>VIEZO0000000000000167</t>
        </is>
      </c>
    </row>
    <row r="1347">
      <c r="A1347" s="32" t="inlineStr">
        <is>
          <t>TANKWAGON</t>
        </is>
      </c>
      <c r="B1347" s="24">
        <f>IFERROR(INDEX(Companies!$A$3:$A$101,MATCH(A1347,Companies!$B$3:$B$101,0)),"")</f>
        <v/>
      </c>
      <c r="D1347" t="inlineStr">
        <is>
          <t>DC698F9DB004</t>
        </is>
      </c>
      <c r="E1347" s="24">
        <f>LEFT(D1347,2)&amp;":"&amp;MID(D1347,3,2)&amp;":"&amp;MID(D1347,5,2)&amp;":"&amp;MID(D1347,7,2)&amp;":"&amp;MID(D1347,9,2)&amp;":"&amp;RIGHT(D1347,2)</f>
        <v/>
      </c>
      <c r="H1347" s="2" t="inlineStr">
        <is>
          <t>EB71C9C77C2D2B3B</t>
        </is>
      </c>
      <c r="J1347" t="inlineStr">
        <is>
          <t>VIEZO0000000000000168</t>
        </is>
      </c>
    </row>
    <row r="1348">
      <c r="A1348" s="32" t="inlineStr">
        <is>
          <t>TANKWAGON</t>
        </is>
      </c>
      <c r="B1348" s="24">
        <f>IFERROR(INDEX(Companies!$A$3:$A$101,MATCH(A1348,Companies!$B$3:$B$101,0)),"")</f>
        <v/>
      </c>
      <c r="D1348" t="inlineStr">
        <is>
          <t>FBB39925C51C</t>
        </is>
      </c>
      <c r="E1348" s="24">
        <f>LEFT(D1348,2)&amp;":"&amp;MID(D1348,3,2)&amp;":"&amp;MID(D1348,5,2)&amp;":"&amp;MID(D1348,7,2)&amp;":"&amp;MID(D1348,9,2)&amp;":"&amp;RIGHT(D1348,2)</f>
        <v/>
      </c>
      <c r="H1348" s="2" t="inlineStr">
        <is>
          <t>36EE9CFCD21CB517</t>
        </is>
      </c>
      <c r="J1348" t="inlineStr">
        <is>
          <t>VIEZO0000000000000169</t>
        </is>
      </c>
    </row>
    <row r="1349">
      <c r="A1349" s="32" t="inlineStr">
        <is>
          <t>TANKWAGON</t>
        </is>
      </c>
      <c r="B1349" s="24">
        <f>IFERROR(INDEX(Companies!$A$3:$A$101,MATCH(A1349,Companies!$B$3:$B$101,0)),"")</f>
        <v/>
      </c>
      <c r="D1349" t="inlineStr">
        <is>
          <t>DA81A2213278</t>
        </is>
      </c>
      <c r="E1349" s="24">
        <f>LEFT(D1349,2)&amp;":"&amp;MID(D1349,3,2)&amp;":"&amp;MID(D1349,5,2)&amp;":"&amp;MID(D1349,7,2)&amp;":"&amp;MID(D1349,9,2)&amp;":"&amp;RIGHT(D1349,2)</f>
        <v/>
      </c>
      <c r="H1349" s="2" t="inlineStr">
        <is>
          <t>8053B107525B46EB</t>
        </is>
      </c>
      <c r="J1349" t="inlineStr">
        <is>
          <t>VIEZO0000000000000170</t>
        </is>
      </c>
    </row>
    <row r="1350">
      <c r="A1350" s="32" t="inlineStr">
        <is>
          <t>TANKWAGON</t>
        </is>
      </c>
      <c r="B1350" s="24">
        <f>IFERROR(INDEX(Companies!$A$3:$A$101,MATCH(A1350,Companies!$B$3:$B$101,0)),"")</f>
        <v/>
      </c>
      <c r="D1350" t="inlineStr">
        <is>
          <t>C5566C5FED29</t>
        </is>
      </c>
      <c r="E1350" s="24">
        <f>LEFT(D1350,2)&amp;":"&amp;MID(D1350,3,2)&amp;":"&amp;MID(D1350,5,2)&amp;":"&amp;MID(D1350,7,2)&amp;":"&amp;MID(D1350,9,2)&amp;":"&amp;RIGHT(D1350,2)</f>
        <v/>
      </c>
      <c r="H1350" s="2" t="inlineStr">
        <is>
          <t>35999A27F4857420</t>
        </is>
      </c>
      <c r="J1350" t="inlineStr">
        <is>
          <t>VIEZO0000000000000171</t>
        </is>
      </c>
    </row>
    <row r="1351">
      <c r="A1351" s="32" t="inlineStr">
        <is>
          <t>TANKWAGON</t>
        </is>
      </c>
      <c r="B1351" s="24">
        <f>IFERROR(INDEX(Companies!$A$3:$A$101,MATCH(A1351,Companies!$B$3:$B$101,0)),"")</f>
        <v/>
      </c>
      <c r="D1351" t="inlineStr">
        <is>
          <t>E5DBF4A983DA</t>
        </is>
      </c>
      <c r="E1351" s="24">
        <f>LEFT(D1351,2)&amp;":"&amp;MID(D1351,3,2)&amp;":"&amp;MID(D1351,5,2)&amp;":"&amp;MID(D1351,7,2)&amp;":"&amp;MID(D1351,9,2)&amp;":"&amp;RIGHT(D1351,2)</f>
        <v/>
      </c>
      <c r="H1351" s="2" t="inlineStr">
        <is>
          <t>01449979AF81A2A5</t>
        </is>
      </c>
      <c r="J1351" t="inlineStr">
        <is>
          <t>VIEZO0000000000000172</t>
        </is>
      </c>
    </row>
    <row r="1352">
      <c r="A1352" s="32" t="inlineStr">
        <is>
          <t>TANKWAGON</t>
        </is>
      </c>
      <c r="B1352" s="24">
        <f>IFERROR(INDEX(Companies!$A$3:$A$101,MATCH(A1352,Companies!$B$3:$B$101,0)),"")</f>
        <v/>
      </c>
      <c r="D1352" t="inlineStr">
        <is>
          <t>E480F6391D20</t>
        </is>
      </c>
      <c r="E1352" s="24">
        <f>LEFT(D1352,2)&amp;":"&amp;MID(D1352,3,2)&amp;":"&amp;MID(D1352,5,2)&amp;":"&amp;MID(D1352,7,2)&amp;":"&amp;MID(D1352,9,2)&amp;":"&amp;RIGHT(D1352,2)</f>
        <v/>
      </c>
      <c r="H1352" s="2" t="inlineStr">
        <is>
          <t>8A448B0BDCBF86DF</t>
        </is>
      </c>
      <c r="J1352" t="inlineStr">
        <is>
          <t>VIEZO0000000000000173</t>
        </is>
      </c>
    </row>
    <row r="1353">
      <c r="A1353" s="32" t="inlineStr">
        <is>
          <t>TANKWAGON</t>
        </is>
      </c>
      <c r="B1353" s="24">
        <f>IFERROR(INDEX(Companies!$A$3:$A$101,MATCH(A1353,Companies!$B$3:$B$101,0)),"")</f>
        <v/>
      </c>
      <c r="D1353" t="inlineStr">
        <is>
          <t>C837D0BCCA92</t>
        </is>
      </c>
      <c r="E1353" s="24">
        <f>LEFT(D1353,2)&amp;":"&amp;MID(D1353,3,2)&amp;":"&amp;MID(D1353,5,2)&amp;":"&amp;MID(D1353,7,2)&amp;":"&amp;MID(D1353,9,2)&amp;":"&amp;RIGHT(D1353,2)</f>
        <v/>
      </c>
      <c r="H1353" s="2" t="inlineStr">
        <is>
          <t>B1A2332840BD8F5D</t>
        </is>
      </c>
      <c r="J1353" t="inlineStr">
        <is>
          <t>VIEZO0000000000000174</t>
        </is>
      </c>
    </row>
    <row r="1354">
      <c r="A1354" s="32" t="inlineStr">
        <is>
          <t>TANKWAGON</t>
        </is>
      </c>
      <c r="B1354" s="24">
        <f>IFERROR(INDEX(Companies!$A$3:$A$101,MATCH(A1354,Companies!$B$3:$B$101,0)),"")</f>
        <v/>
      </c>
      <c r="D1354" t="inlineStr">
        <is>
          <t>C0C9DDCAB685</t>
        </is>
      </c>
      <c r="E1354" s="24">
        <f>LEFT(D1354,2)&amp;":"&amp;MID(D1354,3,2)&amp;":"&amp;MID(D1354,5,2)&amp;":"&amp;MID(D1354,7,2)&amp;":"&amp;MID(D1354,9,2)&amp;":"&amp;RIGHT(D1354,2)</f>
        <v/>
      </c>
      <c r="H1354" s="2" t="inlineStr">
        <is>
          <t>EE4BB1F24AC34C0F</t>
        </is>
      </c>
      <c r="J1354" t="inlineStr">
        <is>
          <t>VIEZO0000000000000175</t>
        </is>
      </c>
    </row>
    <row r="1355">
      <c r="A1355" s="32" t="inlineStr">
        <is>
          <t>TANKWAGON</t>
        </is>
      </c>
      <c r="B1355" s="24">
        <f>IFERROR(INDEX(Companies!$A$3:$A$101,MATCH(A1355,Companies!$B$3:$B$101,0)),"")</f>
        <v/>
      </c>
      <c r="D1355" t="inlineStr">
        <is>
          <t>E73A442F7BBF</t>
        </is>
      </c>
      <c r="E1355" s="24">
        <f>LEFT(D1355,2)&amp;":"&amp;MID(D1355,3,2)&amp;":"&amp;MID(D1355,5,2)&amp;":"&amp;MID(D1355,7,2)&amp;":"&amp;MID(D1355,9,2)&amp;":"&amp;RIGHT(D1355,2)</f>
        <v/>
      </c>
      <c r="H1355" s="2" t="inlineStr">
        <is>
          <t>ACC8F2719B4CDB4A</t>
        </is>
      </c>
      <c r="J1355" t="inlineStr">
        <is>
          <t>VIEZO0000000000000176</t>
        </is>
      </c>
    </row>
    <row r="1356">
      <c r="A1356" s="32" t="inlineStr">
        <is>
          <t>TANKWAGON</t>
        </is>
      </c>
      <c r="B1356" s="24">
        <f>IFERROR(INDEX(Companies!$A$3:$A$101,MATCH(A1356,Companies!$B$3:$B$101,0)),"")</f>
        <v/>
      </c>
      <c r="D1356" t="inlineStr">
        <is>
          <t>C1E333CB48F0</t>
        </is>
      </c>
      <c r="E1356" s="24">
        <f>LEFT(D1356,2)&amp;":"&amp;MID(D1356,3,2)&amp;":"&amp;MID(D1356,5,2)&amp;":"&amp;MID(D1356,7,2)&amp;":"&amp;MID(D1356,9,2)&amp;":"&amp;RIGHT(D1356,2)</f>
        <v/>
      </c>
      <c r="H1356" s="2" t="inlineStr">
        <is>
          <t>ECDC3C630E8E3384</t>
        </is>
      </c>
      <c r="J1356" t="inlineStr">
        <is>
          <t>VIEZO0000000000000177</t>
        </is>
      </c>
    </row>
    <row r="1357">
      <c r="A1357" s="32" t="inlineStr">
        <is>
          <t>TANKWAGON</t>
        </is>
      </c>
      <c r="B1357" s="24">
        <f>IFERROR(INDEX(Companies!$A$3:$A$101,MATCH(A1357,Companies!$B$3:$B$101,0)),"")</f>
        <v/>
      </c>
      <c r="D1357" t="inlineStr">
        <is>
          <t>D616E2A1AEE0</t>
        </is>
      </c>
      <c r="E1357" s="24">
        <f>LEFT(D1357,2)&amp;":"&amp;MID(D1357,3,2)&amp;":"&amp;MID(D1357,5,2)&amp;":"&amp;MID(D1357,7,2)&amp;":"&amp;MID(D1357,9,2)&amp;":"&amp;RIGHT(D1357,2)</f>
        <v/>
      </c>
      <c r="H1357" s="2" t="inlineStr">
        <is>
          <t>84FB37AC8101F282</t>
        </is>
      </c>
      <c r="J1357" t="inlineStr">
        <is>
          <t>VIEZO0000000000000178</t>
        </is>
      </c>
    </row>
    <row r="1358">
      <c r="A1358" s="32" t="inlineStr">
        <is>
          <t>TANKWAGON</t>
        </is>
      </c>
      <c r="B1358" s="24">
        <f>IFERROR(INDEX(Companies!$A$3:$A$101,MATCH(A1358,Companies!$B$3:$B$101,0)),"")</f>
        <v/>
      </c>
      <c r="D1358" t="inlineStr">
        <is>
          <t>D541BFD5D41F</t>
        </is>
      </c>
      <c r="E1358" s="24">
        <f>LEFT(D1358,2)&amp;":"&amp;MID(D1358,3,2)&amp;":"&amp;MID(D1358,5,2)&amp;":"&amp;MID(D1358,7,2)&amp;":"&amp;MID(D1358,9,2)&amp;":"&amp;RIGHT(D1358,2)</f>
        <v/>
      </c>
      <c r="H1358" s="2" t="inlineStr">
        <is>
          <t>14A66D8C74909BCB</t>
        </is>
      </c>
      <c r="J1358" t="inlineStr">
        <is>
          <t>VIEZO0000000000000179</t>
        </is>
      </c>
    </row>
    <row r="1359">
      <c r="A1359" s="32" t="inlineStr">
        <is>
          <t>TANKWAGON</t>
        </is>
      </c>
      <c r="B1359" s="24">
        <f>IFERROR(INDEX(Companies!$A$3:$A$101,MATCH(A1359,Companies!$B$3:$B$101,0)),"")</f>
        <v/>
      </c>
      <c r="D1359" t="inlineStr">
        <is>
          <t>D5ADB8D203D8</t>
        </is>
      </c>
      <c r="E1359" s="24">
        <f>LEFT(D1359,2)&amp;":"&amp;MID(D1359,3,2)&amp;":"&amp;MID(D1359,5,2)&amp;":"&amp;MID(D1359,7,2)&amp;":"&amp;MID(D1359,9,2)&amp;":"&amp;RIGHT(D1359,2)</f>
        <v/>
      </c>
      <c r="H1359" s="2" t="inlineStr">
        <is>
          <t>5D640FE55DB84875</t>
        </is>
      </c>
      <c r="J1359" t="inlineStr">
        <is>
          <t>VIEZO0000000000000180</t>
        </is>
      </c>
    </row>
    <row r="1360">
      <c r="A1360" s="32" t="inlineStr">
        <is>
          <t>TANKWAGON</t>
        </is>
      </c>
      <c r="B1360" s="24">
        <f>IFERROR(INDEX(Companies!$A$3:$A$101,MATCH(A1360,Companies!$B$3:$B$101,0)),"")</f>
        <v/>
      </c>
      <c r="D1360" t="inlineStr">
        <is>
          <t>ED2F2E54975E</t>
        </is>
      </c>
      <c r="E1360" s="24">
        <f>LEFT(D1360,2)&amp;":"&amp;MID(D1360,3,2)&amp;":"&amp;MID(D1360,5,2)&amp;":"&amp;MID(D1360,7,2)&amp;":"&amp;MID(D1360,9,2)&amp;":"&amp;RIGHT(D1360,2)</f>
        <v/>
      </c>
      <c r="H1360" s="2" t="inlineStr">
        <is>
          <t>14234690336DA7F5</t>
        </is>
      </c>
      <c r="J1360" t="inlineStr">
        <is>
          <t>VIEZO0000000000000181</t>
        </is>
      </c>
    </row>
    <row r="1361">
      <c r="A1361" s="32" t="inlineStr">
        <is>
          <t>TANKWAGON</t>
        </is>
      </c>
      <c r="B1361" s="24">
        <f>IFERROR(INDEX(Companies!$A$3:$A$101,MATCH(A1361,Companies!$B$3:$B$101,0)),"")</f>
        <v/>
      </c>
      <c r="D1361" t="inlineStr">
        <is>
          <t>E53584A3E472</t>
        </is>
      </c>
      <c r="E1361" s="24">
        <f>LEFT(D1361,2)&amp;":"&amp;MID(D1361,3,2)&amp;":"&amp;MID(D1361,5,2)&amp;":"&amp;MID(D1361,7,2)&amp;":"&amp;MID(D1361,9,2)&amp;":"&amp;RIGHT(D1361,2)</f>
        <v/>
      </c>
      <c r="H1361" s="2" t="inlineStr">
        <is>
          <t>554AB8A3E35A7D96</t>
        </is>
      </c>
      <c r="J1361" t="inlineStr">
        <is>
          <t>VIEZO0000000000000182</t>
        </is>
      </c>
    </row>
    <row r="1362">
      <c r="A1362" s="32" t="inlineStr">
        <is>
          <t>TANKWAGON</t>
        </is>
      </c>
      <c r="B1362" s="24">
        <f>IFERROR(INDEX(Companies!$A$3:$A$101,MATCH(A1362,Companies!$B$3:$B$101,0)),"")</f>
        <v/>
      </c>
      <c r="D1362" t="inlineStr">
        <is>
          <t>CD958309A79E</t>
        </is>
      </c>
      <c r="E1362" s="24">
        <f>LEFT(D1362,2)&amp;":"&amp;MID(D1362,3,2)&amp;":"&amp;MID(D1362,5,2)&amp;":"&amp;MID(D1362,7,2)&amp;":"&amp;MID(D1362,9,2)&amp;":"&amp;RIGHT(D1362,2)</f>
        <v/>
      </c>
      <c r="H1362" s="2" t="inlineStr">
        <is>
          <t>7BBAFC7C9282C8B9</t>
        </is>
      </c>
      <c r="J1362" t="inlineStr">
        <is>
          <t>VIEZO0000000000000183</t>
        </is>
      </c>
    </row>
    <row r="1363">
      <c r="A1363" s="32" t="inlineStr">
        <is>
          <t>TANKWAGON</t>
        </is>
      </c>
      <c r="B1363" s="24">
        <f>IFERROR(INDEX(Companies!$A$3:$A$101,MATCH(A1363,Companies!$B$3:$B$101,0)),"")</f>
        <v/>
      </c>
      <c r="D1363" t="inlineStr">
        <is>
          <t>D21D9483B7DF</t>
        </is>
      </c>
      <c r="E1363" s="24">
        <f>LEFT(D1363,2)&amp;":"&amp;MID(D1363,3,2)&amp;":"&amp;MID(D1363,5,2)&amp;":"&amp;MID(D1363,7,2)&amp;":"&amp;MID(D1363,9,2)&amp;":"&amp;RIGHT(D1363,2)</f>
        <v/>
      </c>
      <c r="H1363" s="2" t="inlineStr">
        <is>
          <t>8D07D92A6A795AAD</t>
        </is>
      </c>
      <c r="J1363" t="inlineStr">
        <is>
          <t>VIEZO0000000000000184</t>
        </is>
      </c>
    </row>
    <row r="1364">
      <c r="A1364" s="32" t="inlineStr">
        <is>
          <t>TANKWAGON</t>
        </is>
      </c>
      <c r="B1364" s="24">
        <f>IFERROR(INDEX(Companies!$A$3:$A$101,MATCH(A1364,Companies!$B$3:$B$101,0)),"")</f>
        <v/>
      </c>
      <c r="D1364" t="inlineStr">
        <is>
          <t>F07D4C39A226</t>
        </is>
      </c>
      <c r="E1364" s="24">
        <f>LEFT(D1364,2)&amp;":"&amp;MID(D1364,3,2)&amp;":"&amp;MID(D1364,5,2)&amp;":"&amp;MID(D1364,7,2)&amp;":"&amp;MID(D1364,9,2)&amp;":"&amp;RIGHT(D1364,2)</f>
        <v/>
      </c>
      <c r="H1364" s="2" t="inlineStr">
        <is>
          <t>4AC76836FA0831F5</t>
        </is>
      </c>
      <c r="J1364" t="inlineStr">
        <is>
          <t>VIEZO0000000000000185</t>
        </is>
      </c>
    </row>
    <row r="1365">
      <c r="A1365" s="32" t="inlineStr">
        <is>
          <t>TANKWAGON</t>
        </is>
      </c>
      <c r="B1365" s="24">
        <f>IFERROR(INDEX(Companies!$A$3:$A$101,MATCH(A1365,Companies!$B$3:$B$101,0)),"")</f>
        <v/>
      </c>
      <c r="D1365" t="inlineStr">
        <is>
          <t>E8A64D5DA6A7</t>
        </is>
      </c>
      <c r="E1365" s="24">
        <f>LEFT(D1365,2)&amp;":"&amp;MID(D1365,3,2)&amp;":"&amp;MID(D1365,5,2)&amp;":"&amp;MID(D1365,7,2)&amp;":"&amp;MID(D1365,9,2)&amp;":"&amp;RIGHT(D1365,2)</f>
        <v/>
      </c>
      <c r="H1365" s="2" t="inlineStr">
        <is>
          <t>7B2AA19B2530FEA3</t>
        </is>
      </c>
      <c r="J1365" t="inlineStr">
        <is>
          <t>VIEZO0000000000000186</t>
        </is>
      </c>
    </row>
    <row r="1366">
      <c r="A1366" s="32" t="inlineStr">
        <is>
          <t>TANKWAGON</t>
        </is>
      </c>
      <c r="B1366" s="24">
        <f>IFERROR(INDEX(Companies!$A$3:$A$101,MATCH(A1366,Companies!$B$3:$B$101,0)),"")</f>
        <v/>
      </c>
      <c r="D1366" t="inlineStr">
        <is>
          <t>F702BD4CBB48</t>
        </is>
      </c>
      <c r="E1366" s="24">
        <f>LEFT(D1366,2)&amp;":"&amp;MID(D1366,3,2)&amp;":"&amp;MID(D1366,5,2)&amp;":"&amp;MID(D1366,7,2)&amp;":"&amp;MID(D1366,9,2)&amp;":"&amp;RIGHT(D1366,2)</f>
        <v/>
      </c>
      <c r="H1366" s="2" t="inlineStr">
        <is>
          <t>E887C995ED913A96</t>
        </is>
      </c>
      <c r="J1366" t="inlineStr">
        <is>
          <t>VIEZO0000000000000187</t>
        </is>
      </c>
    </row>
    <row r="1367">
      <c r="A1367" s="32" t="inlineStr">
        <is>
          <t>TANKWAGON</t>
        </is>
      </c>
      <c r="B1367" s="24">
        <f>IFERROR(INDEX(Companies!$A$3:$A$101,MATCH(A1367,Companies!$B$3:$B$101,0)),"")</f>
        <v/>
      </c>
      <c r="D1367" t="inlineStr">
        <is>
          <t>DA52E2E102C7</t>
        </is>
      </c>
      <c r="E1367" s="24">
        <f>LEFT(D1367,2)&amp;":"&amp;MID(D1367,3,2)&amp;":"&amp;MID(D1367,5,2)&amp;":"&amp;MID(D1367,7,2)&amp;":"&amp;MID(D1367,9,2)&amp;":"&amp;RIGHT(D1367,2)</f>
        <v/>
      </c>
      <c r="H1367" s="2" t="inlineStr">
        <is>
          <t>33EAA258BE1A5A5F</t>
        </is>
      </c>
      <c r="J1367" t="inlineStr">
        <is>
          <t>VIEZO0000000000000188</t>
        </is>
      </c>
    </row>
    <row r="1368">
      <c r="A1368" s="32" t="inlineStr">
        <is>
          <t>TANKWAGON</t>
        </is>
      </c>
      <c r="B1368" s="24">
        <f>IFERROR(INDEX(Companies!$A$3:$A$101,MATCH(A1368,Companies!$B$3:$B$101,0)),"")</f>
        <v/>
      </c>
      <c r="D1368" t="inlineStr">
        <is>
          <t>D93AADD1B607</t>
        </is>
      </c>
      <c r="E1368" s="24">
        <f>LEFT(D1368,2)&amp;":"&amp;MID(D1368,3,2)&amp;":"&amp;MID(D1368,5,2)&amp;":"&amp;MID(D1368,7,2)&amp;":"&amp;MID(D1368,9,2)&amp;":"&amp;RIGHT(D1368,2)</f>
        <v/>
      </c>
      <c r="H1368" s="2" t="inlineStr">
        <is>
          <t>E40312B055544498</t>
        </is>
      </c>
      <c r="J1368" t="inlineStr">
        <is>
          <t>VIEZO0000000000000189</t>
        </is>
      </c>
    </row>
    <row r="1369">
      <c r="A1369" s="32" t="inlineStr">
        <is>
          <t>TANKWAGON</t>
        </is>
      </c>
      <c r="B1369" s="24">
        <f>IFERROR(INDEX(Companies!$A$3:$A$101,MATCH(A1369,Companies!$B$3:$B$101,0)),"")</f>
        <v/>
      </c>
      <c r="D1369" t="inlineStr">
        <is>
          <t>D4296F7A4E86</t>
        </is>
      </c>
      <c r="E1369" s="24">
        <f>LEFT(D1369,2)&amp;":"&amp;MID(D1369,3,2)&amp;":"&amp;MID(D1369,5,2)&amp;":"&amp;MID(D1369,7,2)&amp;":"&amp;MID(D1369,9,2)&amp;":"&amp;RIGHT(D1369,2)</f>
        <v/>
      </c>
      <c r="H1369" s="2" t="inlineStr">
        <is>
          <t>05ED20BCEF8CB4B6</t>
        </is>
      </c>
      <c r="J1369" t="inlineStr">
        <is>
          <t>VIEZO0000000000000190</t>
        </is>
      </c>
    </row>
    <row r="1370">
      <c r="A1370" s="32" t="inlineStr">
        <is>
          <t>TANKWAGON</t>
        </is>
      </c>
      <c r="B1370" s="24">
        <f>IFERROR(INDEX(Companies!$A$3:$A$101,MATCH(A1370,Companies!$B$3:$B$101,0)),"")</f>
        <v/>
      </c>
      <c r="D1370" t="inlineStr">
        <is>
          <t>CF8FF00636D7</t>
        </is>
      </c>
      <c r="E1370" s="24">
        <f>LEFT(D1370,2)&amp;":"&amp;MID(D1370,3,2)&amp;":"&amp;MID(D1370,5,2)&amp;":"&amp;MID(D1370,7,2)&amp;":"&amp;MID(D1370,9,2)&amp;":"&amp;RIGHT(D1370,2)</f>
        <v/>
      </c>
      <c r="H1370" s="2" t="inlineStr">
        <is>
          <t>670A1A14A504AF98</t>
        </is>
      </c>
      <c r="J1370" t="inlineStr">
        <is>
          <t>VIEZO0000000000000191</t>
        </is>
      </c>
    </row>
    <row r="1371">
      <c r="A1371" s="32" t="inlineStr">
        <is>
          <t>TANKWAGON</t>
        </is>
      </c>
      <c r="B1371" s="24">
        <f>IFERROR(INDEX(Companies!$A$3:$A$101,MATCH(A1371,Companies!$B$3:$B$101,0)),"")</f>
        <v/>
      </c>
      <c r="D1371" t="inlineStr">
        <is>
          <t>EC81915CB0DA</t>
        </is>
      </c>
      <c r="E1371" s="24">
        <f>LEFT(D1371,2)&amp;":"&amp;MID(D1371,3,2)&amp;":"&amp;MID(D1371,5,2)&amp;":"&amp;MID(D1371,7,2)&amp;":"&amp;MID(D1371,9,2)&amp;":"&amp;RIGHT(D1371,2)</f>
        <v/>
      </c>
      <c r="H1371" s="2" t="inlineStr">
        <is>
          <t>E37698D5D2C4A991</t>
        </is>
      </c>
      <c r="J1371" t="inlineStr">
        <is>
          <t>VIEZO0000000000000192</t>
        </is>
      </c>
    </row>
    <row r="1372">
      <c r="A1372" s="32" t="inlineStr">
        <is>
          <t>TANKWAGON</t>
        </is>
      </c>
      <c r="B1372" s="24">
        <f>IFERROR(INDEX(Companies!$A$3:$A$101,MATCH(A1372,Companies!$B$3:$B$101,0)),"")</f>
        <v/>
      </c>
      <c r="D1372" t="inlineStr">
        <is>
          <t>CE35ADC191A2</t>
        </is>
      </c>
      <c r="E1372" s="24">
        <f>LEFT(D1372,2)&amp;":"&amp;MID(D1372,3,2)&amp;":"&amp;MID(D1372,5,2)&amp;":"&amp;MID(D1372,7,2)&amp;":"&amp;MID(D1372,9,2)&amp;":"&amp;RIGHT(D1372,2)</f>
        <v/>
      </c>
      <c r="H1372" s="2" t="inlineStr">
        <is>
          <t>F9671F7BFCEEF21B</t>
        </is>
      </c>
      <c r="J1372" t="inlineStr">
        <is>
          <t>VIEZO0000000000000193</t>
        </is>
      </c>
    </row>
    <row r="1373">
      <c r="A1373" s="32" t="inlineStr">
        <is>
          <t>TANKWAGON</t>
        </is>
      </c>
      <c r="B1373" s="24">
        <f>IFERROR(INDEX(Companies!$A$3:$A$101,MATCH(A1373,Companies!$B$3:$B$101,0)),"")</f>
        <v/>
      </c>
      <c r="D1373" t="inlineStr">
        <is>
          <t>CA875F0E033B</t>
        </is>
      </c>
      <c r="E1373" s="24">
        <f>LEFT(D1373,2)&amp;":"&amp;MID(D1373,3,2)&amp;":"&amp;MID(D1373,5,2)&amp;":"&amp;MID(D1373,7,2)&amp;":"&amp;MID(D1373,9,2)&amp;":"&amp;RIGHT(D1373,2)</f>
        <v/>
      </c>
      <c r="H1373" s="2" t="inlineStr">
        <is>
          <t>FC222EEF72F2CB9D</t>
        </is>
      </c>
      <c r="J1373" t="inlineStr">
        <is>
          <t>VIEZO0000000000000194</t>
        </is>
      </c>
    </row>
    <row r="1374">
      <c r="A1374" s="32" t="inlineStr">
        <is>
          <t>TANKWAGON</t>
        </is>
      </c>
      <c r="B1374" s="24">
        <f>IFERROR(INDEX(Companies!$A$3:$A$101,MATCH(A1374,Companies!$B$3:$B$101,0)),"")</f>
        <v/>
      </c>
      <c r="D1374" t="inlineStr">
        <is>
          <t>D9954308E5F8</t>
        </is>
      </c>
      <c r="E1374" s="24">
        <f>LEFT(D1374,2)&amp;":"&amp;MID(D1374,3,2)&amp;":"&amp;MID(D1374,5,2)&amp;":"&amp;MID(D1374,7,2)&amp;":"&amp;MID(D1374,9,2)&amp;":"&amp;RIGHT(D1374,2)</f>
        <v/>
      </c>
      <c r="H1374" s="2" t="inlineStr">
        <is>
          <t>B2F8AEED20C5DE1F</t>
        </is>
      </c>
      <c r="J1374" t="inlineStr">
        <is>
          <t>VIEZO0000000000000195</t>
        </is>
      </c>
    </row>
    <row r="1375">
      <c r="A1375" s="32" t="inlineStr">
        <is>
          <t>TANKWAGON</t>
        </is>
      </c>
      <c r="B1375" s="24">
        <f>IFERROR(INDEX(Companies!$A$3:$A$101,MATCH(A1375,Companies!$B$3:$B$101,0)),"")</f>
        <v/>
      </c>
      <c r="D1375" t="inlineStr">
        <is>
          <t>C82213052402</t>
        </is>
      </c>
      <c r="E1375" s="24">
        <f>LEFT(D1375,2)&amp;":"&amp;MID(D1375,3,2)&amp;":"&amp;MID(D1375,5,2)&amp;":"&amp;MID(D1375,7,2)&amp;":"&amp;MID(D1375,9,2)&amp;":"&amp;RIGHT(D1375,2)</f>
        <v/>
      </c>
      <c r="H1375" s="2" t="inlineStr">
        <is>
          <t>5A2446BBF99DF9E9</t>
        </is>
      </c>
      <c r="J1375" t="inlineStr">
        <is>
          <t>VIEZO0000000000000196</t>
        </is>
      </c>
    </row>
    <row r="1376">
      <c r="A1376" s="32" t="inlineStr">
        <is>
          <t>TANKWAGON</t>
        </is>
      </c>
      <c r="B1376" s="24">
        <f>IFERROR(INDEX(Companies!$A$3:$A$101,MATCH(A1376,Companies!$B$3:$B$101,0)),"")</f>
        <v/>
      </c>
      <c r="D1376" t="inlineStr">
        <is>
          <t>C2A97429ACC6</t>
        </is>
      </c>
      <c r="E1376" s="24">
        <f>LEFT(D1376,2)&amp;":"&amp;MID(D1376,3,2)&amp;":"&amp;MID(D1376,5,2)&amp;":"&amp;MID(D1376,7,2)&amp;":"&amp;MID(D1376,9,2)&amp;":"&amp;RIGHT(D1376,2)</f>
        <v/>
      </c>
      <c r="H1376" s="2" t="inlineStr">
        <is>
          <t>7787A1EFB030831D</t>
        </is>
      </c>
      <c r="J1376" t="inlineStr">
        <is>
          <t>VIEZO0000000000000197</t>
        </is>
      </c>
    </row>
    <row r="1377">
      <c r="A1377" s="32" t="inlineStr">
        <is>
          <t>TANKWAGON</t>
        </is>
      </c>
      <c r="B1377" s="24">
        <f>IFERROR(INDEX(Companies!$A$3:$A$101,MATCH(A1377,Companies!$B$3:$B$101,0)),"")</f>
        <v/>
      </c>
      <c r="D1377" t="inlineStr">
        <is>
          <t>F2296FFCC0D0</t>
        </is>
      </c>
      <c r="E1377" s="24">
        <f>LEFT(D1377,2)&amp;":"&amp;MID(D1377,3,2)&amp;":"&amp;MID(D1377,5,2)&amp;":"&amp;MID(D1377,7,2)&amp;":"&amp;MID(D1377,9,2)&amp;":"&amp;RIGHT(D1377,2)</f>
        <v/>
      </c>
      <c r="H1377" s="2" t="inlineStr">
        <is>
          <t>0BB8BDABDD77DD6A</t>
        </is>
      </c>
      <c r="J1377" t="inlineStr">
        <is>
          <t>VIEZO0000000000000198</t>
        </is>
      </c>
    </row>
    <row r="1378">
      <c r="A1378" s="32" t="inlineStr">
        <is>
          <t>TANKWAGON</t>
        </is>
      </c>
      <c r="B1378" s="24">
        <f>IFERROR(INDEX(Companies!$A$3:$A$101,MATCH(A1378,Companies!$B$3:$B$101,0)),"")</f>
        <v/>
      </c>
      <c r="D1378" t="inlineStr">
        <is>
          <t>DC0B9EF054A3</t>
        </is>
      </c>
      <c r="E1378" s="24">
        <f>LEFT(D1378,2)&amp;":"&amp;MID(D1378,3,2)&amp;":"&amp;MID(D1378,5,2)&amp;":"&amp;MID(D1378,7,2)&amp;":"&amp;MID(D1378,9,2)&amp;":"&amp;RIGHT(D1378,2)</f>
        <v/>
      </c>
      <c r="H1378" s="2" t="inlineStr">
        <is>
          <t>CCEE60B6764DA5C7</t>
        </is>
      </c>
      <c r="J1378" t="inlineStr">
        <is>
          <t>VIEZO0000000000000199</t>
        </is>
      </c>
    </row>
    <row r="1379">
      <c r="A1379" s="32" t="inlineStr">
        <is>
          <t>TANKWAGON</t>
        </is>
      </c>
      <c r="B1379" s="24">
        <f>IFERROR(INDEX(Companies!$A$3:$A$101,MATCH(A1379,Companies!$B$3:$B$101,0)),"")</f>
        <v/>
      </c>
      <c r="D1379" t="inlineStr">
        <is>
          <t>FA5667F70601</t>
        </is>
      </c>
      <c r="E1379" s="24">
        <f>LEFT(D1379,2)&amp;":"&amp;MID(D1379,3,2)&amp;":"&amp;MID(D1379,5,2)&amp;":"&amp;MID(D1379,7,2)&amp;":"&amp;MID(D1379,9,2)&amp;":"&amp;RIGHT(D1379,2)</f>
        <v/>
      </c>
      <c r="H1379" s="2" t="inlineStr">
        <is>
          <t>C7F2A690570ADADA</t>
        </is>
      </c>
      <c r="J1379" t="inlineStr">
        <is>
          <t>VIEZO0000000000000200</t>
        </is>
      </c>
    </row>
    <row r="1380">
      <c r="A1380" s="32" t="inlineStr">
        <is>
          <t>TANKWAGON</t>
        </is>
      </c>
      <c r="B1380" s="24">
        <f>IFERROR(INDEX(Companies!$A$3:$A$101,MATCH(A1380,Companies!$B$3:$B$101,0)),"")</f>
        <v/>
      </c>
      <c r="D1380" t="inlineStr">
        <is>
          <t>D48AAFEDB69A</t>
        </is>
      </c>
      <c r="E1380" s="24">
        <f>LEFT(D1380,2)&amp;":"&amp;MID(D1380,3,2)&amp;":"&amp;MID(D1380,5,2)&amp;":"&amp;MID(D1380,7,2)&amp;":"&amp;MID(D1380,9,2)&amp;":"&amp;RIGHT(D1380,2)</f>
        <v/>
      </c>
      <c r="H1380" s="2" t="inlineStr">
        <is>
          <t>A81C5688E7C751C9</t>
        </is>
      </c>
      <c r="J1380" t="inlineStr">
        <is>
          <t>VIEZO0000000000000201</t>
        </is>
      </c>
    </row>
    <row r="1381">
      <c r="A1381" s="32" t="inlineStr">
        <is>
          <t>TANKWAGON</t>
        </is>
      </c>
      <c r="B1381" s="24">
        <f>IFERROR(INDEX(Companies!$A$3:$A$101,MATCH(A1381,Companies!$B$3:$B$101,0)),"")</f>
        <v/>
      </c>
      <c r="D1381" t="inlineStr">
        <is>
          <t>F2D163632BC8</t>
        </is>
      </c>
      <c r="E1381" s="24">
        <f>LEFT(D1381,2)&amp;":"&amp;MID(D1381,3,2)&amp;":"&amp;MID(D1381,5,2)&amp;":"&amp;MID(D1381,7,2)&amp;":"&amp;MID(D1381,9,2)&amp;":"&amp;RIGHT(D1381,2)</f>
        <v/>
      </c>
      <c r="H1381" s="2" t="inlineStr">
        <is>
          <t>E5127A8CD349378B</t>
        </is>
      </c>
      <c r="J1381" t="inlineStr">
        <is>
          <t>VIEZO0000000000000202</t>
        </is>
      </c>
    </row>
    <row r="1382">
      <c r="A1382" s="32" t="inlineStr">
        <is>
          <t>TANKWAGON</t>
        </is>
      </c>
      <c r="B1382" s="24">
        <f>IFERROR(INDEX(Companies!$A$3:$A$101,MATCH(A1382,Companies!$B$3:$B$101,0)),"")</f>
        <v/>
      </c>
      <c r="D1382" t="inlineStr">
        <is>
          <t>F2F9DFD5A885</t>
        </is>
      </c>
      <c r="E1382" s="24">
        <f>LEFT(D1382,2)&amp;":"&amp;MID(D1382,3,2)&amp;":"&amp;MID(D1382,5,2)&amp;":"&amp;MID(D1382,7,2)&amp;":"&amp;MID(D1382,9,2)&amp;":"&amp;RIGHT(D1382,2)</f>
        <v/>
      </c>
      <c r="H1382" s="2" t="inlineStr">
        <is>
          <t>809F4AFA2019432A</t>
        </is>
      </c>
      <c r="J1382" t="inlineStr">
        <is>
          <t>VIEZO0000000000000203</t>
        </is>
      </c>
    </row>
    <row r="1383">
      <c r="A1383" s="32" t="inlineStr">
        <is>
          <t>TANKWAGON</t>
        </is>
      </c>
      <c r="B1383" s="24">
        <f>IFERROR(INDEX(Companies!$A$3:$A$101,MATCH(A1383,Companies!$B$3:$B$101,0)),"")</f>
        <v/>
      </c>
      <c r="D1383" t="inlineStr">
        <is>
          <t>DFDC834C127A</t>
        </is>
      </c>
      <c r="E1383" s="24">
        <f>LEFT(D1383,2)&amp;":"&amp;MID(D1383,3,2)&amp;":"&amp;MID(D1383,5,2)&amp;":"&amp;MID(D1383,7,2)&amp;":"&amp;MID(D1383,9,2)&amp;":"&amp;RIGHT(D1383,2)</f>
        <v/>
      </c>
      <c r="H1383" s="2" t="inlineStr">
        <is>
          <t>EC3BF8F5DF4C56B0</t>
        </is>
      </c>
      <c r="J1383" t="inlineStr">
        <is>
          <t>VIEZO0000000000000204</t>
        </is>
      </c>
    </row>
    <row r="1384">
      <c r="A1384" s="32" t="inlineStr">
        <is>
          <t>TANKWAGON</t>
        </is>
      </c>
      <c r="B1384" s="24">
        <f>IFERROR(INDEX(Companies!$A$3:$A$101,MATCH(A1384,Companies!$B$3:$B$101,0)),"")</f>
        <v/>
      </c>
      <c r="D1384" t="inlineStr">
        <is>
          <t>E967CDA4BBD0</t>
        </is>
      </c>
      <c r="E1384" s="24">
        <f>LEFT(D1384,2)&amp;":"&amp;MID(D1384,3,2)&amp;":"&amp;MID(D1384,5,2)&amp;":"&amp;MID(D1384,7,2)&amp;":"&amp;MID(D1384,9,2)&amp;":"&amp;RIGHT(D1384,2)</f>
        <v/>
      </c>
      <c r="H1384" s="2" t="inlineStr">
        <is>
          <t>EEF8AB1E29687045</t>
        </is>
      </c>
      <c r="J1384" t="inlineStr">
        <is>
          <t>VIEZO0000000000000205</t>
        </is>
      </c>
    </row>
    <row r="1385">
      <c r="A1385" s="32" t="inlineStr">
        <is>
          <t>TANKWAGON</t>
        </is>
      </c>
      <c r="B1385" s="24">
        <f>IFERROR(INDEX(Companies!$A$3:$A$101,MATCH(A1385,Companies!$B$3:$B$101,0)),"")</f>
        <v/>
      </c>
      <c r="D1385" t="inlineStr">
        <is>
          <t>FD7284BFE130</t>
        </is>
      </c>
      <c r="E1385" s="24">
        <f>LEFT(D1385,2)&amp;":"&amp;MID(D1385,3,2)&amp;":"&amp;MID(D1385,5,2)&amp;":"&amp;MID(D1385,7,2)&amp;":"&amp;MID(D1385,9,2)&amp;":"&amp;RIGHT(D1385,2)</f>
        <v/>
      </c>
      <c r="H1385" s="2" t="inlineStr">
        <is>
          <t>02F378F429C1B1C0</t>
        </is>
      </c>
      <c r="J1385" t="inlineStr">
        <is>
          <t>VIEZO0000000000000206</t>
        </is>
      </c>
    </row>
    <row r="1386">
      <c r="A1386" s="32" t="inlineStr">
        <is>
          <t>TANKWAGON</t>
        </is>
      </c>
      <c r="B1386" s="24">
        <f>IFERROR(INDEX(Companies!$A$3:$A$101,MATCH(A1386,Companies!$B$3:$B$101,0)),"")</f>
        <v/>
      </c>
      <c r="D1386" t="inlineStr">
        <is>
          <t>D450BC3BBA8F</t>
        </is>
      </c>
      <c r="E1386" s="24">
        <f>LEFT(D1386,2)&amp;":"&amp;MID(D1386,3,2)&amp;":"&amp;MID(D1386,5,2)&amp;":"&amp;MID(D1386,7,2)&amp;":"&amp;MID(D1386,9,2)&amp;":"&amp;RIGHT(D1386,2)</f>
        <v/>
      </c>
      <c r="H1386" s="2" t="inlineStr">
        <is>
          <t>D7D40AE9ADBEC5F0</t>
        </is>
      </c>
      <c r="J1386" t="inlineStr">
        <is>
          <t>VIEZO0000000000000207</t>
        </is>
      </c>
    </row>
    <row r="1387">
      <c r="A1387" s="32" t="inlineStr">
        <is>
          <t>TANKWAGON</t>
        </is>
      </c>
      <c r="B1387" s="24">
        <f>IFERROR(INDEX(Companies!$A$3:$A$101,MATCH(A1387,Companies!$B$3:$B$101,0)),"")</f>
        <v/>
      </c>
      <c r="D1387" t="inlineStr">
        <is>
          <t>D2FA83AA5472</t>
        </is>
      </c>
      <c r="E1387" s="24">
        <f>LEFT(D1387,2)&amp;":"&amp;MID(D1387,3,2)&amp;":"&amp;MID(D1387,5,2)&amp;":"&amp;MID(D1387,7,2)&amp;":"&amp;MID(D1387,9,2)&amp;":"&amp;RIGHT(D1387,2)</f>
        <v/>
      </c>
      <c r="H1387" s="2" t="inlineStr">
        <is>
          <t>6D497E2E8B21D366</t>
        </is>
      </c>
      <c r="J1387" t="inlineStr">
        <is>
          <t>VIEZO0000000000000208</t>
        </is>
      </c>
    </row>
    <row r="1388">
      <c r="A1388" s="32" t="inlineStr">
        <is>
          <t>TANKWAGON</t>
        </is>
      </c>
      <c r="B1388" s="24">
        <f>IFERROR(INDEX(Companies!$A$3:$A$101,MATCH(A1388,Companies!$B$3:$B$101,0)),"")</f>
        <v/>
      </c>
      <c r="D1388" t="inlineStr">
        <is>
          <t>D837FEFA2E9D</t>
        </is>
      </c>
      <c r="E1388" s="24">
        <f>LEFT(D1388,2)&amp;":"&amp;MID(D1388,3,2)&amp;":"&amp;MID(D1388,5,2)&amp;":"&amp;MID(D1388,7,2)&amp;":"&amp;MID(D1388,9,2)&amp;":"&amp;RIGHT(D1388,2)</f>
        <v/>
      </c>
      <c r="F1388" s="29" t="n">
        <v>45260</v>
      </c>
      <c r="G1388" s="29" t="inlineStr">
        <is>
          <t>Tankwagon</t>
        </is>
      </c>
      <c r="H1388" s="2" t="inlineStr">
        <is>
          <t>9070F0F669330B32</t>
        </is>
      </c>
      <c r="J1388" t="inlineStr">
        <is>
          <t>VIEZO0000000000000209</t>
        </is>
      </c>
      <c r="K1388" s="27" t="inlineStr">
        <is>
          <t>33877916636-6</t>
        </is>
      </c>
      <c r="L1388" s="27" t="inlineStr">
        <is>
          <t>1R</t>
        </is>
      </c>
    </row>
    <row r="1389">
      <c r="A1389" s="32" t="inlineStr">
        <is>
          <t>TANKWAGON</t>
        </is>
      </c>
      <c r="B1389" s="24">
        <f>IFERROR(INDEX(Companies!$A$3:$A$101,MATCH(A1389,Companies!$B$3:$B$101,0)),"")</f>
        <v/>
      </c>
      <c r="D1389" t="inlineStr">
        <is>
          <t>E3AD4E8BBE95</t>
        </is>
      </c>
      <c r="E1389" s="24">
        <f>LEFT(D1389,2)&amp;":"&amp;MID(D1389,3,2)&amp;":"&amp;MID(D1389,5,2)&amp;":"&amp;MID(D1389,7,2)&amp;":"&amp;MID(D1389,9,2)&amp;":"&amp;RIGHT(D1389,2)</f>
        <v/>
      </c>
      <c r="F1389" s="29" t="n">
        <v>45260</v>
      </c>
      <c r="G1389" s="29" t="inlineStr">
        <is>
          <t>Tankwagon</t>
        </is>
      </c>
      <c r="H1389" s="2" t="inlineStr">
        <is>
          <t>2A39C1A6807A5AD6</t>
        </is>
      </c>
      <c r="J1389" t="inlineStr">
        <is>
          <t>VIEZO0000000000000210</t>
        </is>
      </c>
      <c r="K1389" s="27" t="inlineStr">
        <is>
          <t>33877916625-9</t>
        </is>
      </c>
      <c r="L1389" s="27" t="inlineStr">
        <is>
          <t>1R</t>
        </is>
      </c>
    </row>
    <row r="1390">
      <c r="A1390" s="32" t="inlineStr">
        <is>
          <t>TANKWAGON</t>
        </is>
      </c>
      <c r="B1390" s="24">
        <f>IFERROR(INDEX(Companies!$A$3:$A$101,MATCH(A1390,Companies!$B$3:$B$101,0)),"")</f>
        <v/>
      </c>
      <c r="D1390" t="inlineStr">
        <is>
          <t>CC542607E2D9</t>
        </is>
      </c>
      <c r="E1390" s="24">
        <f>LEFT(D1390,2)&amp;":"&amp;MID(D1390,3,2)&amp;":"&amp;MID(D1390,5,2)&amp;":"&amp;MID(D1390,7,2)&amp;":"&amp;MID(D1390,9,2)&amp;":"&amp;RIGHT(D1390,2)</f>
        <v/>
      </c>
      <c r="H1390" s="2" t="inlineStr">
        <is>
          <t>5C187247B4A09914</t>
        </is>
      </c>
      <c r="J1390" t="inlineStr">
        <is>
          <t>VIEZO0000000000000211</t>
        </is>
      </c>
    </row>
    <row r="1391">
      <c r="A1391" s="32" t="inlineStr">
        <is>
          <t>TANKWAGON</t>
        </is>
      </c>
      <c r="B1391" s="24">
        <f>IFERROR(INDEX(Companies!$A$3:$A$101,MATCH(A1391,Companies!$B$3:$B$101,0)),"")</f>
        <v/>
      </c>
      <c r="D1391" t="inlineStr">
        <is>
          <t>D2E16124957B</t>
        </is>
      </c>
      <c r="E1391" s="24">
        <f>LEFT(D1391,2)&amp;":"&amp;MID(D1391,3,2)&amp;":"&amp;MID(D1391,5,2)&amp;":"&amp;MID(D1391,7,2)&amp;":"&amp;MID(D1391,9,2)&amp;":"&amp;RIGHT(D1391,2)</f>
        <v/>
      </c>
      <c r="H1391" s="2" t="inlineStr">
        <is>
          <t>9F624F81EC51678A</t>
        </is>
      </c>
      <c r="J1391" t="inlineStr">
        <is>
          <t>VIEZO0000000000000212</t>
        </is>
      </c>
    </row>
    <row r="1392">
      <c r="A1392" s="32" t="inlineStr">
        <is>
          <t>TANKWAGON</t>
        </is>
      </c>
      <c r="B1392" s="24">
        <f>IFERROR(INDEX(Companies!$A$3:$A$101,MATCH(A1392,Companies!$B$3:$B$101,0)),"")</f>
        <v/>
      </c>
      <c r="D1392" t="inlineStr">
        <is>
          <t>C7BB180EC491</t>
        </is>
      </c>
      <c r="E1392" s="24">
        <f>LEFT(D1392,2)&amp;":"&amp;MID(D1392,3,2)&amp;":"&amp;MID(D1392,5,2)&amp;":"&amp;MID(D1392,7,2)&amp;":"&amp;MID(D1392,9,2)&amp;":"&amp;RIGHT(D1392,2)</f>
        <v/>
      </c>
      <c r="H1392" s="2" t="inlineStr">
        <is>
          <t>7F74A388E9D734EA</t>
        </is>
      </c>
      <c r="J1392" t="inlineStr">
        <is>
          <t>VIEZO0000000000000213</t>
        </is>
      </c>
    </row>
    <row r="1393">
      <c r="A1393" s="32" t="inlineStr">
        <is>
          <t>TANKWAGON</t>
        </is>
      </c>
      <c r="B1393" s="24">
        <f>IFERROR(INDEX(Companies!$A$3:$A$101,MATCH(A1393,Companies!$B$3:$B$101,0)),"")</f>
        <v/>
      </c>
      <c r="D1393" t="inlineStr">
        <is>
          <t>C0B9F2EDA08B</t>
        </is>
      </c>
      <c r="E1393" s="24">
        <f>LEFT(D1393,2)&amp;":"&amp;MID(D1393,3,2)&amp;":"&amp;MID(D1393,5,2)&amp;":"&amp;MID(D1393,7,2)&amp;":"&amp;MID(D1393,9,2)&amp;":"&amp;RIGHT(D1393,2)</f>
        <v/>
      </c>
      <c r="H1393" s="2" t="inlineStr">
        <is>
          <t>7599A683325D4178</t>
        </is>
      </c>
      <c r="J1393" t="inlineStr">
        <is>
          <t>VIEZO0000000000000214</t>
        </is>
      </c>
    </row>
    <row r="1394">
      <c r="A1394" s="32" t="inlineStr">
        <is>
          <t>TANKWAGON</t>
        </is>
      </c>
      <c r="B1394" s="24">
        <f>IFERROR(INDEX(Companies!$A$3:$A$101,MATCH(A1394,Companies!$B$3:$B$101,0)),"")</f>
        <v/>
      </c>
      <c r="D1394" t="inlineStr">
        <is>
          <t>D7D740717685</t>
        </is>
      </c>
      <c r="E1394" s="24">
        <f>LEFT(D1394,2)&amp;":"&amp;MID(D1394,3,2)&amp;":"&amp;MID(D1394,5,2)&amp;":"&amp;MID(D1394,7,2)&amp;":"&amp;MID(D1394,9,2)&amp;":"&amp;RIGHT(D1394,2)</f>
        <v/>
      </c>
      <c r="F1394" s="29" t="n">
        <v>45260</v>
      </c>
      <c r="G1394" s="29" t="inlineStr">
        <is>
          <t>Tankwagon</t>
        </is>
      </c>
      <c r="H1394" s="2" t="inlineStr">
        <is>
          <t>34E0BB4C02DA4879</t>
        </is>
      </c>
      <c r="J1394" t="inlineStr">
        <is>
          <t>VIEZO0000000000000215</t>
        </is>
      </c>
      <c r="K1394" s="27" t="inlineStr">
        <is>
          <t>33877916681-2</t>
        </is>
      </c>
      <c r="L1394" s="27" t="inlineStr">
        <is>
          <t>4R</t>
        </is>
      </c>
    </row>
    <row r="1395">
      <c r="A1395" s="32" t="inlineStr">
        <is>
          <t>TANKWAGON</t>
        </is>
      </c>
      <c r="B1395" s="24">
        <f>IFERROR(INDEX(Companies!$A$3:$A$101,MATCH(A1395,Companies!$B$3:$B$101,0)),"")</f>
        <v/>
      </c>
      <c r="D1395" t="inlineStr">
        <is>
          <t>F783721CDB9D</t>
        </is>
      </c>
      <c r="E1395" s="24">
        <f>LEFT(D1395,2)&amp;":"&amp;MID(D1395,3,2)&amp;":"&amp;MID(D1395,5,2)&amp;":"&amp;MID(D1395,7,2)&amp;":"&amp;MID(D1395,9,2)&amp;":"&amp;RIGHT(D1395,2)</f>
        <v/>
      </c>
      <c r="F1395" s="29" t="n">
        <v>45260</v>
      </c>
      <c r="G1395" s="29" t="inlineStr">
        <is>
          <t>Tankwagon</t>
        </is>
      </c>
      <c r="H1395" s="2" t="inlineStr">
        <is>
          <t>4D334055E4286D29</t>
        </is>
      </c>
      <c r="J1395" t="inlineStr">
        <is>
          <t>VIEZO0000000000000216</t>
        </is>
      </c>
      <c r="K1395" s="27" t="inlineStr">
        <is>
          <t>33877916681-2</t>
        </is>
      </c>
      <c r="L1395" s="27" t="inlineStr">
        <is>
          <t>2L</t>
        </is>
      </c>
    </row>
    <row r="1396">
      <c r="A1396" s="32" t="inlineStr">
        <is>
          <t>TANKWAGON</t>
        </is>
      </c>
      <c r="B1396" s="24">
        <f>IFERROR(INDEX(Companies!$A$3:$A$101,MATCH(A1396,Companies!$B$3:$B$101,0)),"")</f>
        <v/>
      </c>
      <c r="D1396" t="inlineStr">
        <is>
          <t>E4224603F2F6</t>
        </is>
      </c>
      <c r="E1396" s="24">
        <f>LEFT(D1396,2)&amp;":"&amp;MID(D1396,3,2)&amp;":"&amp;MID(D1396,5,2)&amp;":"&amp;MID(D1396,7,2)&amp;":"&amp;MID(D1396,9,2)&amp;":"&amp;RIGHT(D1396,2)</f>
        <v/>
      </c>
      <c r="F1396" s="29" t="n">
        <v>45260</v>
      </c>
      <c r="G1396" s="29" t="inlineStr">
        <is>
          <t>Tankwagon</t>
        </is>
      </c>
      <c r="H1396" s="2" t="inlineStr">
        <is>
          <t>9AF3381AE3DE5AB1</t>
        </is>
      </c>
      <c r="J1396" t="inlineStr">
        <is>
          <t>VIEZO0000000000000217</t>
        </is>
      </c>
      <c r="K1396" s="27" t="inlineStr">
        <is>
          <t>33877916669-7</t>
        </is>
      </c>
      <c r="L1396" s="27" t="inlineStr">
        <is>
          <t>1L</t>
        </is>
      </c>
    </row>
    <row r="1397">
      <c r="A1397" s="32" t="inlineStr">
        <is>
          <t>TANKWAGON</t>
        </is>
      </c>
      <c r="B1397" s="24">
        <f>IFERROR(INDEX(Companies!$A$3:$A$101,MATCH(A1397,Companies!$B$3:$B$101,0)),"")</f>
        <v/>
      </c>
      <c r="D1397" t="inlineStr">
        <is>
          <t>F7DABD610986</t>
        </is>
      </c>
      <c r="E1397" s="24">
        <f>LEFT(D1397,2)&amp;":"&amp;MID(D1397,3,2)&amp;":"&amp;MID(D1397,5,2)&amp;":"&amp;MID(D1397,7,2)&amp;":"&amp;MID(D1397,9,2)&amp;":"&amp;RIGHT(D1397,2)</f>
        <v/>
      </c>
      <c r="F1397" s="29" t="n">
        <v>45260</v>
      </c>
      <c r="G1397" s="29" t="inlineStr">
        <is>
          <t>Tankwagon</t>
        </is>
      </c>
      <c r="H1397" s="2" t="inlineStr">
        <is>
          <t>6D830CA9AEC326B8</t>
        </is>
      </c>
      <c r="J1397" t="inlineStr">
        <is>
          <t>VIEZO0000000000000218</t>
        </is>
      </c>
      <c r="K1397" s="27" t="inlineStr">
        <is>
          <t>33877916625-9</t>
        </is>
      </c>
      <c r="L1397" s="27" t="inlineStr">
        <is>
          <t>4R</t>
        </is>
      </c>
    </row>
    <row r="1398">
      <c r="A1398" s="32" t="inlineStr">
        <is>
          <t>TANKWAGON</t>
        </is>
      </c>
      <c r="B1398" s="24">
        <f>IFERROR(INDEX(Companies!$A$3:$A$101,MATCH(A1398,Companies!$B$3:$B$101,0)),"")</f>
        <v/>
      </c>
      <c r="D1398" t="inlineStr">
        <is>
          <t>FA4598E59348</t>
        </is>
      </c>
      <c r="E1398" s="24">
        <f>LEFT(D1398,2)&amp;":"&amp;MID(D1398,3,2)&amp;":"&amp;MID(D1398,5,2)&amp;":"&amp;MID(D1398,7,2)&amp;":"&amp;MID(D1398,9,2)&amp;":"&amp;RIGHT(D1398,2)</f>
        <v/>
      </c>
      <c r="F1398" s="29" t="n">
        <v>45260</v>
      </c>
      <c r="G1398" s="29" t="inlineStr">
        <is>
          <t>Tankwagon</t>
        </is>
      </c>
      <c r="H1398" s="2" t="inlineStr">
        <is>
          <t>8080829C18F31031</t>
        </is>
      </c>
      <c r="J1398" t="inlineStr">
        <is>
          <t>VIEZO0000000000000219</t>
        </is>
      </c>
      <c r="K1398" s="27" t="inlineStr">
        <is>
          <t>33877916625-9</t>
        </is>
      </c>
      <c r="L1398" s="27" t="inlineStr">
        <is>
          <t>2R</t>
        </is>
      </c>
    </row>
    <row r="1399">
      <c r="A1399" s="32" t="inlineStr">
        <is>
          <t>TANKWAGON</t>
        </is>
      </c>
      <c r="B1399" s="24">
        <f>IFERROR(INDEX(Companies!$A$3:$A$101,MATCH(A1399,Companies!$B$3:$B$101,0)),"")</f>
        <v/>
      </c>
      <c r="D1399" t="inlineStr">
        <is>
          <t>D1FC28427827</t>
        </is>
      </c>
      <c r="E1399" s="24">
        <f>LEFT(D1399,2)&amp;":"&amp;MID(D1399,3,2)&amp;":"&amp;MID(D1399,5,2)&amp;":"&amp;MID(D1399,7,2)&amp;":"&amp;MID(D1399,9,2)&amp;":"&amp;RIGHT(D1399,2)</f>
        <v/>
      </c>
      <c r="F1399" s="29" t="n">
        <v>45260</v>
      </c>
      <c r="G1399" s="29" t="inlineStr">
        <is>
          <t>Tankwagon</t>
        </is>
      </c>
      <c r="H1399" s="2" t="inlineStr">
        <is>
          <t>4CC17AC1FEFE79D2</t>
        </is>
      </c>
      <c r="J1399" t="inlineStr">
        <is>
          <t>VIEZO0000000000000220</t>
        </is>
      </c>
      <c r="K1399" s="27" t="inlineStr">
        <is>
          <t>33877916636-6</t>
        </is>
      </c>
      <c r="L1399" s="27" t="inlineStr">
        <is>
          <t>2R</t>
        </is>
      </c>
    </row>
    <row r="1400">
      <c r="A1400" s="32" t="inlineStr">
        <is>
          <t>TANKWAGON</t>
        </is>
      </c>
      <c r="B1400" s="24">
        <f>IFERROR(INDEX(Companies!$A$3:$A$101,MATCH(A1400,Companies!$B$3:$B$101,0)),"")</f>
        <v/>
      </c>
      <c r="D1400" t="inlineStr">
        <is>
          <t>DF35ABB22B5E</t>
        </is>
      </c>
      <c r="E1400" s="24">
        <f>LEFT(D1400,2)&amp;":"&amp;MID(D1400,3,2)&amp;":"&amp;MID(D1400,5,2)&amp;":"&amp;MID(D1400,7,2)&amp;":"&amp;MID(D1400,9,2)&amp;":"&amp;RIGHT(D1400,2)</f>
        <v/>
      </c>
      <c r="F1400" s="29" t="n">
        <v>45260</v>
      </c>
      <c r="G1400" s="29" t="inlineStr">
        <is>
          <t>Tankwagon</t>
        </is>
      </c>
      <c r="H1400" s="2" t="inlineStr">
        <is>
          <t>0DEB6AC2B35AA218</t>
        </is>
      </c>
      <c r="J1400" t="inlineStr">
        <is>
          <t>VIEZO0000000000000221</t>
        </is>
      </c>
      <c r="K1400" s="27" t="inlineStr">
        <is>
          <t>33877916636-6</t>
        </is>
      </c>
      <c r="L1400" s="27" t="inlineStr">
        <is>
          <t>3R</t>
        </is>
      </c>
    </row>
    <row r="1401">
      <c r="A1401" s="32" t="inlineStr">
        <is>
          <t>TANKWAGON</t>
        </is>
      </c>
      <c r="B1401" s="24">
        <f>IFERROR(INDEX(Companies!$A$3:$A$101,MATCH(A1401,Companies!$B$3:$B$101,0)),"")</f>
        <v/>
      </c>
      <c r="D1401" t="inlineStr">
        <is>
          <t>FA21A2B698C0</t>
        </is>
      </c>
      <c r="E1401" s="24">
        <f>LEFT(D1401,2)&amp;":"&amp;MID(D1401,3,2)&amp;":"&amp;MID(D1401,5,2)&amp;":"&amp;MID(D1401,7,2)&amp;":"&amp;MID(D1401,9,2)&amp;":"&amp;RIGHT(D1401,2)</f>
        <v/>
      </c>
      <c r="F1401" s="29" t="n">
        <v>45260</v>
      </c>
      <c r="G1401" s="29" t="inlineStr">
        <is>
          <t>Tankwagon</t>
        </is>
      </c>
      <c r="H1401" s="2" t="inlineStr">
        <is>
          <t>88EADFE68A20F3EC</t>
        </is>
      </c>
      <c r="J1401" t="inlineStr">
        <is>
          <t>VIEZO0000000000000222</t>
        </is>
      </c>
      <c r="K1401" s="27" t="inlineStr">
        <is>
          <t>33877916681-2</t>
        </is>
      </c>
      <c r="L1401" s="27" t="inlineStr">
        <is>
          <t>4L</t>
        </is>
      </c>
    </row>
    <row r="1402">
      <c r="A1402" s="32" t="inlineStr">
        <is>
          <t>TANKWAGON</t>
        </is>
      </c>
      <c r="B1402" s="24">
        <f>IFERROR(INDEX(Companies!$A$3:$A$101,MATCH(A1402,Companies!$B$3:$B$101,0)),"")</f>
        <v/>
      </c>
      <c r="D1402" t="inlineStr">
        <is>
          <t>FBF33309A76A</t>
        </is>
      </c>
      <c r="E1402" s="24">
        <f>LEFT(D1402,2)&amp;":"&amp;MID(D1402,3,2)&amp;":"&amp;MID(D1402,5,2)&amp;":"&amp;MID(D1402,7,2)&amp;":"&amp;MID(D1402,9,2)&amp;":"&amp;RIGHT(D1402,2)</f>
        <v/>
      </c>
      <c r="F1402" s="29" t="n">
        <v>45260</v>
      </c>
      <c r="G1402" s="29" t="inlineStr">
        <is>
          <t>Tankwagon</t>
        </is>
      </c>
      <c r="H1402" s="2" t="inlineStr">
        <is>
          <t>1A6324E06C33239A</t>
        </is>
      </c>
      <c r="J1402" t="inlineStr">
        <is>
          <t>VIEZO0000000000000223</t>
        </is>
      </c>
      <c r="K1402" s="27" t="inlineStr">
        <is>
          <t>33877916681-2</t>
        </is>
      </c>
      <c r="L1402" s="27" t="inlineStr">
        <is>
          <t>3L</t>
        </is>
      </c>
    </row>
    <row r="1403">
      <c r="A1403" s="32" t="inlineStr">
        <is>
          <t>TANKWAGON</t>
        </is>
      </c>
      <c r="B1403" s="24">
        <f>IFERROR(INDEX(Companies!$A$3:$A$101,MATCH(A1403,Companies!$B$3:$B$101,0)),"")</f>
        <v/>
      </c>
      <c r="D1403" t="inlineStr">
        <is>
          <t>C4EF7C4CF5BE</t>
        </is>
      </c>
      <c r="E1403" s="24">
        <f>LEFT(D1403,2)&amp;":"&amp;MID(D1403,3,2)&amp;":"&amp;MID(D1403,5,2)&amp;":"&amp;MID(D1403,7,2)&amp;":"&amp;MID(D1403,9,2)&amp;":"&amp;RIGHT(D1403,2)</f>
        <v/>
      </c>
      <c r="F1403" s="29" t="n">
        <v>45260</v>
      </c>
      <c r="G1403" s="29" t="inlineStr">
        <is>
          <t>Tankwagon</t>
        </is>
      </c>
      <c r="H1403" s="2" t="inlineStr">
        <is>
          <t>24EF7B9AD993D9AF</t>
        </is>
      </c>
      <c r="J1403" t="inlineStr">
        <is>
          <t>VIEZO0000000000000224</t>
        </is>
      </c>
      <c r="K1403" s="27" t="inlineStr">
        <is>
          <t>33807920015-4</t>
        </is>
      </c>
      <c r="L1403" s="27" t="inlineStr">
        <is>
          <t>4L</t>
        </is>
      </c>
    </row>
    <row r="1404">
      <c r="A1404" s="32" t="inlineStr">
        <is>
          <t>TANKWAGON</t>
        </is>
      </c>
      <c r="B1404" s="24">
        <f>IFERROR(INDEX(Companies!$A$3:$A$101,MATCH(A1404,Companies!$B$3:$B$101,0)),"")</f>
        <v/>
      </c>
      <c r="D1404" t="inlineStr">
        <is>
          <t>EE3869B11E5A</t>
        </is>
      </c>
      <c r="E1404" s="24">
        <f>LEFT(D1404,2)&amp;":"&amp;MID(D1404,3,2)&amp;":"&amp;MID(D1404,5,2)&amp;":"&amp;MID(D1404,7,2)&amp;":"&amp;MID(D1404,9,2)&amp;":"&amp;RIGHT(D1404,2)</f>
        <v/>
      </c>
      <c r="F1404" s="29" t="n">
        <v>45260</v>
      </c>
      <c r="G1404" s="29" t="inlineStr">
        <is>
          <t>Tankwagon</t>
        </is>
      </c>
      <c r="H1404" s="2" t="inlineStr">
        <is>
          <t>3F2D065373B6DF5D</t>
        </is>
      </c>
      <c r="J1404" t="inlineStr">
        <is>
          <t>VIEZO0000000000000225</t>
        </is>
      </c>
      <c r="K1404" s="27" t="inlineStr">
        <is>
          <t>33877916636-6</t>
        </is>
      </c>
      <c r="L1404" s="27" t="inlineStr">
        <is>
          <t>4L</t>
        </is>
      </c>
    </row>
    <row r="1405">
      <c r="A1405" s="32" t="inlineStr">
        <is>
          <t>TANKWAGON</t>
        </is>
      </c>
      <c r="B1405" s="24">
        <f>IFERROR(INDEX(Companies!$A$3:$A$101,MATCH(A1405,Companies!$B$3:$B$101,0)),"")</f>
        <v/>
      </c>
      <c r="D1405" t="inlineStr">
        <is>
          <t>E39140911BCD</t>
        </is>
      </c>
      <c r="E1405" s="24">
        <f>LEFT(D1405,2)&amp;":"&amp;MID(D1405,3,2)&amp;":"&amp;MID(D1405,5,2)&amp;":"&amp;MID(D1405,7,2)&amp;":"&amp;MID(D1405,9,2)&amp;":"&amp;RIGHT(D1405,2)</f>
        <v/>
      </c>
      <c r="F1405" s="29" t="n">
        <v>45260</v>
      </c>
      <c r="G1405" s="29" t="inlineStr">
        <is>
          <t>Tankwagon</t>
        </is>
      </c>
      <c r="H1405" s="2" t="inlineStr">
        <is>
          <t>34B1CC82A834D824</t>
        </is>
      </c>
      <c r="J1405" t="inlineStr">
        <is>
          <t>VIEZO0000000000000226</t>
        </is>
      </c>
      <c r="K1405" s="27" t="inlineStr">
        <is>
          <t>33877916625-9</t>
        </is>
      </c>
      <c r="L1405" s="27" t="inlineStr">
        <is>
          <t>3L</t>
        </is>
      </c>
    </row>
    <row r="1406">
      <c r="A1406" s="32" t="inlineStr">
        <is>
          <t>TANKWAGON</t>
        </is>
      </c>
      <c r="B1406" s="24">
        <f>IFERROR(INDEX(Companies!$A$3:$A$101,MATCH(A1406,Companies!$B$3:$B$101,0)),"")</f>
        <v/>
      </c>
      <c r="D1406" t="inlineStr">
        <is>
          <t>F0DBCEE10669</t>
        </is>
      </c>
      <c r="E1406" s="24">
        <f>LEFT(D1406,2)&amp;":"&amp;MID(D1406,3,2)&amp;":"&amp;MID(D1406,5,2)&amp;":"&amp;MID(D1406,7,2)&amp;":"&amp;MID(D1406,9,2)&amp;":"&amp;RIGHT(D1406,2)</f>
        <v/>
      </c>
      <c r="F1406" s="29" t="n">
        <v>45260</v>
      </c>
      <c r="G1406" s="29" t="inlineStr">
        <is>
          <t>Tankwagon</t>
        </is>
      </c>
      <c r="H1406" s="2" t="inlineStr">
        <is>
          <t>7537A47E02596AAF</t>
        </is>
      </c>
      <c r="J1406" t="inlineStr">
        <is>
          <t>VIEZO0000000000000227</t>
        </is>
      </c>
      <c r="K1406" s="27" t="inlineStr">
        <is>
          <t>33877916625-9</t>
        </is>
      </c>
      <c r="L1406" s="27" t="inlineStr">
        <is>
          <t>1L</t>
        </is>
      </c>
    </row>
    <row r="1407">
      <c r="A1407" s="32" t="inlineStr">
        <is>
          <t>TANKWAGON</t>
        </is>
      </c>
      <c r="B1407" s="24">
        <f>IFERROR(INDEX(Companies!$A$3:$A$101,MATCH(A1407,Companies!$B$3:$B$101,0)),"")</f>
        <v/>
      </c>
      <c r="D1407" t="inlineStr">
        <is>
          <t>D60CEE566378</t>
        </is>
      </c>
      <c r="E1407" s="24">
        <f>LEFT(D1407,2)&amp;":"&amp;MID(D1407,3,2)&amp;":"&amp;MID(D1407,5,2)&amp;":"&amp;MID(D1407,7,2)&amp;":"&amp;MID(D1407,9,2)&amp;":"&amp;RIGHT(D1407,2)</f>
        <v/>
      </c>
      <c r="F1407" s="29" t="n">
        <v>45260</v>
      </c>
      <c r="G1407" s="29" t="inlineStr">
        <is>
          <t>Tankwagon</t>
        </is>
      </c>
      <c r="H1407" s="2" t="inlineStr">
        <is>
          <t>75AE9C96B52C437E</t>
        </is>
      </c>
      <c r="J1407" t="inlineStr">
        <is>
          <t>VIEZO0000000000000228</t>
        </is>
      </c>
      <c r="K1407" s="27" t="inlineStr">
        <is>
          <t>33807920015-4</t>
        </is>
      </c>
      <c r="L1407" s="27" t="inlineStr">
        <is>
          <t>2R</t>
        </is>
      </c>
    </row>
    <row r="1408">
      <c r="A1408" s="32" t="inlineStr">
        <is>
          <t>TANKWAGON</t>
        </is>
      </c>
      <c r="B1408" s="24">
        <f>IFERROR(INDEX(Companies!$A$3:$A$101,MATCH(A1408,Companies!$B$3:$B$101,0)),"")</f>
        <v/>
      </c>
      <c r="D1408" t="inlineStr">
        <is>
          <t>C297C8942615</t>
        </is>
      </c>
      <c r="E1408" s="24">
        <f>LEFT(D1408,2)&amp;":"&amp;MID(D1408,3,2)&amp;":"&amp;MID(D1408,5,2)&amp;":"&amp;MID(D1408,7,2)&amp;":"&amp;MID(D1408,9,2)&amp;":"&amp;RIGHT(D1408,2)</f>
        <v/>
      </c>
      <c r="H1408" s="2" t="inlineStr">
        <is>
          <t>3120B24BCC2B5F74</t>
        </is>
      </c>
      <c r="J1408" t="inlineStr">
        <is>
          <t>VIEZO0000000000000229</t>
        </is>
      </c>
      <c r="K1408" s="27" t="inlineStr">
        <is>
          <t>33807920015-4</t>
        </is>
      </c>
      <c r="L1408" s="27" t="inlineStr">
        <is>
          <t>1L</t>
        </is>
      </c>
    </row>
    <row r="1409">
      <c r="A1409" s="32" t="inlineStr">
        <is>
          <t>TANKWAGON</t>
        </is>
      </c>
      <c r="B1409" s="24">
        <f>IFERROR(INDEX(Companies!$A$3:$A$101,MATCH(A1409,Companies!$B$3:$B$101,0)),"")</f>
        <v/>
      </c>
      <c r="D1409" t="inlineStr">
        <is>
          <t>E290616E4311</t>
        </is>
      </c>
      <c r="E1409" s="24">
        <f>LEFT(D1409,2)&amp;":"&amp;MID(D1409,3,2)&amp;":"&amp;MID(D1409,5,2)&amp;":"&amp;MID(D1409,7,2)&amp;":"&amp;MID(D1409,9,2)&amp;":"&amp;RIGHT(D1409,2)</f>
        <v/>
      </c>
      <c r="H1409" s="2" t="inlineStr">
        <is>
          <t>AB3F0B76E02BAC8E</t>
        </is>
      </c>
      <c r="J1409" t="inlineStr">
        <is>
          <t>VIEZO0000000000000230</t>
        </is>
      </c>
    </row>
    <row r="1410">
      <c r="A1410" s="32" t="inlineStr">
        <is>
          <t>TANKWAGON</t>
        </is>
      </c>
      <c r="B1410" s="24">
        <f>IFERROR(INDEX(Companies!$A$3:$A$101,MATCH(A1410,Companies!$B$3:$B$101,0)),"")</f>
        <v/>
      </c>
      <c r="D1410" t="inlineStr">
        <is>
          <t>EF842A1EF422</t>
        </is>
      </c>
      <c r="E1410" s="24">
        <f>LEFT(D1410,2)&amp;":"&amp;MID(D1410,3,2)&amp;":"&amp;MID(D1410,5,2)&amp;":"&amp;MID(D1410,7,2)&amp;":"&amp;MID(D1410,9,2)&amp;":"&amp;RIGHT(D1410,2)</f>
        <v/>
      </c>
      <c r="F1410" s="29" t="n">
        <v>45260</v>
      </c>
      <c r="G1410" s="29" t="inlineStr">
        <is>
          <t>Tankwagon</t>
        </is>
      </c>
      <c r="H1410" s="2" t="inlineStr">
        <is>
          <t>A6245A4497D75D6D</t>
        </is>
      </c>
      <c r="J1410" t="inlineStr">
        <is>
          <t>VIEZO0000000000000231</t>
        </is>
      </c>
      <c r="K1410" s="27" t="inlineStr">
        <is>
          <t>33747913061-5</t>
        </is>
      </c>
      <c r="L1410" s="27" t="inlineStr">
        <is>
          <t>3R</t>
        </is>
      </c>
    </row>
    <row r="1411">
      <c r="A1411" s="32" t="inlineStr">
        <is>
          <t>TANKWAGON</t>
        </is>
      </c>
      <c r="B1411" s="24">
        <f>IFERROR(INDEX(Companies!$A$3:$A$101,MATCH(A1411,Companies!$B$3:$B$101,0)),"")</f>
        <v/>
      </c>
      <c r="D1411" t="inlineStr">
        <is>
          <t>F96AFBFB7D18</t>
        </is>
      </c>
      <c r="E1411" s="24">
        <f>LEFT(D1411,2)&amp;":"&amp;MID(D1411,3,2)&amp;":"&amp;MID(D1411,5,2)&amp;":"&amp;MID(D1411,7,2)&amp;":"&amp;MID(D1411,9,2)&amp;":"&amp;RIGHT(D1411,2)</f>
        <v/>
      </c>
      <c r="H1411" s="2" t="inlineStr">
        <is>
          <t>A49AC1B745A21628</t>
        </is>
      </c>
      <c r="J1411" t="inlineStr">
        <is>
          <t>VIEZO0000000000000232</t>
        </is>
      </c>
    </row>
    <row r="1412">
      <c r="A1412" s="32" t="inlineStr">
        <is>
          <t>TANKWAGON</t>
        </is>
      </c>
      <c r="B1412" s="24">
        <f>IFERROR(INDEX(Companies!$A$3:$A$101,MATCH(A1412,Companies!$B$3:$B$101,0)),"")</f>
        <v/>
      </c>
      <c r="D1412" t="inlineStr">
        <is>
          <t>D7B9429A6675</t>
        </is>
      </c>
      <c r="E1412" s="24">
        <f>LEFT(D1412,2)&amp;":"&amp;MID(D1412,3,2)&amp;":"&amp;MID(D1412,5,2)&amp;":"&amp;MID(D1412,7,2)&amp;":"&amp;MID(D1412,9,2)&amp;":"&amp;RIGHT(D1412,2)</f>
        <v/>
      </c>
      <c r="F1412" s="29" t="n">
        <v>45260</v>
      </c>
      <c r="G1412" s="29" t="inlineStr">
        <is>
          <t>Tankwagon</t>
        </is>
      </c>
      <c r="H1412" s="2" t="inlineStr">
        <is>
          <t>BE15ACA056FCD446</t>
        </is>
      </c>
      <c r="J1412" t="inlineStr">
        <is>
          <t>VIEZO0000000000000233</t>
        </is>
      </c>
      <c r="K1412" s="27" t="inlineStr">
        <is>
          <t>33747913061-5</t>
        </is>
      </c>
      <c r="L1412" s="27" t="inlineStr">
        <is>
          <t>4R</t>
        </is>
      </c>
    </row>
    <row r="1413">
      <c r="A1413" s="32" t="inlineStr">
        <is>
          <t>TANKWAGON</t>
        </is>
      </c>
      <c r="B1413" s="24">
        <f>IFERROR(INDEX(Companies!$A$3:$A$101,MATCH(A1413,Companies!$B$3:$B$101,0)),"")</f>
        <v/>
      </c>
      <c r="D1413" t="inlineStr">
        <is>
          <t>F5D42B3E7E52</t>
        </is>
      </c>
      <c r="E1413" s="24">
        <f>LEFT(D1413,2)&amp;":"&amp;MID(D1413,3,2)&amp;":"&amp;MID(D1413,5,2)&amp;":"&amp;MID(D1413,7,2)&amp;":"&amp;MID(D1413,9,2)&amp;":"&amp;RIGHT(D1413,2)</f>
        <v/>
      </c>
      <c r="F1413" s="29" t="n">
        <v>45260</v>
      </c>
      <c r="G1413" s="29" t="inlineStr">
        <is>
          <t>Tankwagon</t>
        </is>
      </c>
      <c r="H1413" s="2" t="inlineStr">
        <is>
          <t>B6C60121D1AC26BD</t>
        </is>
      </c>
      <c r="J1413" t="inlineStr">
        <is>
          <t>VIEZO0000000000000234</t>
        </is>
      </c>
      <c r="K1413" s="27" t="inlineStr">
        <is>
          <t>33877916669-7</t>
        </is>
      </c>
      <c r="L1413" s="27" t="inlineStr">
        <is>
          <t>4R</t>
        </is>
      </c>
    </row>
    <row r="1414">
      <c r="A1414" s="32" t="inlineStr">
        <is>
          <t>TANKWAGON</t>
        </is>
      </c>
      <c r="B1414" s="24">
        <f>IFERROR(INDEX(Companies!$A$3:$A$101,MATCH(A1414,Companies!$B$3:$B$101,0)),"")</f>
        <v/>
      </c>
      <c r="D1414" t="inlineStr">
        <is>
          <t>C5B17208C60A</t>
        </is>
      </c>
      <c r="E1414" s="24">
        <f>LEFT(D1414,2)&amp;":"&amp;MID(D1414,3,2)&amp;":"&amp;MID(D1414,5,2)&amp;":"&amp;MID(D1414,7,2)&amp;":"&amp;MID(D1414,9,2)&amp;":"&amp;RIGHT(D1414,2)</f>
        <v/>
      </c>
      <c r="F1414" s="29" t="n">
        <v>45260</v>
      </c>
      <c r="G1414" s="29" t="inlineStr">
        <is>
          <t>Tankwagon</t>
        </is>
      </c>
      <c r="H1414" s="2" t="inlineStr">
        <is>
          <t>0C4616FD50C25DE4</t>
        </is>
      </c>
      <c r="J1414" t="inlineStr">
        <is>
          <t>VIEZO0000000000000235</t>
        </is>
      </c>
      <c r="K1414" s="27" t="inlineStr">
        <is>
          <t>33877916636-6</t>
        </is>
      </c>
      <c r="L1414" s="27" t="inlineStr">
        <is>
          <t>2L</t>
        </is>
      </c>
    </row>
    <row r="1415">
      <c r="A1415" s="32" t="inlineStr">
        <is>
          <t>TANKWAGON</t>
        </is>
      </c>
      <c r="B1415" s="24">
        <f>IFERROR(INDEX(Companies!$A$3:$A$101,MATCH(A1415,Companies!$B$3:$B$101,0)),"")</f>
        <v/>
      </c>
      <c r="D1415" t="inlineStr">
        <is>
          <t>F1CA5C7AD844</t>
        </is>
      </c>
      <c r="E1415" s="24">
        <f>LEFT(D1415,2)&amp;":"&amp;MID(D1415,3,2)&amp;":"&amp;MID(D1415,5,2)&amp;":"&amp;MID(D1415,7,2)&amp;":"&amp;MID(D1415,9,2)&amp;":"&amp;RIGHT(D1415,2)</f>
        <v/>
      </c>
      <c r="H1415" s="2" t="inlineStr">
        <is>
          <t>0433C220BB0E35E6</t>
        </is>
      </c>
      <c r="J1415" t="inlineStr">
        <is>
          <t>VIEZO0000000000000236</t>
        </is>
      </c>
      <c r="K1415" s="27" t="inlineStr">
        <is>
          <t>33877916669-7</t>
        </is>
      </c>
      <c r="L1415" s="27" t="inlineStr">
        <is>
          <t>3R</t>
        </is>
      </c>
    </row>
    <row r="1416">
      <c r="A1416" s="32" t="inlineStr">
        <is>
          <t>TANKWAGON</t>
        </is>
      </c>
      <c r="B1416" s="24">
        <f>IFERROR(INDEX(Companies!$A$3:$A$101,MATCH(A1416,Companies!$B$3:$B$101,0)),"")</f>
        <v/>
      </c>
      <c r="D1416" t="inlineStr">
        <is>
          <t>CCD45E382E70</t>
        </is>
      </c>
      <c r="E1416" s="24">
        <f>LEFT(D1416,2)&amp;":"&amp;MID(D1416,3,2)&amp;":"&amp;MID(D1416,5,2)&amp;":"&amp;MID(D1416,7,2)&amp;":"&amp;MID(D1416,9,2)&amp;":"&amp;RIGHT(D1416,2)</f>
        <v/>
      </c>
      <c r="F1416" s="29" t="n">
        <v>45260</v>
      </c>
      <c r="G1416" s="29" t="inlineStr">
        <is>
          <t>Tankwagon</t>
        </is>
      </c>
      <c r="H1416" s="2" t="inlineStr">
        <is>
          <t>78A85F5CAD44F6D5</t>
        </is>
      </c>
      <c r="J1416" t="inlineStr">
        <is>
          <t>VIEZO0000000000000237</t>
        </is>
      </c>
      <c r="K1416" s="27" t="inlineStr">
        <is>
          <t>33807920015-4</t>
        </is>
      </c>
      <c r="L1416" s="27" t="inlineStr">
        <is>
          <t>4R</t>
        </is>
      </c>
    </row>
    <row r="1417">
      <c r="A1417" s="32" t="inlineStr">
        <is>
          <t>TANKWAGON</t>
        </is>
      </c>
      <c r="B1417" s="24">
        <f>IFERROR(INDEX(Companies!$A$3:$A$101,MATCH(A1417,Companies!$B$3:$B$101,0)),"")</f>
        <v/>
      </c>
      <c r="D1417" t="inlineStr">
        <is>
          <t>E6DE919F55DE</t>
        </is>
      </c>
      <c r="E1417" s="24">
        <f>LEFT(D1417,2)&amp;":"&amp;MID(D1417,3,2)&amp;":"&amp;MID(D1417,5,2)&amp;":"&amp;MID(D1417,7,2)&amp;":"&amp;MID(D1417,9,2)&amp;":"&amp;RIGHT(D1417,2)</f>
        <v/>
      </c>
      <c r="F1417" s="29" t="n">
        <v>45260</v>
      </c>
      <c r="G1417" s="29" t="inlineStr">
        <is>
          <t>Tankwagon</t>
        </is>
      </c>
      <c r="H1417" s="2" t="inlineStr">
        <is>
          <t>20471A4DD91AF53F</t>
        </is>
      </c>
      <c r="J1417" t="inlineStr">
        <is>
          <t>VIEZO0000000000000238</t>
        </is>
      </c>
      <c r="K1417" s="27" t="inlineStr">
        <is>
          <t>33877916636-6</t>
        </is>
      </c>
      <c r="L1417" s="27" t="inlineStr">
        <is>
          <t>3L</t>
        </is>
      </c>
    </row>
    <row r="1418">
      <c r="A1418" s="32" t="inlineStr">
        <is>
          <t>TANKWAGON</t>
        </is>
      </c>
      <c r="B1418" s="24">
        <f>IFERROR(INDEX(Companies!$A$3:$A$101,MATCH(A1418,Companies!$B$3:$B$101,0)),"")</f>
        <v/>
      </c>
      <c r="D1418" t="inlineStr">
        <is>
          <t>FC422E20428A</t>
        </is>
      </c>
      <c r="E1418" s="24">
        <f>LEFT(D1418,2)&amp;":"&amp;MID(D1418,3,2)&amp;":"&amp;MID(D1418,5,2)&amp;":"&amp;MID(D1418,7,2)&amp;":"&amp;MID(D1418,9,2)&amp;":"&amp;RIGHT(D1418,2)</f>
        <v/>
      </c>
      <c r="F1418" s="29" t="n">
        <v>45260</v>
      </c>
      <c r="G1418" s="29" t="inlineStr">
        <is>
          <t>Tankwagon</t>
        </is>
      </c>
      <c r="H1418" s="2" t="inlineStr">
        <is>
          <t>E6B9E38574401C37</t>
        </is>
      </c>
      <c r="J1418" t="inlineStr">
        <is>
          <t>VIEZO0000000000000239</t>
        </is>
      </c>
      <c r="K1418" s="27" t="inlineStr">
        <is>
          <t>33807920015-4</t>
        </is>
      </c>
      <c r="L1418" s="27" t="inlineStr">
        <is>
          <t>3R</t>
        </is>
      </c>
    </row>
    <row r="1419">
      <c r="A1419" s="32" t="inlineStr">
        <is>
          <t>TANKWAGON</t>
        </is>
      </c>
      <c r="B1419" s="24">
        <f>IFERROR(INDEX(Companies!$A$3:$A$101,MATCH(A1419,Companies!$B$3:$B$101,0)),"")</f>
        <v/>
      </c>
      <c r="D1419" t="inlineStr">
        <is>
          <t>F9BA67B186ED</t>
        </is>
      </c>
      <c r="E1419" s="24">
        <f>LEFT(D1419,2)&amp;":"&amp;MID(D1419,3,2)&amp;":"&amp;MID(D1419,5,2)&amp;":"&amp;MID(D1419,7,2)&amp;":"&amp;MID(D1419,9,2)&amp;":"&amp;RIGHT(D1419,2)</f>
        <v/>
      </c>
      <c r="H1419" s="2" t="inlineStr">
        <is>
          <t>667EF8952673E9D9</t>
        </is>
      </c>
      <c r="J1419" t="inlineStr">
        <is>
          <t>VIEZO0000000000000240</t>
        </is>
      </c>
    </row>
    <row r="1420">
      <c r="A1420" s="32" t="inlineStr">
        <is>
          <t>TANKWAGON</t>
        </is>
      </c>
      <c r="B1420" s="24">
        <f>IFERROR(INDEX(Companies!$A$3:$A$101,MATCH(A1420,Companies!$B$3:$B$101,0)),"")</f>
        <v/>
      </c>
      <c r="D1420" t="inlineStr">
        <is>
          <t>F1A4330BA63F</t>
        </is>
      </c>
      <c r="E1420" s="24">
        <f>LEFT(D1420,2)&amp;":"&amp;MID(D1420,3,2)&amp;":"&amp;MID(D1420,5,2)&amp;":"&amp;MID(D1420,7,2)&amp;":"&amp;MID(D1420,9,2)&amp;":"&amp;RIGHT(D1420,2)</f>
        <v/>
      </c>
      <c r="H1420" s="2" t="inlineStr">
        <is>
          <t>F6E79A1AA7B7678C</t>
        </is>
      </c>
      <c r="J1420" t="inlineStr">
        <is>
          <t>VIEZO0000000000000241</t>
        </is>
      </c>
    </row>
    <row r="1421">
      <c r="A1421" s="32" t="inlineStr">
        <is>
          <t>TANKWAGON</t>
        </is>
      </c>
      <c r="B1421" s="24">
        <f>IFERROR(INDEX(Companies!$A$3:$A$101,MATCH(A1421,Companies!$B$3:$B$101,0)),"")</f>
        <v/>
      </c>
      <c r="D1421" t="inlineStr">
        <is>
          <t>F596D60AA20D</t>
        </is>
      </c>
      <c r="E1421" s="24">
        <f>LEFT(D1421,2)&amp;":"&amp;MID(D1421,3,2)&amp;":"&amp;MID(D1421,5,2)&amp;":"&amp;MID(D1421,7,2)&amp;":"&amp;MID(D1421,9,2)&amp;":"&amp;RIGHT(D1421,2)</f>
        <v/>
      </c>
      <c r="H1421" s="2" t="inlineStr">
        <is>
          <t>04D495B1EABC724D</t>
        </is>
      </c>
      <c r="J1421" t="inlineStr">
        <is>
          <t>VIEZO0000000000000242</t>
        </is>
      </c>
    </row>
    <row r="1422">
      <c r="A1422" s="32" t="inlineStr">
        <is>
          <t>TANKWAGON</t>
        </is>
      </c>
      <c r="B1422" s="24">
        <f>IFERROR(INDEX(Companies!$A$3:$A$101,MATCH(A1422,Companies!$B$3:$B$101,0)),"")</f>
        <v/>
      </c>
      <c r="D1422" t="inlineStr">
        <is>
          <t>CB95F4FB1219</t>
        </is>
      </c>
      <c r="E1422" s="24">
        <f>LEFT(D1422,2)&amp;":"&amp;MID(D1422,3,2)&amp;":"&amp;MID(D1422,5,2)&amp;":"&amp;MID(D1422,7,2)&amp;":"&amp;MID(D1422,9,2)&amp;":"&amp;RIGHT(D1422,2)</f>
        <v/>
      </c>
      <c r="H1422" s="2" t="inlineStr">
        <is>
          <t>999C3D1BC7936AE0</t>
        </is>
      </c>
      <c r="J1422" t="inlineStr">
        <is>
          <t>VIEZO0000000000000243</t>
        </is>
      </c>
    </row>
    <row r="1423">
      <c r="A1423" s="32" t="inlineStr">
        <is>
          <t>TANKWAGON</t>
        </is>
      </c>
      <c r="B1423" s="24">
        <f>IFERROR(INDEX(Companies!$A$3:$A$101,MATCH(A1423,Companies!$B$3:$B$101,0)),"")</f>
        <v/>
      </c>
      <c r="D1423" t="inlineStr">
        <is>
          <t>FB8D6EAA5FE5</t>
        </is>
      </c>
      <c r="E1423" s="24">
        <f>LEFT(D1423,2)&amp;":"&amp;MID(D1423,3,2)&amp;":"&amp;MID(D1423,5,2)&amp;":"&amp;MID(D1423,7,2)&amp;":"&amp;MID(D1423,9,2)&amp;":"&amp;RIGHT(D1423,2)</f>
        <v/>
      </c>
      <c r="H1423" s="2" t="inlineStr">
        <is>
          <t>7F047266CB3D3963</t>
        </is>
      </c>
      <c r="J1423" t="inlineStr">
        <is>
          <t>VIEZO0000000000000244</t>
        </is>
      </c>
    </row>
    <row r="1424">
      <c r="A1424" s="32" t="inlineStr">
        <is>
          <t>TANKWAGON</t>
        </is>
      </c>
      <c r="B1424" s="24">
        <f>IFERROR(INDEX(Companies!$A$3:$A$101,MATCH(A1424,Companies!$B$3:$B$101,0)),"")</f>
        <v/>
      </c>
      <c r="D1424" t="inlineStr">
        <is>
          <t>F022786D8BB6</t>
        </is>
      </c>
      <c r="E1424" s="24">
        <f>LEFT(D1424,2)&amp;":"&amp;MID(D1424,3,2)&amp;":"&amp;MID(D1424,5,2)&amp;":"&amp;MID(D1424,7,2)&amp;":"&amp;MID(D1424,9,2)&amp;":"&amp;RIGHT(D1424,2)</f>
        <v/>
      </c>
      <c r="H1424" s="2" t="inlineStr">
        <is>
          <t>625EB99A27300DE8</t>
        </is>
      </c>
      <c r="J1424" t="inlineStr">
        <is>
          <t>VIEZO0000000000000245</t>
        </is>
      </c>
    </row>
    <row r="1425">
      <c r="A1425" s="32" t="inlineStr">
        <is>
          <t>TANKWAGON</t>
        </is>
      </c>
      <c r="B1425" s="24">
        <f>IFERROR(INDEX(Companies!$A$3:$A$101,MATCH(A1425,Companies!$B$3:$B$101,0)),"")</f>
        <v/>
      </c>
      <c r="D1425" t="inlineStr">
        <is>
          <t>FEAE025487F1</t>
        </is>
      </c>
      <c r="E1425" s="24">
        <f>LEFT(D1425,2)&amp;":"&amp;MID(D1425,3,2)&amp;":"&amp;MID(D1425,5,2)&amp;":"&amp;MID(D1425,7,2)&amp;":"&amp;MID(D1425,9,2)&amp;":"&amp;RIGHT(D1425,2)</f>
        <v/>
      </c>
      <c r="H1425" s="2" t="inlineStr">
        <is>
          <t>4E19FB0CA840722D</t>
        </is>
      </c>
      <c r="J1425" t="inlineStr">
        <is>
          <t>VIEZO0000000000000246</t>
        </is>
      </c>
    </row>
    <row r="1426">
      <c r="A1426" s="32" t="inlineStr">
        <is>
          <t>TANKWAGON</t>
        </is>
      </c>
      <c r="B1426" s="24">
        <f>IFERROR(INDEX(Companies!$A$3:$A$101,MATCH(A1426,Companies!$B$3:$B$101,0)),"")</f>
        <v/>
      </c>
      <c r="D1426" t="inlineStr">
        <is>
          <t>F8E0956761B5</t>
        </is>
      </c>
      <c r="E1426" s="24">
        <f>LEFT(D1426,2)&amp;":"&amp;MID(D1426,3,2)&amp;":"&amp;MID(D1426,5,2)&amp;":"&amp;MID(D1426,7,2)&amp;":"&amp;MID(D1426,9,2)&amp;":"&amp;RIGHT(D1426,2)</f>
        <v/>
      </c>
      <c r="H1426" s="2" t="inlineStr">
        <is>
          <t>04509DE044139E13</t>
        </is>
      </c>
      <c r="J1426" t="inlineStr">
        <is>
          <t>VIEZO0000000000000247</t>
        </is>
      </c>
    </row>
    <row r="1427">
      <c r="A1427" s="32" t="inlineStr">
        <is>
          <t>TANKWAGON</t>
        </is>
      </c>
      <c r="B1427" s="24">
        <f>IFERROR(INDEX(Companies!$A$3:$A$101,MATCH(A1427,Companies!$B$3:$B$101,0)),"")</f>
        <v/>
      </c>
      <c r="D1427" t="inlineStr">
        <is>
          <t>E9DF8199BE5E</t>
        </is>
      </c>
      <c r="E1427" s="24">
        <f>LEFT(D1427,2)&amp;":"&amp;MID(D1427,3,2)&amp;":"&amp;MID(D1427,5,2)&amp;":"&amp;MID(D1427,7,2)&amp;":"&amp;MID(D1427,9,2)&amp;":"&amp;RIGHT(D1427,2)</f>
        <v/>
      </c>
      <c r="H1427" s="2" t="inlineStr">
        <is>
          <t>D01B557E42319EE5</t>
        </is>
      </c>
      <c r="J1427" t="inlineStr">
        <is>
          <t>VIEZO0000000000000248</t>
        </is>
      </c>
    </row>
    <row r="1428">
      <c r="A1428" s="32" t="inlineStr">
        <is>
          <t>TANKWAGON</t>
        </is>
      </c>
      <c r="B1428" s="24">
        <f>IFERROR(INDEX(Companies!$A$3:$A$101,MATCH(A1428,Companies!$B$3:$B$101,0)),"")</f>
        <v/>
      </c>
      <c r="D1428" t="inlineStr">
        <is>
          <t>E56111BC8D7E</t>
        </is>
      </c>
      <c r="E1428" s="24">
        <f>LEFT(D1428,2)&amp;":"&amp;MID(D1428,3,2)&amp;":"&amp;MID(D1428,5,2)&amp;":"&amp;MID(D1428,7,2)&amp;":"&amp;MID(D1428,9,2)&amp;":"&amp;RIGHT(D1428,2)</f>
        <v/>
      </c>
      <c r="H1428" s="2" t="inlineStr">
        <is>
          <t>D425ECBDED9D6111</t>
        </is>
      </c>
      <c r="J1428" t="inlineStr">
        <is>
          <t>VIEZO0000000000000249</t>
        </is>
      </c>
    </row>
    <row r="1429">
      <c r="A1429" s="32" t="inlineStr">
        <is>
          <t>TANKWAGON</t>
        </is>
      </c>
      <c r="B1429" s="24">
        <f>IFERROR(INDEX(Companies!$A$3:$A$101,MATCH(A1429,Companies!$B$3:$B$101,0)),"")</f>
        <v/>
      </c>
      <c r="D1429" t="inlineStr">
        <is>
          <t>C637294F0F4F</t>
        </is>
      </c>
      <c r="E1429" s="24">
        <f>LEFT(D1429,2)&amp;":"&amp;MID(D1429,3,2)&amp;":"&amp;MID(D1429,5,2)&amp;":"&amp;MID(D1429,7,2)&amp;":"&amp;MID(D1429,9,2)&amp;":"&amp;RIGHT(D1429,2)</f>
        <v/>
      </c>
      <c r="H1429" s="2" t="inlineStr">
        <is>
          <t>B2092CC45C2C3ED6</t>
        </is>
      </c>
      <c r="J1429" t="inlineStr">
        <is>
          <t>VIEZO0000000000000250</t>
        </is>
      </c>
    </row>
    <row r="1430">
      <c r="A1430" s="32" t="inlineStr">
        <is>
          <t>TANKWAGON</t>
        </is>
      </c>
      <c r="B1430" s="24">
        <f>IFERROR(INDEX(Companies!$A$3:$A$101,MATCH(A1430,Companies!$B$3:$B$101,0)),"")</f>
        <v/>
      </c>
      <c r="D1430" t="inlineStr">
        <is>
          <t>DAC419CEAE6A</t>
        </is>
      </c>
      <c r="E1430" s="24">
        <f>LEFT(D1430,2)&amp;":"&amp;MID(D1430,3,2)&amp;":"&amp;MID(D1430,5,2)&amp;":"&amp;MID(D1430,7,2)&amp;":"&amp;MID(D1430,9,2)&amp;":"&amp;RIGHT(D1430,2)</f>
        <v/>
      </c>
      <c r="H1430" s="2" t="inlineStr">
        <is>
          <t>F9EB48E0E6F77C4E</t>
        </is>
      </c>
      <c r="J1430" t="inlineStr">
        <is>
          <t>VIEZO0000000000000251</t>
        </is>
      </c>
    </row>
    <row r="1431">
      <c r="A1431" s="32" t="inlineStr">
        <is>
          <t>TANKWAGON</t>
        </is>
      </c>
      <c r="B1431" s="24">
        <f>IFERROR(INDEX(Companies!$A$3:$A$101,MATCH(A1431,Companies!$B$3:$B$101,0)),"")</f>
        <v/>
      </c>
      <c r="D1431" t="inlineStr">
        <is>
          <t>E05860461455</t>
        </is>
      </c>
      <c r="E1431" s="24">
        <f>LEFT(D1431,2)&amp;":"&amp;MID(D1431,3,2)&amp;":"&amp;MID(D1431,5,2)&amp;":"&amp;MID(D1431,7,2)&amp;":"&amp;MID(D1431,9,2)&amp;":"&amp;RIGHT(D1431,2)</f>
        <v/>
      </c>
      <c r="H1431" s="2" t="inlineStr">
        <is>
          <t>59B3A4C20A93ED7B</t>
        </is>
      </c>
      <c r="J1431" t="inlineStr">
        <is>
          <t>VIEZO0000000000000252</t>
        </is>
      </c>
    </row>
    <row r="1432">
      <c r="A1432" s="32" t="inlineStr">
        <is>
          <t>TANKWAGON</t>
        </is>
      </c>
      <c r="B1432" s="24">
        <f>IFERROR(INDEX(Companies!$A$3:$A$101,MATCH(A1432,Companies!$B$3:$B$101,0)),"")</f>
        <v/>
      </c>
      <c r="D1432" t="inlineStr">
        <is>
          <t>C11D6FE3BDA2</t>
        </is>
      </c>
      <c r="E1432" s="24">
        <f>LEFT(D1432,2)&amp;":"&amp;MID(D1432,3,2)&amp;":"&amp;MID(D1432,5,2)&amp;":"&amp;MID(D1432,7,2)&amp;":"&amp;MID(D1432,9,2)&amp;":"&amp;RIGHT(D1432,2)</f>
        <v/>
      </c>
      <c r="H1432" s="2" t="inlineStr">
        <is>
          <t>B84B8424587EA77B</t>
        </is>
      </c>
      <c r="J1432" t="inlineStr">
        <is>
          <t>VIEZO0000000000000253</t>
        </is>
      </c>
    </row>
    <row r="1433">
      <c r="A1433" s="32" t="inlineStr">
        <is>
          <t>TANKWAGON</t>
        </is>
      </c>
      <c r="B1433" s="24">
        <f>IFERROR(INDEX(Companies!$A$3:$A$101,MATCH(A1433,Companies!$B$3:$B$101,0)),"")</f>
        <v/>
      </c>
      <c r="D1433" t="inlineStr">
        <is>
          <t>E71AFEFDC9AC</t>
        </is>
      </c>
      <c r="E1433" s="24">
        <f>LEFT(D1433,2)&amp;":"&amp;MID(D1433,3,2)&amp;":"&amp;MID(D1433,5,2)&amp;":"&amp;MID(D1433,7,2)&amp;":"&amp;MID(D1433,9,2)&amp;":"&amp;RIGHT(D1433,2)</f>
        <v/>
      </c>
      <c r="H1433" s="2" t="inlineStr">
        <is>
          <t>2B86E1AE57CFB055</t>
        </is>
      </c>
      <c r="J1433" t="inlineStr">
        <is>
          <t>VIEZO0000000000000254</t>
        </is>
      </c>
    </row>
    <row r="1434">
      <c r="A1434" s="32" t="inlineStr">
        <is>
          <t>TANKWAGON</t>
        </is>
      </c>
      <c r="B1434" s="24">
        <f>IFERROR(INDEX(Companies!$A$3:$A$101,MATCH(A1434,Companies!$B$3:$B$101,0)),"")</f>
        <v/>
      </c>
      <c r="D1434" t="inlineStr">
        <is>
          <t>F8499952F5A4</t>
        </is>
      </c>
      <c r="E1434" s="24">
        <f>LEFT(D1434,2)&amp;":"&amp;MID(D1434,3,2)&amp;":"&amp;MID(D1434,5,2)&amp;":"&amp;MID(D1434,7,2)&amp;":"&amp;MID(D1434,9,2)&amp;":"&amp;RIGHT(D1434,2)</f>
        <v/>
      </c>
      <c r="H1434" s="2" t="inlineStr">
        <is>
          <t>C0ED68591B0CD980</t>
        </is>
      </c>
      <c r="J1434" t="inlineStr">
        <is>
          <t>VIEZO0000000000000255</t>
        </is>
      </c>
    </row>
    <row r="1435">
      <c r="A1435" s="32" t="inlineStr">
        <is>
          <t>TANKWAGON</t>
        </is>
      </c>
      <c r="B1435" s="24">
        <f>IFERROR(INDEX(Companies!$A$3:$A$101,MATCH(A1435,Companies!$B$3:$B$101,0)),"")</f>
        <v/>
      </c>
      <c r="D1435" t="inlineStr">
        <is>
          <t>C33637D071A3</t>
        </is>
      </c>
      <c r="E1435" s="24">
        <f>LEFT(D1435,2)&amp;":"&amp;MID(D1435,3,2)&amp;":"&amp;MID(D1435,5,2)&amp;":"&amp;MID(D1435,7,2)&amp;":"&amp;MID(D1435,9,2)&amp;":"&amp;RIGHT(D1435,2)</f>
        <v/>
      </c>
      <c r="H1435" s="2" t="inlineStr">
        <is>
          <t>1D0779BC5A366D02</t>
        </is>
      </c>
      <c r="J1435" t="inlineStr">
        <is>
          <t>VIEZO0000000000000256</t>
        </is>
      </c>
    </row>
    <row r="1436">
      <c r="A1436" s="32" t="inlineStr">
        <is>
          <t>TANKWAGON</t>
        </is>
      </c>
      <c r="B1436" s="24">
        <f>IFERROR(INDEX(Companies!$A$3:$A$101,MATCH(A1436,Companies!$B$3:$B$101,0)),"")</f>
        <v/>
      </c>
      <c r="D1436" t="inlineStr">
        <is>
          <t>F602B486A742</t>
        </is>
      </c>
      <c r="E1436" s="24">
        <f>LEFT(D1436,2)&amp;":"&amp;MID(D1436,3,2)&amp;":"&amp;MID(D1436,5,2)&amp;":"&amp;MID(D1436,7,2)&amp;":"&amp;MID(D1436,9,2)&amp;":"&amp;RIGHT(D1436,2)</f>
        <v/>
      </c>
      <c r="H1436" s="2" t="inlineStr">
        <is>
          <t>8CE6BC2F7969C4D6</t>
        </is>
      </c>
      <c r="J1436" t="inlineStr">
        <is>
          <t>VIEZO0000000000000257</t>
        </is>
      </c>
    </row>
    <row r="1437">
      <c r="A1437" s="32" t="inlineStr">
        <is>
          <t>TANKWAGON</t>
        </is>
      </c>
      <c r="B1437" s="24">
        <f>IFERROR(INDEX(Companies!$A$3:$A$101,MATCH(A1437,Companies!$B$3:$B$101,0)),"")</f>
        <v/>
      </c>
      <c r="D1437" t="inlineStr">
        <is>
          <t>E1B0D6366550</t>
        </is>
      </c>
      <c r="E1437" s="24">
        <f>LEFT(D1437,2)&amp;":"&amp;MID(D1437,3,2)&amp;":"&amp;MID(D1437,5,2)&amp;":"&amp;MID(D1437,7,2)&amp;":"&amp;MID(D1437,9,2)&amp;":"&amp;RIGHT(D1437,2)</f>
        <v/>
      </c>
      <c r="H1437" s="2" t="inlineStr">
        <is>
          <t>253DE63B15730472</t>
        </is>
      </c>
      <c r="J1437" t="inlineStr">
        <is>
          <t>VIEZO0000000000000258</t>
        </is>
      </c>
    </row>
    <row r="1438">
      <c r="A1438" s="32" t="inlineStr">
        <is>
          <t>TANKWAGON</t>
        </is>
      </c>
      <c r="B1438" s="24">
        <f>IFERROR(INDEX(Companies!$A$3:$A$101,MATCH(A1438,Companies!$B$3:$B$101,0)),"")</f>
        <v/>
      </c>
      <c r="D1438" t="inlineStr">
        <is>
          <t>D2DA39ED6D02</t>
        </is>
      </c>
      <c r="E1438" s="24">
        <f>LEFT(D1438,2)&amp;":"&amp;MID(D1438,3,2)&amp;":"&amp;MID(D1438,5,2)&amp;":"&amp;MID(D1438,7,2)&amp;":"&amp;MID(D1438,9,2)&amp;":"&amp;RIGHT(D1438,2)</f>
        <v/>
      </c>
      <c r="H1438" s="2" t="inlineStr">
        <is>
          <t>B44940D08BB63DA5</t>
        </is>
      </c>
      <c r="J1438" t="inlineStr">
        <is>
          <t>VIEZO0000000000000259</t>
        </is>
      </c>
    </row>
    <row r="1439">
      <c r="A1439" s="32" t="inlineStr">
        <is>
          <t>TANKWAGON</t>
        </is>
      </c>
      <c r="B1439" s="24">
        <f>IFERROR(INDEX(Companies!$A$3:$A$101,MATCH(A1439,Companies!$B$3:$B$101,0)),"")</f>
        <v/>
      </c>
      <c r="D1439" t="inlineStr">
        <is>
          <t>F0ED33D3DB78</t>
        </is>
      </c>
      <c r="E1439" s="24">
        <f>LEFT(D1439,2)&amp;":"&amp;MID(D1439,3,2)&amp;":"&amp;MID(D1439,5,2)&amp;":"&amp;MID(D1439,7,2)&amp;":"&amp;MID(D1439,9,2)&amp;":"&amp;RIGHT(D1439,2)</f>
        <v/>
      </c>
      <c r="H1439" s="2" t="inlineStr">
        <is>
          <t>07704D98F6DF67E9</t>
        </is>
      </c>
      <c r="J1439" t="inlineStr">
        <is>
          <t>VIEZO0000000000000260</t>
        </is>
      </c>
    </row>
    <row r="1440">
      <c r="A1440" s="32" t="inlineStr">
        <is>
          <t>TANKWAGON</t>
        </is>
      </c>
      <c r="B1440" s="24">
        <f>IFERROR(INDEX(Companies!$A$3:$A$101,MATCH(A1440,Companies!$B$3:$B$101,0)),"")</f>
        <v/>
      </c>
      <c r="D1440" t="inlineStr">
        <is>
          <t>F51F05530B3A</t>
        </is>
      </c>
      <c r="E1440" s="24">
        <f>LEFT(D1440,2)&amp;":"&amp;MID(D1440,3,2)&amp;":"&amp;MID(D1440,5,2)&amp;":"&amp;MID(D1440,7,2)&amp;":"&amp;MID(D1440,9,2)&amp;":"&amp;RIGHT(D1440,2)</f>
        <v/>
      </c>
      <c r="H1440" s="2" t="inlineStr">
        <is>
          <t>86607C5FEAB5C106</t>
        </is>
      </c>
      <c r="J1440" t="inlineStr">
        <is>
          <t>VIEZO0000000000000261</t>
        </is>
      </c>
    </row>
    <row r="1441">
      <c r="A1441" s="32" t="inlineStr">
        <is>
          <t>TANKWAGON</t>
        </is>
      </c>
      <c r="B1441" s="24">
        <f>IFERROR(INDEX(Companies!$A$3:$A$101,MATCH(A1441,Companies!$B$3:$B$101,0)),"")</f>
        <v/>
      </c>
      <c r="D1441" t="inlineStr">
        <is>
          <t>C6E55DE643D0</t>
        </is>
      </c>
      <c r="E1441" s="24">
        <f>LEFT(D1441,2)&amp;":"&amp;MID(D1441,3,2)&amp;":"&amp;MID(D1441,5,2)&amp;":"&amp;MID(D1441,7,2)&amp;":"&amp;MID(D1441,9,2)&amp;":"&amp;RIGHT(D1441,2)</f>
        <v/>
      </c>
      <c r="H1441" s="2" t="inlineStr">
        <is>
          <t>DAE82DB7B6078A9C</t>
        </is>
      </c>
      <c r="J1441" t="inlineStr">
        <is>
          <t>VIEZO0000000000000262</t>
        </is>
      </c>
    </row>
    <row r="1442">
      <c r="A1442" s="32" t="inlineStr">
        <is>
          <t>TANKWAGON</t>
        </is>
      </c>
      <c r="B1442" s="24">
        <f>IFERROR(INDEX(Companies!$A$3:$A$101,MATCH(A1442,Companies!$B$3:$B$101,0)),"")</f>
        <v/>
      </c>
      <c r="D1442" t="inlineStr">
        <is>
          <t>DF103A027F12</t>
        </is>
      </c>
      <c r="E1442" s="24">
        <f>LEFT(D1442,2)&amp;":"&amp;MID(D1442,3,2)&amp;":"&amp;MID(D1442,5,2)&amp;":"&amp;MID(D1442,7,2)&amp;":"&amp;MID(D1442,9,2)&amp;":"&amp;RIGHT(D1442,2)</f>
        <v/>
      </c>
      <c r="H1442" s="2" t="inlineStr">
        <is>
          <t>1BD5C60D0F1A6BA0</t>
        </is>
      </c>
      <c r="J1442" t="inlineStr">
        <is>
          <t>VIEZO0000000000000263</t>
        </is>
      </c>
    </row>
    <row r="1443">
      <c r="A1443" s="32" t="inlineStr">
        <is>
          <t>TANKWAGON</t>
        </is>
      </c>
      <c r="B1443" s="24">
        <f>IFERROR(INDEX(Companies!$A$3:$A$101,MATCH(A1443,Companies!$B$3:$B$101,0)),"")</f>
        <v/>
      </c>
      <c r="D1443" t="inlineStr">
        <is>
          <t>D87E582F028B</t>
        </is>
      </c>
      <c r="E1443" s="24">
        <f>LEFT(D1443,2)&amp;":"&amp;MID(D1443,3,2)&amp;":"&amp;MID(D1443,5,2)&amp;":"&amp;MID(D1443,7,2)&amp;":"&amp;MID(D1443,9,2)&amp;":"&amp;RIGHT(D1443,2)</f>
        <v/>
      </c>
      <c r="H1443" s="2" t="inlineStr">
        <is>
          <t>31955DE87D6A90EB</t>
        </is>
      </c>
      <c r="J1443" t="inlineStr">
        <is>
          <t>VIEZO0000000000000264</t>
        </is>
      </c>
    </row>
    <row r="1444">
      <c r="A1444" s="32" t="inlineStr">
        <is>
          <t>TANKWAGON</t>
        </is>
      </c>
      <c r="B1444" s="24">
        <f>IFERROR(INDEX(Companies!$A$3:$A$101,MATCH(A1444,Companies!$B$3:$B$101,0)),"")</f>
        <v/>
      </c>
      <c r="D1444" t="inlineStr">
        <is>
          <t>C9E84C1CD059</t>
        </is>
      </c>
      <c r="E1444" s="24">
        <f>LEFT(D1444,2)&amp;":"&amp;MID(D1444,3,2)&amp;":"&amp;MID(D1444,5,2)&amp;":"&amp;MID(D1444,7,2)&amp;":"&amp;MID(D1444,9,2)&amp;":"&amp;RIGHT(D1444,2)</f>
        <v/>
      </c>
      <c r="H1444" s="2" t="inlineStr">
        <is>
          <t>C3D368153915DE6B</t>
        </is>
      </c>
      <c r="J1444" t="inlineStr">
        <is>
          <t>VIEZO0000000000000265</t>
        </is>
      </c>
    </row>
    <row r="1445">
      <c r="A1445" s="32" t="inlineStr">
        <is>
          <t>TANKWAGON</t>
        </is>
      </c>
      <c r="B1445" s="24">
        <f>IFERROR(INDEX(Companies!$A$3:$A$101,MATCH(A1445,Companies!$B$3:$B$101,0)),"")</f>
        <v/>
      </c>
      <c r="D1445" t="inlineStr">
        <is>
          <t>D3CA3F9F764B</t>
        </is>
      </c>
      <c r="E1445" s="24">
        <f>LEFT(D1445,2)&amp;":"&amp;MID(D1445,3,2)&amp;":"&amp;MID(D1445,5,2)&amp;":"&amp;MID(D1445,7,2)&amp;":"&amp;MID(D1445,9,2)&amp;":"&amp;RIGHT(D1445,2)</f>
        <v/>
      </c>
      <c r="H1445" s="2" t="inlineStr">
        <is>
          <t>C6685532876A6D6E</t>
        </is>
      </c>
      <c r="J1445" t="inlineStr">
        <is>
          <t>VIEZO0000000000000266</t>
        </is>
      </c>
    </row>
    <row r="1446">
      <c r="A1446" s="32" t="inlineStr">
        <is>
          <t>TANKWAGON</t>
        </is>
      </c>
      <c r="B1446" s="24">
        <f>IFERROR(INDEX(Companies!$A$3:$A$101,MATCH(A1446,Companies!$B$3:$B$101,0)),"")</f>
        <v/>
      </c>
      <c r="D1446" t="inlineStr">
        <is>
          <t>E8538860FC76</t>
        </is>
      </c>
      <c r="E1446" s="24">
        <f>LEFT(D1446,2)&amp;":"&amp;MID(D1446,3,2)&amp;":"&amp;MID(D1446,5,2)&amp;":"&amp;MID(D1446,7,2)&amp;":"&amp;MID(D1446,9,2)&amp;":"&amp;RIGHT(D1446,2)</f>
        <v/>
      </c>
      <c r="H1446" s="2" t="inlineStr">
        <is>
          <t>969C9636FC04AC7F</t>
        </is>
      </c>
      <c r="J1446" t="inlineStr">
        <is>
          <t>VIEZO0000000000000267</t>
        </is>
      </c>
    </row>
    <row r="1447">
      <c r="A1447" s="32" t="inlineStr">
        <is>
          <t>TANKWAGON</t>
        </is>
      </c>
      <c r="B1447" s="24">
        <f>IFERROR(INDEX(Companies!$A$3:$A$101,MATCH(A1447,Companies!$B$3:$B$101,0)),"")</f>
        <v/>
      </c>
      <c r="D1447" t="inlineStr">
        <is>
          <t>D92D1AE5135D</t>
        </is>
      </c>
      <c r="E1447" s="24">
        <f>LEFT(D1447,2)&amp;":"&amp;MID(D1447,3,2)&amp;":"&amp;MID(D1447,5,2)&amp;":"&amp;MID(D1447,7,2)&amp;":"&amp;MID(D1447,9,2)&amp;":"&amp;RIGHT(D1447,2)</f>
        <v/>
      </c>
      <c r="H1447" s="2" t="inlineStr">
        <is>
          <t>9F7E8BF11A404B29</t>
        </is>
      </c>
      <c r="J1447" t="inlineStr">
        <is>
          <t>VIEZO0000000000000268</t>
        </is>
      </c>
    </row>
    <row r="1448">
      <c r="A1448" s="32" t="inlineStr">
        <is>
          <t>TANKWAGON</t>
        </is>
      </c>
      <c r="B1448" s="24">
        <f>IFERROR(INDEX(Companies!$A$3:$A$101,MATCH(A1448,Companies!$B$3:$B$101,0)),"")</f>
        <v/>
      </c>
      <c r="D1448" t="inlineStr">
        <is>
          <t>D9DCB722A280</t>
        </is>
      </c>
      <c r="E1448" s="24">
        <f>LEFT(D1448,2)&amp;":"&amp;MID(D1448,3,2)&amp;":"&amp;MID(D1448,5,2)&amp;":"&amp;MID(D1448,7,2)&amp;":"&amp;MID(D1448,9,2)&amp;":"&amp;RIGHT(D1448,2)</f>
        <v/>
      </c>
      <c r="H1448" s="2" t="inlineStr">
        <is>
          <t>689C22A48CC6A420</t>
        </is>
      </c>
      <c r="J1448" t="inlineStr">
        <is>
          <t>VIEZO0000000000000269</t>
        </is>
      </c>
    </row>
    <row r="1449">
      <c r="A1449" s="32" t="inlineStr">
        <is>
          <t>TANKWAGON</t>
        </is>
      </c>
      <c r="B1449" s="24">
        <f>IFERROR(INDEX(Companies!$A$3:$A$101,MATCH(A1449,Companies!$B$3:$B$101,0)),"")</f>
        <v/>
      </c>
      <c r="D1449" t="inlineStr">
        <is>
          <t>EFA03BC09AD2</t>
        </is>
      </c>
      <c r="E1449" s="24">
        <f>LEFT(D1449,2)&amp;":"&amp;MID(D1449,3,2)&amp;":"&amp;MID(D1449,5,2)&amp;":"&amp;MID(D1449,7,2)&amp;":"&amp;MID(D1449,9,2)&amp;":"&amp;RIGHT(D1449,2)</f>
        <v/>
      </c>
      <c r="H1449" s="2" t="inlineStr">
        <is>
          <t>5AFE698DF6FB25EC</t>
        </is>
      </c>
      <c r="J1449" t="inlineStr">
        <is>
          <t>VIEZO0000000000000270</t>
        </is>
      </c>
    </row>
    <row r="1450">
      <c r="A1450" s="32" t="inlineStr">
        <is>
          <t>TANKWAGON</t>
        </is>
      </c>
      <c r="B1450" s="24">
        <f>IFERROR(INDEX(Companies!$A$3:$A$101,MATCH(A1450,Companies!$B$3:$B$101,0)),"")</f>
        <v/>
      </c>
      <c r="D1450" t="inlineStr">
        <is>
          <t>C9D65171DE15</t>
        </is>
      </c>
      <c r="E1450" s="24">
        <f>LEFT(D1450,2)&amp;":"&amp;MID(D1450,3,2)&amp;":"&amp;MID(D1450,5,2)&amp;":"&amp;MID(D1450,7,2)&amp;":"&amp;MID(D1450,9,2)&amp;":"&amp;RIGHT(D1450,2)</f>
        <v/>
      </c>
      <c r="H1450" s="2" t="inlineStr">
        <is>
          <t>34422539F0117BAF</t>
        </is>
      </c>
      <c r="J1450" t="inlineStr">
        <is>
          <t>VIEZO0000000000000271</t>
        </is>
      </c>
    </row>
    <row r="1451">
      <c r="A1451" s="32" t="inlineStr">
        <is>
          <t>TANKWAGON</t>
        </is>
      </c>
      <c r="B1451" s="24">
        <f>IFERROR(INDEX(Companies!$A$3:$A$101,MATCH(A1451,Companies!$B$3:$B$101,0)),"")</f>
        <v/>
      </c>
      <c r="D1451" t="inlineStr">
        <is>
          <t>F0079A1743A8</t>
        </is>
      </c>
      <c r="E1451" s="24">
        <f>LEFT(D1451,2)&amp;":"&amp;MID(D1451,3,2)&amp;":"&amp;MID(D1451,5,2)&amp;":"&amp;MID(D1451,7,2)&amp;":"&amp;MID(D1451,9,2)&amp;":"&amp;RIGHT(D1451,2)</f>
        <v/>
      </c>
      <c r="H1451" s="2" t="inlineStr">
        <is>
          <t>A7BEE5F2EF780FF4</t>
        </is>
      </c>
      <c r="J1451" t="inlineStr">
        <is>
          <t>VIEZO0000000000000272</t>
        </is>
      </c>
    </row>
    <row r="1452">
      <c r="A1452" s="32" t="inlineStr">
        <is>
          <t>TANKWAGON</t>
        </is>
      </c>
      <c r="B1452" s="24">
        <f>IFERROR(INDEX(Companies!$A$3:$A$101,MATCH(A1452,Companies!$B$3:$B$101,0)),"")</f>
        <v/>
      </c>
      <c r="D1452" t="inlineStr">
        <is>
          <t>FFB59D11110F</t>
        </is>
      </c>
      <c r="E1452" s="24">
        <f>LEFT(D1452,2)&amp;":"&amp;MID(D1452,3,2)&amp;":"&amp;MID(D1452,5,2)&amp;":"&amp;MID(D1452,7,2)&amp;":"&amp;MID(D1452,9,2)&amp;":"&amp;RIGHT(D1452,2)</f>
        <v/>
      </c>
      <c r="H1452" s="2" t="inlineStr">
        <is>
          <t>2E91F65F8575277F</t>
        </is>
      </c>
      <c r="J1452" t="inlineStr">
        <is>
          <t>VIEZO0000000000000273</t>
        </is>
      </c>
    </row>
    <row r="1453">
      <c r="A1453" s="32" t="inlineStr">
        <is>
          <t>TANKWAGON</t>
        </is>
      </c>
      <c r="B1453" s="24">
        <f>IFERROR(INDEX(Companies!$A$3:$A$101,MATCH(A1453,Companies!$B$3:$B$101,0)),"")</f>
        <v/>
      </c>
      <c r="D1453" t="inlineStr">
        <is>
          <t>D81C6F2A6083</t>
        </is>
      </c>
      <c r="E1453" s="24">
        <f>LEFT(D1453,2)&amp;":"&amp;MID(D1453,3,2)&amp;":"&amp;MID(D1453,5,2)&amp;":"&amp;MID(D1453,7,2)&amp;":"&amp;MID(D1453,9,2)&amp;":"&amp;RIGHT(D1453,2)</f>
        <v/>
      </c>
      <c r="H1453" s="2" t="inlineStr">
        <is>
          <t>37B9B291EFE43276</t>
        </is>
      </c>
      <c r="J1453" t="inlineStr">
        <is>
          <t>VIEZO0000000000000274</t>
        </is>
      </c>
    </row>
    <row r="1454">
      <c r="A1454" s="32" t="inlineStr">
        <is>
          <t>TANKWAGON</t>
        </is>
      </c>
      <c r="B1454" s="24">
        <f>IFERROR(INDEX(Companies!$A$3:$A$101,MATCH(A1454,Companies!$B$3:$B$101,0)),"")</f>
        <v/>
      </c>
      <c r="D1454" t="inlineStr">
        <is>
          <t>F85064E393B7</t>
        </is>
      </c>
      <c r="E1454" s="24">
        <f>LEFT(D1454,2)&amp;":"&amp;MID(D1454,3,2)&amp;":"&amp;MID(D1454,5,2)&amp;":"&amp;MID(D1454,7,2)&amp;":"&amp;MID(D1454,9,2)&amp;":"&amp;RIGHT(D1454,2)</f>
        <v/>
      </c>
      <c r="H1454" s="2" t="inlineStr">
        <is>
          <t>F5971A03FB178DD6</t>
        </is>
      </c>
      <c r="J1454" t="inlineStr">
        <is>
          <t>VIEZO0000000000000275</t>
        </is>
      </c>
    </row>
    <row r="1455">
      <c r="A1455" s="32" t="inlineStr">
        <is>
          <t>TANKWAGON</t>
        </is>
      </c>
      <c r="B1455" s="24">
        <f>IFERROR(INDEX(Companies!$A$3:$A$101,MATCH(A1455,Companies!$B$3:$B$101,0)),"")</f>
        <v/>
      </c>
      <c r="D1455" t="inlineStr">
        <is>
          <t>EC0B6C4D64FC</t>
        </is>
      </c>
      <c r="E1455" s="24">
        <f>LEFT(D1455,2)&amp;":"&amp;MID(D1455,3,2)&amp;":"&amp;MID(D1455,5,2)&amp;":"&amp;MID(D1455,7,2)&amp;":"&amp;MID(D1455,9,2)&amp;":"&amp;RIGHT(D1455,2)</f>
        <v/>
      </c>
      <c r="H1455" s="2" t="inlineStr">
        <is>
          <t>631FA013448B4F27</t>
        </is>
      </c>
      <c r="J1455" t="inlineStr">
        <is>
          <t>VIEZO0000000000000276</t>
        </is>
      </c>
    </row>
    <row r="1456">
      <c r="A1456" s="32" t="inlineStr">
        <is>
          <t>TANKWAGON</t>
        </is>
      </c>
      <c r="B1456" s="24">
        <f>IFERROR(INDEX(Companies!$A$3:$A$101,MATCH(A1456,Companies!$B$3:$B$101,0)),"")</f>
        <v/>
      </c>
      <c r="D1456" t="inlineStr">
        <is>
          <t>DA41E6B493AB</t>
        </is>
      </c>
      <c r="E1456" s="24">
        <f>LEFT(D1456,2)&amp;":"&amp;MID(D1456,3,2)&amp;":"&amp;MID(D1456,5,2)&amp;":"&amp;MID(D1456,7,2)&amp;":"&amp;MID(D1456,9,2)&amp;":"&amp;RIGHT(D1456,2)</f>
        <v/>
      </c>
      <c r="H1456" s="2" t="inlineStr">
        <is>
          <t>24A8DF7E6E20AC26</t>
        </is>
      </c>
      <c r="J1456" t="inlineStr">
        <is>
          <t>VIEZO0000000000000277</t>
        </is>
      </c>
    </row>
    <row r="1457">
      <c r="A1457" s="32" t="inlineStr">
        <is>
          <t>TANKWAGON</t>
        </is>
      </c>
      <c r="B1457" s="24">
        <f>IFERROR(INDEX(Companies!$A$3:$A$101,MATCH(A1457,Companies!$B$3:$B$101,0)),"")</f>
        <v/>
      </c>
      <c r="D1457" t="inlineStr">
        <is>
          <t>C94AEB74CDB1</t>
        </is>
      </c>
      <c r="E1457" s="24">
        <f>LEFT(D1457,2)&amp;":"&amp;MID(D1457,3,2)&amp;":"&amp;MID(D1457,5,2)&amp;":"&amp;MID(D1457,7,2)&amp;":"&amp;MID(D1457,9,2)&amp;":"&amp;RIGHT(D1457,2)</f>
        <v/>
      </c>
      <c r="H1457" s="2" t="inlineStr">
        <is>
          <t>E605CE01A07DC012</t>
        </is>
      </c>
      <c r="J1457" t="inlineStr">
        <is>
          <t>VIEZO0000000000000278</t>
        </is>
      </c>
    </row>
    <row r="1458">
      <c r="A1458" s="32" t="inlineStr">
        <is>
          <t>TANKWAGON</t>
        </is>
      </c>
      <c r="B1458" s="24">
        <f>IFERROR(INDEX(Companies!$A$3:$A$101,MATCH(A1458,Companies!$B$3:$B$101,0)),"")</f>
        <v/>
      </c>
      <c r="D1458" t="inlineStr">
        <is>
          <t>C1D4711FF54A</t>
        </is>
      </c>
      <c r="E1458" s="24">
        <f>LEFT(D1458,2)&amp;":"&amp;MID(D1458,3,2)&amp;":"&amp;MID(D1458,5,2)&amp;":"&amp;MID(D1458,7,2)&amp;":"&amp;MID(D1458,9,2)&amp;":"&amp;RIGHT(D1458,2)</f>
        <v/>
      </c>
      <c r="H1458" s="2" t="inlineStr">
        <is>
          <t>F7623968C2461311</t>
        </is>
      </c>
      <c r="J1458" t="inlineStr">
        <is>
          <t>VIEZO0000000000000279</t>
        </is>
      </c>
    </row>
    <row r="1459">
      <c r="A1459" s="32" t="inlineStr">
        <is>
          <t>TANKWAGON</t>
        </is>
      </c>
      <c r="B1459" s="24">
        <f>IFERROR(INDEX(Companies!$A$3:$A$101,MATCH(A1459,Companies!$B$3:$B$101,0)),"")</f>
        <v/>
      </c>
      <c r="D1459" t="inlineStr">
        <is>
          <t>EDCCB3AA2F42</t>
        </is>
      </c>
      <c r="E1459" s="24">
        <f>LEFT(D1459,2)&amp;":"&amp;MID(D1459,3,2)&amp;":"&amp;MID(D1459,5,2)&amp;":"&amp;MID(D1459,7,2)&amp;":"&amp;MID(D1459,9,2)&amp;":"&amp;RIGHT(D1459,2)</f>
        <v/>
      </c>
      <c r="H1459" s="2" t="inlineStr">
        <is>
          <t>D5C74E16A7E89150</t>
        </is>
      </c>
      <c r="J1459" t="inlineStr">
        <is>
          <t>VIEZO0000000000000280</t>
        </is>
      </c>
    </row>
    <row r="1460">
      <c r="A1460" s="32" t="inlineStr">
        <is>
          <t>TANKWAGON</t>
        </is>
      </c>
      <c r="B1460" s="24">
        <f>IFERROR(INDEX(Companies!$A$3:$A$101,MATCH(A1460,Companies!$B$3:$B$101,0)),"")</f>
        <v/>
      </c>
      <c r="D1460" t="inlineStr">
        <is>
          <t>FF557B7522FB</t>
        </is>
      </c>
      <c r="E1460" s="24">
        <f>LEFT(D1460,2)&amp;":"&amp;MID(D1460,3,2)&amp;":"&amp;MID(D1460,5,2)&amp;":"&amp;MID(D1460,7,2)&amp;":"&amp;MID(D1460,9,2)&amp;":"&amp;RIGHT(D1460,2)</f>
        <v/>
      </c>
      <c r="H1460" s="2" t="inlineStr">
        <is>
          <t>100C13A8CB33D093</t>
        </is>
      </c>
      <c r="J1460" t="inlineStr">
        <is>
          <t>VIEZO0000000000000281</t>
        </is>
      </c>
    </row>
    <row r="1461">
      <c r="A1461" s="32" t="inlineStr">
        <is>
          <t>TANKWAGON</t>
        </is>
      </c>
      <c r="B1461" s="24">
        <f>IFERROR(INDEX(Companies!$A$3:$A$101,MATCH(A1461,Companies!$B$3:$B$101,0)),"")</f>
        <v/>
      </c>
      <c r="D1461" t="inlineStr">
        <is>
          <t>F790DC212E06</t>
        </is>
      </c>
      <c r="E1461" s="24">
        <f>LEFT(D1461,2)&amp;":"&amp;MID(D1461,3,2)&amp;":"&amp;MID(D1461,5,2)&amp;":"&amp;MID(D1461,7,2)&amp;":"&amp;MID(D1461,9,2)&amp;":"&amp;RIGHT(D1461,2)</f>
        <v/>
      </c>
      <c r="H1461" s="2" t="inlineStr">
        <is>
          <t>74047C489ADBFD57</t>
        </is>
      </c>
      <c r="J1461" t="inlineStr">
        <is>
          <t>VIEZO0000000000000282</t>
        </is>
      </c>
    </row>
    <row r="1462">
      <c r="A1462" s="32" t="inlineStr">
        <is>
          <t>TANKWAGON</t>
        </is>
      </c>
      <c r="B1462" s="24">
        <f>IFERROR(INDEX(Companies!$A$3:$A$101,MATCH(A1462,Companies!$B$3:$B$101,0)),"")</f>
        <v/>
      </c>
      <c r="D1462" t="inlineStr">
        <is>
          <t>CC28BD076999</t>
        </is>
      </c>
      <c r="E1462" s="24">
        <f>LEFT(D1462,2)&amp;":"&amp;MID(D1462,3,2)&amp;":"&amp;MID(D1462,5,2)&amp;":"&amp;MID(D1462,7,2)&amp;":"&amp;MID(D1462,9,2)&amp;":"&amp;RIGHT(D1462,2)</f>
        <v/>
      </c>
      <c r="H1462" s="2" t="inlineStr">
        <is>
          <t>FAFAD7ADCB2B6340</t>
        </is>
      </c>
      <c r="J1462" t="inlineStr">
        <is>
          <t>VIEZO0000000000000283</t>
        </is>
      </c>
    </row>
    <row r="1463">
      <c r="A1463" s="32" t="inlineStr">
        <is>
          <t>TANKWAGON</t>
        </is>
      </c>
      <c r="B1463" s="24">
        <f>IFERROR(INDEX(Companies!$A$3:$A$101,MATCH(A1463,Companies!$B$3:$B$101,0)),"")</f>
        <v/>
      </c>
      <c r="D1463" t="inlineStr">
        <is>
          <t>E498910862E1</t>
        </is>
      </c>
      <c r="E1463" s="24">
        <f>LEFT(D1463,2)&amp;":"&amp;MID(D1463,3,2)&amp;":"&amp;MID(D1463,5,2)&amp;":"&amp;MID(D1463,7,2)&amp;":"&amp;MID(D1463,9,2)&amp;":"&amp;RIGHT(D1463,2)</f>
        <v/>
      </c>
      <c r="H1463" s="2" t="inlineStr">
        <is>
          <t>D9918E2E1383AEDB</t>
        </is>
      </c>
      <c r="J1463" t="inlineStr">
        <is>
          <t>VIEZO0000000000000284</t>
        </is>
      </c>
    </row>
    <row r="1464">
      <c r="A1464" s="32" t="inlineStr">
        <is>
          <t>TANKWAGON</t>
        </is>
      </c>
      <c r="B1464" s="24">
        <f>IFERROR(INDEX(Companies!$A$3:$A$101,MATCH(A1464,Companies!$B$3:$B$101,0)),"")</f>
        <v/>
      </c>
      <c r="D1464" t="inlineStr">
        <is>
          <t>FDD749576C13</t>
        </is>
      </c>
      <c r="E1464" s="24">
        <f>LEFT(D1464,2)&amp;":"&amp;MID(D1464,3,2)&amp;":"&amp;MID(D1464,5,2)&amp;":"&amp;MID(D1464,7,2)&amp;":"&amp;MID(D1464,9,2)&amp;":"&amp;RIGHT(D1464,2)</f>
        <v/>
      </c>
      <c r="H1464" s="2" t="inlineStr">
        <is>
          <t>23A19441850DC537</t>
        </is>
      </c>
      <c r="J1464" t="inlineStr">
        <is>
          <t>VIEZO0000000000000285</t>
        </is>
      </c>
    </row>
    <row r="1465">
      <c r="A1465" s="32" t="inlineStr">
        <is>
          <t>TANKWAGON</t>
        </is>
      </c>
      <c r="B1465" s="24">
        <f>IFERROR(INDEX(Companies!$A$3:$A$101,MATCH(A1465,Companies!$B$3:$B$101,0)),"")</f>
        <v/>
      </c>
      <c r="D1465" t="inlineStr">
        <is>
          <t>D2B910635B75</t>
        </is>
      </c>
      <c r="E1465" s="24">
        <f>LEFT(D1465,2)&amp;":"&amp;MID(D1465,3,2)&amp;":"&amp;MID(D1465,5,2)&amp;":"&amp;MID(D1465,7,2)&amp;":"&amp;MID(D1465,9,2)&amp;":"&amp;RIGHT(D1465,2)</f>
        <v/>
      </c>
      <c r="H1465" s="2" t="inlineStr">
        <is>
          <t>37E160F449605864</t>
        </is>
      </c>
      <c r="J1465" t="inlineStr">
        <is>
          <t>VIEZO0000000000000286</t>
        </is>
      </c>
    </row>
    <row r="1466">
      <c r="A1466" s="32" t="inlineStr">
        <is>
          <t>TANKWAGON</t>
        </is>
      </c>
      <c r="B1466" s="24">
        <f>IFERROR(INDEX(Companies!$A$3:$A$101,MATCH(A1466,Companies!$B$3:$B$101,0)),"")</f>
        <v/>
      </c>
      <c r="D1466" t="inlineStr">
        <is>
          <t>E33583423906</t>
        </is>
      </c>
      <c r="E1466" s="24">
        <f>LEFT(D1466,2)&amp;":"&amp;MID(D1466,3,2)&amp;":"&amp;MID(D1466,5,2)&amp;":"&amp;MID(D1466,7,2)&amp;":"&amp;MID(D1466,9,2)&amp;":"&amp;RIGHT(D1466,2)</f>
        <v/>
      </c>
      <c r="H1466" s="2" t="inlineStr">
        <is>
          <t>40AA115B18E61CDC</t>
        </is>
      </c>
      <c r="J1466" t="inlineStr">
        <is>
          <t>VIEZO0000000000000287</t>
        </is>
      </c>
    </row>
    <row r="1467">
      <c r="A1467" s="32" t="inlineStr">
        <is>
          <t>TANKWAGON</t>
        </is>
      </c>
      <c r="B1467" s="24">
        <f>IFERROR(INDEX(Companies!$A$3:$A$101,MATCH(A1467,Companies!$B$3:$B$101,0)),"")</f>
        <v/>
      </c>
      <c r="D1467" t="inlineStr">
        <is>
          <t>FB9D3BCB20EB</t>
        </is>
      </c>
      <c r="E1467" s="24">
        <f>LEFT(D1467,2)&amp;":"&amp;MID(D1467,3,2)&amp;":"&amp;MID(D1467,5,2)&amp;":"&amp;MID(D1467,7,2)&amp;":"&amp;MID(D1467,9,2)&amp;":"&amp;RIGHT(D1467,2)</f>
        <v/>
      </c>
      <c r="H1467" s="2" t="inlineStr">
        <is>
          <t>84563842B31D72E4</t>
        </is>
      </c>
      <c r="J1467" t="inlineStr">
        <is>
          <t>VIEZO0000000000000288</t>
        </is>
      </c>
    </row>
    <row r="1468">
      <c r="A1468" s="32" t="inlineStr">
        <is>
          <t>TANKWAGON</t>
        </is>
      </c>
      <c r="B1468" s="24">
        <f>IFERROR(INDEX(Companies!$A$3:$A$101,MATCH(A1468,Companies!$B$3:$B$101,0)),"")</f>
        <v/>
      </c>
      <c r="D1468" t="inlineStr">
        <is>
          <t>E1EDEDA7DEE6</t>
        </is>
      </c>
      <c r="E1468" s="24">
        <f>LEFT(D1468,2)&amp;":"&amp;MID(D1468,3,2)&amp;":"&amp;MID(D1468,5,2)&amp;":"&amp;MID(D1468,7,2)&amp;":"&amp;MID(D1468,9,2)&amp;":"&amp;RIGHT(D1468,2)</f>
        <v/>
      </c>
      <c r="H1468" s="2" t="inlineStr">
        <is>
          <t>D379749874EBFE1B</t>
        </is>
      </c>
      <c r="J1468" t="inlineStr">
        <is>
          <t>VIEZO0000000000000289</t>
        </is>
      </c>
    </row>
    <row r="1469">
      <c r="A1469" s="32" t="inlineStr">
        <is>
          <t>TANKWAGON</t>
        </is>
      </c>
      <c r="B1469" s="24">
        <f>IFERROR(INDEX(Companies!$A$3:$A$101,MATCH(A1469,Companies!$B$3:$B$101,0)),"")</f>
        <v/>
      </c>
      <c r="D1469" t="inlineStr">
        <is>
          <t>DAB398631DD4</t>
        </is>
      </c>
      <c r="E1469" s="24">
        <f>LEFT(D1469,2)&amp;":"&amp;MID(D1469,3,2)&amp;":"&amp;MID(D1469,5,2)&amp;":"&amp;MID(D1469,7,2)&amp;":"&amp;MID(D1469,9,2)&amp;":"&amp;RIGHT(D1469,2)</f>
        <v/>
      </c>
      <c r="H1469" s="2" t="inlineStr">
        <is>
          <t>6E62D029BD4A028C</t>
        </is>
      </c>
      <c r="J1469" t="inlineStr">
        <is>
          <t>VIEZO0000000000000290</t>
        </is>
      </c>
    </row>
    <row r="1470">
      <c r="A1470" s="32" t="inlineStr">
        <is>
          <t>TANKWAGON</t>
        </is>
      </c>
      <c r="B1470" s="24">
        <f>IFERROR(INDEX(Companies!$A$3:$A$101,MATCH(A1470,Companies!$B$3:$B$101,0)),"")</f>
        <v/>
      </c>
      <c r="D1470" t="inlineStr">
        <is>
          <t>D975E652EC8C</t>
        </is>
      </c>
      <c r="E1470" s="24">
        <f>LEFT(D1470,2)&amp;":"&amp;MID(D1470,3,2)&amp;":"&amp;MID(D1470,5,2)&amp;":"&amp;MID(D1470,7,2)&amp;":"&amp;MID(D1470,9,2)&amp;":"&amp;RIGHT(D1470,2)</f>
        <v/>
      </c>
      <c r="H1470" s="2" t="inlineStr">
        <is>
          <t>587272094117C855</t>
        </is>
      </c>
      <c r="J1470" t="inlineStr">
        <is>
          <t>VIEZO0000000000000291</t>
        </is>
      </c>
    </row>
    <row r="1471">
      <c r="A1471" s="32" t="inlineStr">
        <is>
          <t>TANKWAGON</t>
        </is>
      </c>
      <c r="B1471" s="24">
        <f>IFERROR(INDEX(Companies!$A$3:$A$101,MATCH(A1471,Companies!$B$3:$B$101,0)),"")</f>
        <v/>
      </c>
      <c r="D1471" t="inlineStr">
        <is>
          <t>D1735096A54D</t>
        </is>
      </c>
      <c r="E1471" s="24">
        <f>LEFT(D1471,2)&amp;":"&amp;MID(D1471,3,2)&amp;":"&amp;MID(D1471,5,2)&amp;":"&amp;MID(D1471,7,2)&amp;":"&amp;MID(D1471,9,2)&amp;":"&amp;RIGHT(D1471,2)</f>
        <v/>
      </c>
      <c r="H1471" s="2" t="inlineStr">
        <is>
          <t>553B9B5DE1198E97</t>
        </is>
      </c>
      <c r="J1471" t="inlineStr">
        <is>
          <t>VIEZO0000000000000292</t>
        </is>
      </c>
    </row>
    <row r="1472">
      <c r="A1472" s="32" t="inlineStr">
        <is>
          <t>TANKWAGON</t>
        </is>
      </c>
      <c r="B1472" s="24">
        <f>IFERROR(INDEX(Companies!$A$3:$A$101,MATCH(A1472,Companies!$B$3:$B$101,0)),"")</f>
        <v/>
      </c>
      <c r="D1472" t="inlineStr">
        <is>
          <t>E76777BB916E</t>
        </is>
      </c>
      <c r="E1472" s="24">
        <f>LEFT(D1472,2)&amp;":"&amp;MID(D1472,3,2)&amp;":"&amp;MID(D1472,5,2)&amp;":"&amp;MID(D1472,7,2)&amp;":"&amp;MID(D1472,9,2)&amp;":"&amp;RIGHT(D1472,2)</f>
        <v/>
      </c>
      <c r="H1472" s="2" t="inlineStr">
        <is>
          <t>398FB156B74FF18F</t>
        </is>
      </c>
      <c r="J1472" t="inlineStr">
        <is>
          <t>VIEZO0000000000000293</t>
        </is>
      </c>
    </row>
    <row r="1473">
      <c r="A1473" s="32" t="inlineStr">
        <is>
          <t>TANKWAGON</t>
        </is>
      </c>
      <c r="B1473" s="24">
        <f>IFERROR(INDEX(Companies!$A$3:$A$101,MATCH(A1473,Companies!$B$3:$B$101,0)),"")</f>
        <v/>
      </c>
      <c r="D1473" t="inlineStr">
        <is>
          <t>E8B972CA8B06</t>
        </is>
      </c>
      <c r="E1473" s="24">
        <f>LEFT(D1473,2)&amp;":"&amp;MID(D1473,3,2)&amp;":"&amp;MID(D1473,5,2)&amp;":"&amp;MID(D1473,7,2)&amp;":"&amp;MID(D1473,9,2)&amp;":"&amp;RIGHT(D1473,2)</f>
        <v/>
      </c>
      <c r="H1473" s="2" t="inlineStr">
        <is>
          <t>15D0AF1C4B45F6C9</t>
        </is>
      </c>
      <c r="J1473" t="inlineStr">
        <is>
          <t>VIEZO0000000000000294</t>
        </is>
      </c>
    </row>
    <row r="1474">
      <c r="A1474" s="32" t="inlineStr">
        <is>
          <t>TANKWAGON</t>
        </is>
      </c>
      <c r="B1474" s="24">
        <f>IFERROR(INDEX(Companies!$A$3:$A$101,MATCH(A1474,Companies!$B$3:$B$101,0)),"")</f>
        <v/>
      </c>
      <c r="D1474" t="inlineStr">
        <is>
          <t>F120AD07BC8F</t>
        </is>
      </c>
      <c r="E1474" s="24">
        <f>LEFT(D1474,2)&amp;":"&amp;MID(D1474,3,2)&amp;":"&amp;MID(D1474,5,2)&amp;":"&amp;MID(D1474,7,2)&amp;":"&amp;MID(D1474,9,2)&amp;":"&amp;RIGHT(D1474,2)</f>
        <v/>
      </c>
      <c r="H1474" s="2" t="inlineStr">
        <is>
          <t>A268F43D391742FD</t>
        </is>
      </c>
      <c r="J1474" t="inlineStr">
        <is>
          <t>VIEZO0000000000000295</t>
        </is>
      </c>
    </row>
    <row r="1475">
      <c r="A1475" s="32" t="inlineStr">
        <is>
          <t>TANKWAGON</t>
        </is>
      </c>
      <c r="B1475" s="24">
        <f>IFERROR(INDEX(Companies!$A$3:$A$101,MATCH(A1475,Companies!$B$3:$B$101,0)),"")</f>
        <v/>
      </c>
      <c r="D1475" t="inlineStr">
        <is>
          <t>D04CBECF2C88</t>
        </is>
      </c>
      <c r="E1475" s="24">
        <f>LEFT(D1475,2)&amp;":"&amp;MID(D1475,3,2)&amp;":"&amp;MID(D1475,5,2)&amp;":"&amp;MID(D1475,7,2)&amp;":"&amp;MID(D1475,9,2)&amp;":"&amp;RIGHT(D1475,2)</f>
        <v/>
      </c>
      <c r="H1475" s="2" t="inlineStr">
        <is>
          <t>DA2871539F5A1560</t>
        </is>
      </c>
      <c r="J1475" t="inlineStr">
        <is>
          <t>VIEZO0000000000000296</t>
        </is>
      </c>
    </row>
    <row r="1476">
      <c r="A1476" s="32" t="inlineStr">
        <is>
          <t>TANKWAGON</t>
        </is>
      </c>
      <c r="B1476" s="24">
        <f>IFERROR(INDEX(Companies!$A$3:$A$101,MATCH(A1476,Companies!$B$3:$B$101,0)),"")</f>
        <v/>
      </c>
      <c r="D1476" t="inlineStr">
        <is>
          <t>E8D648CCE5E6</t>
        </is>
      </c>
      <c r="E1476" s="24">
        <f>LEFT(D1476,2)&amp;":"&amp;MID(D1476,3,2)&amp;":"&amp;MID(D1476,5,2)&amp;":"&amp;MID(D1476,7,2)&amp;":"&amp;MID(D1476,9,2)&amp;":"&amp;RIGHT(D1476,2)</f>
        <v/>
      </c>
      <c r="H1476" s="2" t="inlineStr">
        <is>
          <t>032B39F691309B6C</t>
        </is>
      </c>
      <c r="J1476" t="inlineStr">
        <is>
          <t>VIEZO0000000000000297</t>
        </is>
      </c>
    </row>
    <row r="1477">
      <c r="A1477" s="32" t="inlineStr">
        <is>
          <t>TANKWAGON</t>
        </is>
      </c>
      <c r="B1477" s="24">
        <f>IFERROR(INDEX(Companies!$A$3:$A$101,MATCH(A1477,Companies!$B$3:$B$101,0)),"")</f>
        <v/>
      </c>
      <c r="D1477" t="inlineStr">
        <is>
          <t>F7C923FA2BED</t>
        </is>
      </c>
      <c r="E1477" s="24">
        <f>LEFT(D1477,2)&amp;":"&amp;MID(D1477,3,2)&amp;":"&amp;MID(D1477,5,2)&amp;":"&amp;MID(D1477,7,2)&amp;":"&amp;MID(D1477,9,2)&amp;":"&amp;RIGHT(D1477,2)</f>
        <v/>
      </c>
      <c r="H1477" s="2" t="inlineStr">
        <is>
          <t>523B2684584181E0</t>
        </is>
      </c>
      <c r="J1477" t="inlineStr">
        <is>
          <t>VIEZO0000000000000298</t>
        </is>
      </c>
    </row>
    <row r="1478">
      <c r="A1478" s="32" t="inlineStr">
        <is>
          <t>TANKWAGON</t>
        </is>
      </c>
      <c r="B1478" s="24">
        <f>IFERROR(INDEX(Companies!$A$3:$A$101,MATCH(A1478,Companies!$B$3:$B$101,0)),"")</f>
        <v/>
      </c>
      <c r="D1478" t="inlineStr">
        <is>
          <t>E91C3CA5E40C</t>
        </is>
      </c>
      <c r="E1478" s="24">
        <f>LEFT(D1478,2)&amp;":"&amp;MID(D1478,3,2)&amp;":"&amp;MID(D1478,5,2)&amp;":"&amp;MID(D1478,7,2)&amp;":"&amp;MID(D1478,9,2)&amp;":"&amp;RIGHT(D1478,2)</f>
        <v/>
      </c>
      <c r="H1478" s="2" t="inlineStr">
        <is>
          <t>54906513B76386BB</t>
        </is>
      </c>
      <c r="J1478" t="inlineStr">
        <is>
          <t>VIEZO0000000000000299</t>
        </is>
      </c>
    </row>
    <row r="1479">
      <c r="A1479" s="32" t="inlineStr">
        <is>
          <t>TANKWAGON</t>
        </is>
      </c>
      <c r="B1479" s="24">
        <f>IFERROR(INDEX(Companies!$A$3:$A$101,MATCH(A1479,Companies!$B$3:$B$101,0)),"")</f>
        <v/>
      </c>
      <c r="D1479" t="inlineStr">
        <is>
          <t>ECECEB737023</t>
        </is>
      </c>
      <c r="E1479" s="24">
        <f>LEFT(D1479,2)&amp;":"&amp;MID(D1479,3,2)&amp;":"&amp;MID(D1479,5,2)&amp;":"&amp;MID(D1479,7,2)&amp;":"&amp;MID(D1479,9,2)&amp;":"&amp;RIGHT(D1479,2)</f>
        <v/>
      </c>
      <c r="H1479" s="2" t="inlineStr">
        <is>
          <t>12F5819163D91C61</t>
        </is>
      </c>
      <c r="J1479" t="inlineStr">
        <is>
          <t>VIEZO0000000000000300</t>
        </is>
      </c>
    </row>
    <row r="1480">
      <c r="A1480" s="32" t="inlineStr">
        <is>
          <t>TANKWAGON</t>
        </is>
      </c>
      <c r="B1480" s="24">
        <f>IFERROR(INDEX(Companies!$A$3:$A$101,MATCH(A1480,Companies!$B$3:$B$101,0)),"")</f>
        <v/>
      </c>
      <c r="D1480" t="inlineStr">
        <is>
          <t>EB8EC69C5146</t>
        </is>
      </c>
      <c r="E1480" s="24">
        <f>LEFT(D1480,2)&amp;":"&amp;MID(D1480,3,2)&amp;":"&amp;MID(D1480,5,2)&amp;":"&amp;MID(D1480,7,2)&amp;":"&amp;MID(D1480,9,2)&amp;":"&amp;RIGHT(D1480,2)</f>
        <v/>
      </c>
      <c r="H1480" s="2" t="inlineStr">
        <is>
          <t>2914DD1D89DB2A0A</t>
        </is>
      </c>
      <c r="J1480" t="inlineStr">
        <is>
          <t>VIEZO0000000000000301</t>
        </is>
      </c>
    </row>
    <row r="1481">
      <c r="A1481" s="32" t="inlineStr">
        <is>
          <t>TANKWAGON</t>
        </is>
      </c>
      <c r="B1481" s="24">
        <f>IFERROR(INDEX(Companies!$A$3:$A$101,MATCH(A1481,Companies!$B$3:$B$101,0)),"")</f>
        <v/>
      </c>
      <c r="D1481" t="inlineStr">
        <is>
          <t>E8891CF291B6</t>
        </is>
      </c>
      <c r="E1481" s="24">
        <f>LEFT(D1481,2)&amp;":"&amp;MID(D1481,3,2)&amp;":"&amp;MID(D1481,5,2)&amp;":"&amp;MID(D1481,7,2)&amp;":"&amp;MID(D1481,9,2)&amp;":"&amp;RIGHT(D1481,2)</f>
        <v/>
      </c>
      <c r="H1481" s="2" t="inlineStr">
        <is>
          <t>CD01E60EF45017C0</t>
        </is>
      </c>
      <c r="J1481" t="inlineStr">
        <is>
          <t>VIEZO0000000000000302</t>
        </is>
      </c>
    </row>
    <row r="1482">
      <c r="A1482" s="32" t="inlineStr">
        <is>
          <t>TANKWAGON</t>
        </is>
      </c>
      <c r="B1482" s="24">
        <f>IFERROR(INDEX(Companies!$A$3:$A$101,MATCH(A1482,Companies!$B$3:$B$101,0)),"")</f>
        <v/>
      </c>
      <c r="D1482" t="inlineStr">
        <is>
          <t>CC89515694B8</t>
        </is>
      </c>
      <c r="E1482" s="24">
        <f>LEFT(D1482,2)&amp;":"&amp;MID(D1482,3,2)&amp;":"&amp;MID(D1482,5,2)&amp;":"&amp;MID(D1482,7,2)&amp;":"&amp;MID(D1482,9,2)&amp;":"&amp;RIGHT(D1482,2)</f>
        <v/>
      </c>
      <c r="H1482" s="2" t="inlineStr">
        <is>
          <t>4C3514E9C2012550</t>
        </is>
      </c>
      <c r="J1482" t="inlineStr">
        <is>
          <t>VIEZO0000000000000303</t>
        </is>
      </c>
    </row>
    <row r="1483">
      <c r="A1483" s="32" t="inlineStr">
        <is>
          <t>TANKWAGON</t>
        </is>
      </c>
      <c r="B1483" s="24">
        <f>IFERROR(INDEX(Companies!$A$3:$A$101,MATCH(A1483,Companies!$B$3:$B$101,0)),"")</f>
        <v/>
      </c>
      <c r="D1483" t="inlineStr">
        <is>
          <t>C1ED4F1EDDF2</t>
        </is>
      </c>
      <c r="E1483" s="24">
        <f>LEFT(D1483,2)&amp;":"&amp;MID(D1483,3,2)&amp;":"&amp;MID(D1483,5,2)&amp;":"&amp;MID(D1483,7,2)&amp;":"&amp;MID(D1483,9,2)&amp;":"&amp;RIGHT(D1483,2)</f>
        <v/>
      </c>
      <c r="H1483" s="2" t="inlineStr">
        <is>
          <t>228B52FE68127351</t>
        </is>
      </c>
      <c r="J1483" t="inlineStr">
        <is>
          <t>VIEZO0000000000000304</t>
        </is>
      </c>
    </row>
    <row r="1484">
      <c r="A1484" s="32" t="inlineStr">
        <is>
          <t>TANKWAGON</t>
        </is>
      </c>
      <c r="B1484" s="24">
        <f>IFERROR(INDEX(Companies!$A$3:$A$101,MATCH(A1484,Companies!$B$3:$B$101,0)),"")</f>
        <v/>
      </c>
      <c r="D1484" t="inlineStr">
        <is>
          <t>E79D82C69351</t>
        </is>
      </c>
      <c r="E1484" s="24">
        <f>LEFT(D1484,2)&amp;":"&amp;MID(D1484,3,2)&amp;":"&amp;MID(D1484,5,2)&amp;":"&amp;MID(D1484,7,2)&amp;":"&amp;MID(D1484,9,2)&amp;":"&amp;RIGHT(D1484,2)</f>
        <v/>
      </c>
      <c r="H1484" s="2" t="inlineStr">
        <is>
          <t>30926F154D650AF5</t>
        </is>
      </c>
      <c r="J1484" t="inlineStr">
        <is>
          <t>VIEZO0000000000000305</t>
        </is>
      </c>
    </row>
    <row r="1485">
      <c r="A1485" s="32" t="inlineStr">
        <is>
          <t>TANKWAGON</t>
        </is>
      </c>
      <c r="B1485" s="24">
        <f>IFERROR(INDEX(Companies!$A$3:$A$101,MATCH(A1485,Companies!$B$3:$B$101,0)),"")</f>
        <v/>
      </c>
      <c r="D1485" t="inlineStr">
        <is>
          <t>E6930E4BD238</t>
        </is>
      </c>
      <c r="E1485" s="24">
        <f>LEFT(D1485,2)&amp;":"&amp;MID(D1485,3,2)&amp;":"&amp;MID(D1485,5,2)&amp;":"&amp;MID(D1485,7,2)&amp;":"&amp;MID(D1485,9,2)&amp;":"&amp;RIGHT(D1485,2)</f>
        <v/>
      </c>
      <c r="H1485" s="2" t="inlineStr">
        <is>
          <t>A4D29AACB7C87446</t>
        </is>
      </c>
      <c r="J1485" t="inlineStr">
        <is>
          <t>VIEZO0000000000000306</t>
        </is>
      </c>
    </row>
    <row r="1486">
      <c r="A1486" s="32" t="inlineStr">
        <is>
          <t>TANKWAGON</t>
        </is>
      </c>
      <c r="B1486" s="24">
        <f>IFERROR(INDEX(Companies!$A$3:$A$101,MATCH(A1486,Companies!$B$3:$B$101,0)),"")</f>
        <v/>
      </c>
      <c r="D1486" t="inlineStr">
        <is>
          <t>E355AE2F4880</t>
        </is>
      </c>
      <c r="E1486" s="24">
        <f>LEFT(D1486,2)&amp;":"&amp;MID(D1486,3,2)&amp;":"&amp;MID(D1486,5,2)&amp;":"&amp;MID(D1486,7,2)&amp;":"&amp;MID(D1486,9,2)&amp;":"&amp;RIGHT(D1486,2)</f>
        <v/>
      </c>
      <c r="H1486" s="2" t="inlineStr">
        <is>
          <t>249F06A71C61770C</t>
        </is>
      </c>
      <c r="J1486" t="inlineStr">
        <is>
          <t>VIEZO0000000000000307</t>
        </is>
      </c>
    </row>
    <row r="1487">
      <c r="A1487" s="32" t="inlineStr">
        <is>
          <t>TANKWAGON</t>
        </is>
      </c>
      <c r="B1487" s="24">
        <f>IFERROR(INDEX(Companies!$A$3:$A$101,MATCH(A1487,Companies!$B$3:$B$101,0)),"")</f>
        <v/>
      </c>
      <c r="D1487" t="inlineStr">
        <is>
          <t>EE82972EE637</t>
        </is>
      </c>
      <c r="E1487" s="24">
        <f>LEFT(D1487,2)&amp;":"&amp;MID(D1487,3,2)&amp;":"&amp;MID(D1487,5,2)&amp;":"&amp;MID(D1487,7,2)&amp;":"&amp;MID(D1487,9,2)&amp;":"&amp;RIGHT(D1487,2)</f>
        <v/>
      </c>
      <c r="H1487" s="2" t="inlineStr">
        <is>
          <t>5D64D0636B929B71</t>
        </is>
      </c>
      <c r="J1487" t="inlineStr">
        <is>
          <t>VIEZO0000000000000308</t>
        </is>
      </c>
    </row>
    <row r="1488">
      <c r="A1488" s="32" t="inlineStr">
        <is>
          <t>TANKWAGON</t>
        </is>
      </c>
      <c r="B1488" s="24">
        <f>IFERROR(INDEX(Companies!$A$3:$A$101,MATCH(A1488,Companies!$B$3:$B$101,0)),"")</f>
        <v/>
      </c>
      <c r="D1488" t="inlineStr">
        <is>
          <t>FDE8361C64FB</t>
        </is>
      </c>
      <c r="E1488" s="24">
        <f>LEFT(D1488,2)&amp;":"&amp;MID(D1488,3,2)&amp;":"&amp;MID(D1488,5,2)&amp;":"&amp;MID(D1488,7,2)&amp;":"&amp;MID(D1488,9,2)&amp;":"&amp;RIGHT(D1488,2)</f>
        <v/>
      </c>
      <c r="H1488" s="2" t="inlineStr">
        <is>
          <t>4C8894A53DA64CDC</t>
        </is>
      </c>
      <c r="J1488" t="inlineStr">
        <is>
          <t>VIEZO0000000000000309</t>
        </is>
      </c>
    </row>
    <row r="1489">
      <c r="A1489" s="32" t="inlineStr">
        <is>
          <t>TANKWAGON</t>
        </is>
      </c>
      <c r="B1489" s="24">
        <f>IFERROR(INDEX(Companies!$A$3:$A$101,MATCH(A1489,Companies!$B$3:$B$101,0)),"")</f>
        <v/>
      </c>
      <c r="D1489" t="inlineStr">
        <is>
          <t>FB8CF58CE5CB</t>
        </is>
      </c>
      <c r="E1489" s="24">
        <f>LEFT(D1489,2)&amp;":"&amp;MID(D1489,3,2)&amp;":"&amp;MID(D1489,5,2)&amp;":"&amp;MID(D1489,7,2)&amp;":"&amp;MID(D1489,9,2)&amp;":"&amp;RIGHT(D1489,2)</f>
        <v/>
      </c>
      <c r="H1489" s="2" t="inlineStr">
        <is>
          <t>6B4C91B2F2AE0B39</t>
        </is>
      </c>
      <c r="J1489" t="inlineStr">
        <is>
          <t>VIEZO0000000000000310</t>
        </is>
      </c>
    </row>
    <row r="1490">
      <c r="A1490" s="32" t="inlineStr">
        <is>
          <t>TANKWAGON</t>
        </is>
      </c>
      <c r="B1490" s="24">
        <f>IFERROR(INDEX(Companies!$A$3:$A$101,MATCH(A1490,Companies!$B$3:$B$101,0)),"")</f>
        <v/>
      </c>
      <c r="D1490" t="inlineStr">
        <is>
          <t>D3F2F3EEE25A</t>
        </is>
      </c>
      <c r="E1490" s="24">
        <f>LEFT(D1490,2)&amp;":"&amp;MID(D1490,3,2)&amp;":"&amp;MID(D1490,5,2)&amp;":"&amp;MID(D1490,7,2)&amp;":"&amp;MID(D1490,9,2)&amp;":"&amp;RIGHT(D1490,2)</f>
        <v/>
      </c>
      <c r="H1490" s="2" t="inlineStr">
        <is>
          <t>72ABAEDFA692ACA2</t>
        </is>
      </c>
      <c r="J1490" t="inlineStr">
        <is>
          <t>VIEZO0000000000000311</t>
        </is>
      </c>
    </row>
    <row r="1491">
      <c r="A1491" s="32" t="inlineStr">
        <is>
          <t>TANKWAGON</t>
        </is>
      </c>
      <c r="B1491" s="24">
        <f>IFERROR(INDEX(Companies!$A$3:$A$101,MATCH(A1491,Companies!$B$3:$B$101,0)),"")</f>
        <v/>
      </c>
      <c r="D1491" t="inlineStr">
        <is>
          <t>DE84C04575C2</t>
        </is>
      </c>
      <c r="E1491" s="24">
        <f>LEFT(D1491,2)&amp;":"&amp;MID(D1491,3,2)&amp;":"&amp;MID(D1491,5,2)&amp;":"&amp;MID(D1491,7,2)&amp;":"&amp;MID(D1491,9,2)&amp;":"&amp;RIGHT(D1491,2)</f>
        <v/>
      </c>
      <c r="H1491" s="2" t="inlineStr">
        <is>
          <t>6137A585E1EB6B61</t>
        </is>
      </c>
      <c r="J1491" t="inlineStr">
        <is>
          <t>VIEZO0000000000000312</t>
        </is>
      </c>
    </row>
    <row r="1492">
      <c r="A1492" s="32" t="inlineStr">
        <is>
          <t>TANKWAGON</t>
        </is>
      </c>
      <c r="B1492" s="24">
        <f>IFERROR(INDEX(Companies!$A$3:$A$101,MATCH(A1492,Companies!$B$3:$B$101,0)),"")</f>
        <v/>
      </c>
      <c r="D1492" t="inlineStr">
        <is>
          <t>E90530348F49</t>
        </is>
      </c>
      <c r="E1492" s="24">
        <f>LEFT(D1492,2)&amp;":"&amp;MID(D1492,3,2)&amp;":"&amp;MID(D1492,5,2)&amp;":"&amp;MID(D1492,7,2)&amp;":"&amp;MID(D1492,9,2)&amp;":"&amp;RIGHT(D1492,2)</f>
        <v/>
      </c>
      <c r="H1492" s="2" t="inlineStr">
        <is>
          <t>4C9A4169643F983E</t>
        </is>
      </c>
      <c r="J1492" t="inlineStr">
        <is>
          <t>VIEZO0000000000000313</t>
        </is>
      </c>
    </row>
    <row r="1493">
      <c r="A1493" s="32" t="inlineStr">
        <is>
          <t>TANKWAGON</t>
        </is>
      </c>
      <c r="B1493" s="24">
        <f>IFERROR(INDEX(Companies!$A$3:$A$101,MATCH(A1493,Companies!$B$3:$B$101,0)),"")</f>
        <v/>
      </c>
      <c r="D1493" t="inlineStr">
        <is>
          <t>F778ED662CE1</t>
        </is>
      </c>
      <c r="E1493" s="24">
        <f>LEFT(D1493,2)&amp;":"&amp;MID(D1493,3,2)&amp;":"&amp;MID(D1493,5,2)&amp;":"&amp;MID(D1493,7,2)&amp;":"&amp;MID(D1493,9,2)&amp;":"&amp;RIGHT(D1493,2)</f>
        <v/>
      </c>
      <c r="H1493" s="2" t="inlineStr">
        <is>
          <t>395C64C8913E1006</t>
        </is>
      </c>
      <c r="J1493" t="inlineStr">
        <is>
          <t>VIEZO0000000000000314</t>
        </is>
      </c>
    </row>
    <row r="1494">
      <c r="A1494" s="32" t="inlineStr">
        <is>
          <t>TANKWAGON</t>
        </is>
      </c>
      <c r="B1494" s="24">
        <f>IFERROR(INDEX(Companies!$A$3:$A$101,MATCH(A1494,Companies!$B$3:$B$101,0)),"")</f>
        <v/>
      </c>
      <c r="D1494" t="inlineStr">
        <is>
          <t>C742D7BBBE89</t>
        </is>
      </c>
      <c r="E1494" s="24">
        <f>LEFT(D1494,2)&amp;":"&amp;MID(D1494,3,2)&amp;":"&amp;MID(D1494,5,2)&amp;":"&amp;MID(D1494,7,2)&amp;":"&amp;MID(D1494,9,2)&amp;":"&amp;RIGHT(D1494,2)</f>
        <v/>
      </c>
      <c r="H1494" s="2" t="inlineStr">
        <is>
          <t>E53A38D868AECDF0</t>
        </is>
      </c>
      <c r="J1494" t="inlineStr">
        <is>
          <t>VIEZO0000000000000315</t>
        </is>
      </c>
    </row>
    <row r="1495">
      <c r="A1495" s="32" t="inlineStr">
        <is>
          <t>TANKWAGON</t>
        </is>
      </c>
      <c r="B1495" s="24">
        <f>IFERROR(INDEX(Companies!$A$3:$A$101,MATCH(A1495,Companies!$B$3:$B$101,0)),"")</f>
        <v/>
      </c>
      <c r="D1495" t="inlineStr">
        <is>
          <t>C4D74B5CE02D</t>
        </is>
      </c>
      <c r="E1495" s="24">
        <f>LEFT(D1495,2)&amp;":"&amp;MID(D1495,3,2)&amp;":"&amp;MID(D1495,5,2)&amp;":"&amp;MID(D1495,7,2)&amp;":"&amp;MID(D1495,9,2)&amp;":"&amp;RIGHT(D1495,2)</f>
        <v/>
      </c>
      <c r="H1495" s="2" t="inlineStr">
        <is>
          <t>644C9DFD4D0EDD65</t>
        </is>
      </c>
      <c r="J1495" t="inlineStr">
        <is>
          <t>VIEZO0000000000000316</t>
        </is>
      </c>
    </row>
    <row r="1496">
      <c r="A1496" s="32" t="inlineStr">
        <is>
          <t>TANKWAGON</t>
        </is>
      </c>
      <c r="B1496" s="24">
        <f>IFERROR(INDEX(Companies!$A$3:$A$101,MATCH(A1496,Companies!$B$3:$B$101,0)),"")</f>
        <v/>
      </c>
      <c r="D1496" t="inlineStr">
        <is>
          <t>DABB796D9E40</t>
        </is>
      </c>
      <c r="E1496" s="24">
        <f>LEFT(D1496,2)&amp;":"&amp;MID(D1496,3,2)&amp;":"&amp;MID(D1496,5,2)&amp;":"&amp;MID(D1496,7,2)&amp;":"&amp;MID(D1496,9,2)&amp;":"&amp;RIGHT(D1496,2)</f>
        <v/>
      </c>
      <c r="H1496" s="2" t="inlineStr">
        <is>
          <t>F24727C661568709</t>
        </is>
      </c>
      <c r="J1496" t="inlineStr">
        <is>
          <t>VIEZO0000000000000317</t>
        </is>
      </c>
    </row>
    <row r="1497">
      <c r="A1497" s="32" t="inlineStr">
        <is>
          <t>TANKWAGON</t>
        </is>
      </c>
      <c r="B1497" s="24">
        <f>IFERROR(INDEX(Companies!$A$3:$A$101,MATCH(A1497,Companies!$B$3:$B$101,0)),"")</f>
        <v/>
      </c>
      <c r="D1497" t="inlineStr">
        <is>
          <t>E5C3EA03CA82</t>
        </is>
      </c>
      <c r="E1497" s="24">
        <f>LEFT(D1497,2)&amp;":"&amp;MID(D1497,3,2)&amp;":"&amp;MID(D1497,5,2)&amp;":"&amp;MID(D1497,7,2)&amp;":"&amp;MID(D1497,9,2)&amp;":"&amp;RIGHT(D1497,2)</f>
        <v/>
      </c>
      <c r="H1497" s="2" t="inlineStr">
        <is>
          <t>3DE08B42E29D6967</t>
        </is>
      </c>
      <c r="J1497" t="inlineStr">
        <is>
          <t>VIEZO0000000000000318</t>
        </is>
      </c>
    </row>
    <row r="1498">
      <c r="A1498" s="32" t="inlineStr">
        <is>
          <t>TANKWAGON</t>
        </is>
      </c>
      <c r="B1498" s="24">
        <f>IFERROR(INDEX(Companies!$A$3:$A$101,MATCH(A1498,Companies!$B$3:$B$101,0)),"")</f>
        <v/>
      </c>
      <c r="D1498" t="inlineStr">
        <is>
          <t>CF34C80C6C10</t>
        </is>
      </c>
      <c r="E1498" s="24">
        <f>LEFT(D1498,2)&amp;":"&amp;MID(D1498,3,2)&amp;":"&amp;MID(D1498,5,2)&amp;":"&amp;MID(D1498,7,2)&amp;":"&amp;MID(D1498,9,2)&amp;":"&amp;RIGHT(D1498,2)</f>
        <v/>
      </c>
      <c r="H1498" s="2" t="n">
        <v>7028378228723220</v>
      </c>
      <c r="J1498" t="inlineStr">
        <is>
          <t>VIEZO0000000000000319</t>
        </is>
      </c>
    </row>
    <row r="1499">
      <c r="A1499" s="32" t="inlineStr">
        <is>
          <t>TANKWAGON</t>
        </is>
      </c>
      <c r="B1499" s="24">
        <f>IFERROR(INDEX(Companies!$A$3:$A$101,MATCH(A1499,Companies!$B$3:$B$101,0)),"")</f>
        <v/>
      </c>
      <c r="D1499" t="inlineStr">
        <is>
          <t>FDE36AF1D2AE</t>
        </is>
      </c>
      <c r="E1499" s="24">
        <f>LEFT(D1499,2)&amp;":"&amp;MID(D1499,3,2)&amp;":"&amp;MID(D1499,5,2)&amp;":"&amp;MID(D1499,7,2)&amp;":"&amp;MID(D1499,9,2)&amp;":"&amp;RIGHT(D1499,2)</f>
        <v/>
      </c>
      <c r="H1499" s="2" t="inlineStr">
        <is>
          <t>065FC021732049EA</t>
        </is>
      </c>
      <c r="J1499" t="inlineStr">
        <is>
          <t>VIEZO0000000000000320</t>
        </is>
      </c>
    </row>
    <row r="1500">
      <c r="A1500" s="32" t="inlineStr">
        <is>
          <t>TANKWAGON</t>
        </is>
      </c>
      <c r="B1500" s="24">
        <f>IFERROR(INDEX(Companies!$A$3:$A$101,MATCH(A1500,Companies!$B$3:$B$101,0)),"")</f>
        <v/>
      </c>
      <c r="D1500" t="inlineStr">
        <is>
          <t>D690C611D1C7</t>
        </is>
      </c>
      <c r="E1500" s="24">
        <f>LEFT(D1500,2)&amp;":"&amp;MID(D1500,3,2)&amp;":"&amp;MID(D1500,5,2)&amp;":"&amp;MID(D1500,7,2)&amp;":"&amp;MID(D1500,9,2)&amp;":"&amp;RIGHT(D1500,2)</f>
        <v/>
      </c>
      <c r="H1500" s="2" t="inlineStr">
        <is>
          <t>74132BB1A1FB972D</t>
        </is>
      </c>
      <c r="J1500" t="inlineStr">
        <is>
          <t>VIEZO0000000000000321</t>
        </is>
      </c>
    </row>
    <row r="1501">
      <c r="A1501" s="32" t="inlineStr">
        <is>
          <t>TANKWAGON</t>
        </is>
      </c>
      <c r="B1501" s="24">
        <f>IFERROR(INDEX(Companies!$A$3:$A$101,MATCH(A1501,Companies!$B$3:$B$101,0)),"")</f>
        <v/>
      </c>
      <c r="D1501" t="inlineStr">
        <is>
          <t>DD9510463B9A</t>
        </is>
      </c>
      <c r="E1501" s="24">
        <f>LEFT(D1501,2)&amp;":"&amp;MID(D1501,3,2)&amp;":"&amp;MID(D1501,5,2)&amp;":"&amp;MID(D1501,7,2)&amp;":"&amp;MID(D1501,9,2)&amp;":"&amp;RIGHT(D1501,2)</f>
        <v/>
      </c>
      <c r="H1501" s="2" t="inlineStr">
        <is>
          <t>5CB98DD9B963786B</t>
        </is>
      </c>
      <c r="J1501" t="inlineStr">
        <is>
          <t>VIEZO0000000000000322</t>
        </is>
      </c>
    </row>
    <row r="1502">
      <c r="A1502" s="32" t="inlineStr">
        <is>
          <t>TANKWAGON</t>
        </is>
      </c>
      <c r="B1502" s="24">
        <f>IFERROR(INDEX(Companies!$A$3:$A$101,MATCH(A1502,Companies!$B$3:$B$101,0)),"")</f>
        <v/>
      </c>
      <c r="D1502" t="inlineStr">
        <is>
          <t>DC2F68E35ACB</t>
        </is>
      </c>
      <c r="E1502" s="24">
        <f>LEFT(D1502,2)&amp;":"&amp;MID(D1502,3,2)&amp;":"&amp;MID(D1502,5,2)&amp;":"&amp;MID(D1502,7,2)&amp;":"&amp;MID(D1502,9,2)&amp;":"&amp;RIGHT(D1502,2)</f>
        <v/>
      </c>
      <c r="H1502" s="2" t="inlineStr">
        <is>
          <t>9434BC5FDEA3F76D</t>
        </is>
      </c>
      <c r="J1502" t="inlineStr">
        <is>
          <t>VIEZO0000000000000323</t>
        </is>
      </c>
    </row>
    <row r="1503">
      <c r="A1503" s="32" t="inlineStr">
        <is>
          <t>TANKWAGON</t>
        </is>
      </c>
      <c r="B1503" s="24">
        <f>IFERROR(INDEX(Companies!$A$3:$A$101,MATCH(A1503,Companies!$B$3:$B$101,0)),"")</f>
        <v/>
      </c>
      <c r="D1503" t="inlineStr">
        <is>
          <t>F01BCF606AA8</t>
        </is>
      </c>
      <c r="E1503" s="24">
        <f>LEFT(D1503,2)&amp;":"&amp;MID(D1503,3,2)&amp;":"&amp;MID(D1503,5,2)&amp;":"&amp;MID(D1503,7,2)&amp;":"&amp;MID(D1503,9,2)&amp;":"&amp;RIGHT(D1503,2)</f>
        <v/>
      </c>
      <c r="H1503" s="2" t="inlineStr">
        <is>
          <t>04F504431FA85822</t>
        </is>
      </c>
      <c r="J1503" t="inlineStr">
        <is>
          <t>VIEZO0000000000000324</t>
        </is>
      </c>
    </row>
    <row r="1504">
      <c r="A1504" s="32" t="inlineStr">
        <is>
          <t>TANKWAGON</t>
        </is>
      </c>
      <c r="B1504" s="24">
        <f>IFERROR(INDEX(Companies!$A$3:$A$101,MATCH(A1504,Companies!$B$3:$B$101,0)),"")</f>
        <v/>
      </c>
      <c r="D1504" t="inlineStr">
        <is>
          <t>C5054F3DF0E2</t>
        </is>
      </c>
      <c r="E1504" s="24">
        <f>LEFT(D1504,2)&amp;":"&amp;MID(D1504,3,2)&amp;":"&amp;MID(D1504,5,2)&amp;":"&amp;MID(D1504,7,2)&amp;":"&amp;MID(D1504,9,2)&amp;":"&amp;RIGHT(D1504,2)</f>
        <v/>
      </c>
      <c r="H1504" s="2" t="inlineStr">
        <is>
          <t>8FAC646C12D88DDC</t>
        </is>
      </c>
      <c r="J1504" t="inlineStr">
        <is>
          <t>VIEZO0000000000000325</t>
        </is>
      </c>
    </row>
    <row r="1505">
      <c r="A1505" s="32" t="inlineStr">
        <is>
          <t>TANKWAGON</t>
        </is>
      </c>
      <c r="B1505" s="24">
        <f>IFERROR(INDEX(Companies!$A$3:$A$101,MATCH(A1505,Companies!$B$3:$B$101,0)),"")</f>
        <v/>
      </c>
      <c r="D1505" t="inlineStr">
        <is>
          <t>E175B1BAF004</t>
        </is>
      </c>
      <c r="E1505" s="24">
        <f>LEFT(D1505,2)&amp;":"&amp;MID(D1505,3,2)&amp;":"&amp;MID(D1505,5,2)&amp;":"&amp;MID(D1505,7,2)&amp;":"&amp;MID(D1505,9,2)&amp;":"&amp;RIGHT(D1505,2)</f>
        <v/>
      </c>
      <c r="H1505" s="2" t="inlineStr">
        <is>
          <t>D1AF13D12312A9F5</t>
        </is>
      </c>
      <c r="J1505" t="inlineStr">
        <is>
          <t>VIEZO0000000000000326</t>
        </is>
      </c>
    </row>
    <row r="1506">
      <c r="A1506" s="32" t="inlineStr">
        <is>
          <t>TANKWAGON</t>
        </is>
      </c>
      <c r="B1506" s="24">
        <f>IFERROR(INDEX(Companies!$A$3:$A$101,MATCH(A1506,Companies!$B$3:$B$101,0)),"")</f>
        <v/>
      </c>
      <c r="D1506" t="inlineStr">
        <is>
          <t>FB8364D0A7DC</t>
        </is>
      </c>
      <c r="E1506" s="24">
        <f>LEFT(D1506,2)&amp;":"&amp;MID(D1506,3,2)&amp;":"&amp;MID(D1506,5,2)&amp;":"&amp;MID(D1506,7,2)&amp;":"&amp;MID(D1506,9,2)&amp;":"&amp;RIGHT(D1506,2)</f>
        <v/>
      </c>
      <c r="H1506" s="2" t="inlineStr">
        <is>
          <t>131A9DC96DD35440</t>
        </is>
      </c>
      <c r="J1506" t="inlineStr">
        <is>
          <t>VIEZO0000000000000327</t>
        </is>
      </c>
    </row>
    <row r="1507">
      <c r="A1507" s="32" t="inlineStr">
        <is>
          <t>TANKWAGON</t>
        </is>
      </c>
      <c r="B1507" s="24">
        <f>IFERROR(INDEX(Companies!$A$3:$A$101,MATCH(A1507,Companies!$B$3:$B$101,0)),"")</f>
        <v/>
      </c>
      <c r="D1507" t="inlineStr">
        <is>
          <t>F8DF194054CF</t>
        </is>
      </c>
      <c r="E1507" s="24">
        <f>LEFT(D1507,2)&amp;":"&amp;MID(D1507,3,2)&amp;":"&amp;MID(D1507,5,2)&amp;":"&amp;MID(D1507,7,2)&amp;":"&amp;MID(D1507,9,2)&amp;":"&amp;RIGHT(D1507,2)</f>
        <v/>
      </c>
      <c r="H1507" s="2" t="n">
        <v>1396089155302310</v>
      </c>
      <c r="J1507" t="inlineStr">
        <is>
          <t>VIEZO0000000000000328</t>
        </is>
      </c>
    </row>
    <row r="1508">
      <c r="A1508" s="32" t="inlineStr">
        <is>
          <t>TANKWAGON</t>
        </is>
      </c>
      <c r="B1508" s="24">
        <f>IFERROR(INDEX(Companies!$A$3:$A$101,MATCH(A1508,Companies!$B$3:$B$101,0)),"")</f>
        <v/>
      </c>
      <c r="D1508" t="inlineStr">
        <is>
          <t>ED38076DFD14</t>
        </is>
      </c>
      <c r="E1508" s="24">
        <f>LEFT(D1508,2)&amp;":"&amp;MID(D1508,3,2)&amp;":"&amp;MID(D1508,5,2)&amp;":"&amp;MID(D1508,7,2)&amp;":"&amp;MID(D1508,9,2)&amp;":"&amp;RIGHT(D1508,2)</f>
        <v/>
      </c>
      <c r="H1508" s="2" t="inlineStr">
        <is>
          <t>63C8C34A4BE23E14</t>
        </is>
      </c>
      <c r="J1508" t="inlineStr">
        <is>
          <t>VIEZO0000000000000329</t>
        </is>
      </c>
    </row>
    <row r="1509">
      <c r="A1509" s="32" t="inlineStr">
        <is>
          <t>TANKWAGON</t>
        </is>
      </c>
      <c r="B1509" s="24">
        <f>IFERROR(INDEX(Companies!$A$3:$A$101,MATCH(A1509,Companies!$B$3:$B$101,0)),"")</f>
        <v/>
      </c>
      <c r="D1509" t="inlineStr">
        <is>
          <t>FB644008FA0C</t>
        </is>
      </c>
      <c r="E1509" s="24">
        <f>LEFT(D1509,2)&amp;":"&amp;MID(D1509,3,2)&amp;":"&amp;MID(D1509,5,2)&amp;":"&amp;MID(D1509,7,2)&amp;":"&amp;MID(D1509,9,2)&amp;":"&amp;RIGHT(D1509,2)</f>
        <v/>
      </c>
      <c r="H1509" s="2" t="inlineStr">
        <is>
          <t>AEDC7CF7F6145125</t>
        </is>
      </c>
      <c r="J1509" t="inlineStr">
        <is>
          <t>VIEZO0000000000000330</t>
        </is>
      </c>
    </row>
    <row r="1510">
      <c r="A1510" s="32" t="inlineStr">
        <is>
          <t>TANKWAGON</t>
        </is>
      </c>
      <c r="B1510" s="24">
        <f>IFERROR(INDEX(Companies!$A$3:$A$101,MATCH(A1510,Companies!$B$3:$B$101,0)),"")</f>
        <v/>
      </c>
      <c r="D1510" t="inlineStr">
        <is>
          <t>C7766B26133C</t>
        </is>
      </c>
      <c r="E1510" s="24">
        <f>LEFT(D1510,2)&amp;":"&amp;MID(D1510,3,2)&amp;":"&amp;MID(D1510,5,2)&amp;":"&amp;MID(D1510,7,2)&amp;":"&amp;MID(D1510,9,2)&amp;":"&amp;RIGHT(D1510,2)</f>
        <v/>
      </c>
      <c r="H1510" s="2" t="inlineStr">
        <is>
          <t>33A9A8072D2C71B8</t>
        </is>
      </c>
      <c r="J1510" t="inlineStr">
        <is>
          <t>VIEZO0000000000000331</t>
        </is>
      </c>
    </row>
    <row r="1511">
      <c r="A1511" s="32" t="inlineStr">
        <is>
          <t>TANKWAGON</t>
        </is>
      </c>
      <c r="B1511" s="24">
        <f>IFERROR(INDEX(Companies!$A$3:$A$101,MATCH(A1511,Companies!$B$3:$B$101,0)),"")</f>
        <v/>
      </c>
      <c r="D1511" t="inlineStr">
        <is>
          <t>C47A0D755976</t>
        </is>
      </c>
      <c r="E1511" s="24">
        <f>LEFT(D1511,2)&amp;":"&amp;MID(D1511,3,2)&amp;":"&amp;MID(D1511,5,2)&amp;":"&amp;MID(D1511,7,2)&amp;":"&amp;MID(D1511,9,2)&amp;":"&amp;RIGHT(D1511,2)</f>
        <v/>
      </c>
      <c r="H1511" s="2" t="inlineStr">
        <is>
          <t>03033E8FB5BED0BC</t>
        </is>
      </c>
      <c r="J1511" t="inlineStr">
        <is>
          <t>VIEZO0000000000000332</t>
        </is>
      </c>
    </row>
    <row r="1512">
      <c r="A1512" s="32" t="inlineStr">
        <is>
          <t>TANKWAGON</t>
        </is>
      </c>
      <c r="B1512" s="24">
        <f>IFERROR(INDEX(Companies!$A$3:$A$101,MATCH(A1512,Companies!$B$3:$B$101,0)),"")</f>
        <v/>
      </c>
      <c r="D1512" t="inlineStr">
        <is>
          <t>DDECF31C38D7</t>
        </is>
      </c>
      <c r="E1512" s="24">
        <f>LEFT(D1512,2)&amp;":"&amp;MID(D1512,3,2)&amp;":"&amp;MID(D1512,5,2)&amp;":"&amp;MID(D1512,7,2)&amp;":"&amp;MID(D1512,9,2)&amp;":"&amp;RIGHT(D1512,2)</f>
        <v/>
      </c>
      <c r="H1512" s="2" t="inlineStr">
        <is>
          <t>3ED87ABDE6BAA886</t>
        </is>
      </c>
      <c r="J1512" t="inlineStr">
        <is>
          <t>VIEZO0000000000000333</t>
        </is>
      </c>
    </row>
    <row r="1513">
      <c r="A1513" s="32" t="inlineStr">
        <is>
          <t>TANKWAGON</t>
        </is>
      </c>
      <c r="B1513" s="24">
        <f>IFERROR(INDEX(Companies!$A$3:$A$101,MATCH(A1513,Companies!$B$3:$B$101,0)),"")</f>
        <v/>
      </c>
      <c r="D1513" t="inlineStr">
        <is>
          <t>D23E9BBAF1C3</t>
        </is>
      </c>
      <c r="E1513" s="24">
        <f>LEFT(D1513,2)&amp;":"&amp;MID(D1513,3,2)&amp;":"&amp;MID(D1513,5,2)&amp;":"&amp;MID(D1513,7,2)&amp;":"&amp;MID(D1513,9,2)&amp;":"&amp;RIGHT(D1513,2)</f>
        <v/>
      </c>
      <c r="H1513" s="2" t="inlineStr">
        <is>
          <t>96DD541C3E738389</t>
        </is>
      </c>
      <c r="J1513" t="inlineStr">
        <is>
          <t>VIEZO0000000000000334</t>
        </is>
      </c>
    </row>
    <row r="1514">
      <c r="A1514" s="32" t="inlineStr">
        <is>
          <t>TANKWAGON</t>
        </is>
      </c>
      <c r="B1514" s="24">
        <f>IFERROR(INDEX(Companies!$A$3:$A$101,MATCH(A1514,Companies!$B$3:$B$101,0)),"")</f>
        <v/>
      </c>
      <c r="D1514" t="inlineStr">
        <is>
          <t>C98D97E2B035</t>
        </is>
      </c>
      <c r="E1514" s="24">
        <f>LEFT(D1514,2)&amp;":"&amp;MID(D1514,3,2)&amp;":"&amp;MID(D1514,5,2)&amp;":"&amp;MID(D1514,7,2)&amp;":"&amp;MID(D1514,9,2)&amp;":"&amp;RIGHT(D1514,2)</f>
        <v/>
      </c>
      <c r="H1514" s="2" t="inlineStr">
        <is>
          <t>430EA1FE8FCF37C4</t>
        </is>
      </c>
      <c r="J1514" t="inlineStr">
        <is>
          <t>VIEZO0000000000000335</t>
        </is>
      </c>
    </row>
    <row r="1515">
      <c r="A1515" s="32" t="inlineStr">
        <is>
          <t>TANKWAGON</t>
        </is>
      </c>
      <c r="B1515" s="24">
        <f>IFERROR(INDEX(Companies!$A$3:$A$101,MATCH(A1515,Companies!$B$3:$B$101,0)),"")</f>
        <v/>
      </c>
      <c r="D1515" t="inlineStr">
        <is>
          <t>FC07AAC6A003</t>
        </is>
      </c>
      <c r="E1515" s="24">
        <f>LEFT(D1515,2)&amp;":"&amp;MID(D1515,3,2)&amp;":"&amp;MID(D1515,5,2)&amp;":"&amp;MID(D1515,7,2)&amp;":"&amp;MID(D1515,9,2)&amp;":"&amp;RIGHT(D1515,2)</f>
        <v/>
      </c>
      <c r="H1515" s="2" t="inlineStr">
        <is>
          <t>6A9080ADBAD94173</t>
        </is>
      </c>
      <c r="J1515" t="inlineStr">
        <is>
          <t>VIEZO0000000000000336</t>
        </is>
      </c>
    </row>
    <row r="1516">
      <c r="A1516" s="32" t="inlineStr">
        <is>
          <t>TANKWAGON</t>
        </is>
      </c>
      <c r="B1516" s="24">
        <f>IFERROR(INDEX(Companies!$A$3:$A$101,MATCH(A1516,Companies!$B$3:$B$101,0)),"")</f>
        <v/>
      </c>
      <c r="D1516" t="inlineStr">
        <is>
          <t>DE0EBABBF303</t>
        </is>
      </c>
      <c r="E1516" s="24">
        <f>LEFT(D1516,2)&amp;":"&amp;MID(D1516,3,2)&amp;":"&amp;MID(D1516,5,2)&amp;":"&amp;MID(D1516,7,2)&amp;":"&amp;MID(D1516,9,2)&amp;":"&amp;RIGHT(D1516,2)</f>
        <v/>
      </c>
      <c r="H1516" s="2" t="inlineStr">
        <is>
          <t>2FA52E37C945342F</t>
        </is>
      </c>
      <c r="J1516" t="inlineStr">
        <is>
          <t>VIEZO0000000000000337</t>
        </is>
      </c>
    </row>
    <row r="1517">
      <c r="A1517" s="32" t="inlineStr">
        <is>
          <t>TANKWAGON</t>
        </is>
      </c>
      <c r="B1517" s="24">
        <f>IFERROR(INDEX(Companies!$A$3:$A$101,MATCH(A1517,Companies!$B$3:$B$101,0)),"")</f>
        <v/>
      </c>
      <c r="D1517" t="inlineStr">
        <is>
          <t>ED8393C7AC50</t>
        </is>
      </c>
      <c r="E1517" s="24">
        <f>LEFT(D1517,2)&amp;":"&amp;MID(D1517,3,2)&amp;":"&amp;MID(D1517,5,2)&amp;":"&amp;MID(D1517,7,2)&amp;":"&amp;MID(D1517,9,2)&amp;":"&amp;RIGHT(D1517,2)</f>
        <v/>
      </c>
      <c r="H1517" s="2" t="inlineStr">
        <is>
          <t>3098AE22D40765B8</t>
        </is>
      </c>
      <c r="J1517" t="inlineStr">
        <is>
          <t>VIEZO0000000000000338</t>
        </is>
      </c>
    </row>
    <row r="1518">
      <c r="A1518" s="32" t="inlineStr">
        <is>
          <t>TANKWAGON</t>
        </is>
      </c>
      <c r="B1518" s="24">
        <f>IFERROR(INDEX(Companies!$A$3:$A$101,MATCH(A1518,Companies!$B$3:$B$101,0)),"")</f>
        <v/>
      </c>
      <c r="D1518" t="inlineStr">
        <is>
          <t>F14DB2639B11</t>
        </is>
      </c>
      <c r="E1518" s="24">
        <f>LEFT(D1518,2)&amp;":"&amp;MID(D1518,3,2)&amp;":"&amp;MID(D1518,5,2)&amp;":"&amp;MID(D1518,7,2)&amp;":"&amp;MID(D1518,9,2)&amp;":"&amp;RIGHT(D1518,2)</f>
        <v/>
      </c>
      <c r="H1518" s="2" t="inlineStr">
        <is>
          <t>505F143D293B8E5E</t>
        </is>
      </c>
      <c r="J1518" t="inlineStr">
        <is>
          <t>VIEZO0000000000000339</t>
        </is>
      </c>
    </row>
    <row r="1519">
      <c r="A1519" s="32" t="inlineStr">
        <is>
          <t>TANKWAGON</t>
        </is>
      </c>
      <c r="B1519" s="24">
        <f>IFERROR(INDEX(Companies!$A$3:$A$101,MATCH(A1519,Companies!$B$3:$B$101,0)),"")</f>
        <v/>
      </c>
      <c r="D1519" t="inlineStr">
        <is>
          <t>C1857FBC1D24</t>
        </is>
      </c>
      <c r="E1519" s="24">
        <f>LEFT(D1519,2)&amp;":"&amp;MID(D1519,3,2)&amp;":"&amp;MID(D1519,5,2)&amp;":"&amp;MID(D1519,7,2)&amp;":"&amp;MID(D1519,9,2)&amp;":"&amp;RIGHT(D1519,2)</f>
        <v/>
      </c>
      <c r="H1519" s="2" t="inlineStr">
        <is>
          <t>673C246124AB6E1F</t>
        </is>
      </c>
      <c r="J1519" t="inlineStr">
        <is>
          <t>VIEZO0000000000000340</t>
        </is>
      </c>
    </row>
    <row r="1520">
      <c r="A1520" s="32" t="inlineStr">
        <is>
          <t>TANKWAGON</t>
        </is>
      </c>
      <c r="B1520" s="24">
        <f>IFERROR(INDEX(Companies!$A$3:$A$101,MATCH(A1520,Companies!$B$3:$B$101,0)),"")</f>
        <v/>
      </c>
      <c r="D1520" t="inlineStr">
        <is>
          <t>D606040A8738</t>
        </is>
      </c>
      <c r="E1520" s="24">
        <f>LEFT(D1520,2)&amp;":"&amp;MID(D1520,3,2)&amp;":"&amp;MID(D1520,5,2)&amp;":"&amp;MID(D1520,7,2)&amp;":"&amp;MID(D1520,9,2)&amp;":"&amp;RIGHT(D1520,2)</f>
        <v/>
      </c>
      <c r="H1520" s="2" t="inlineStr">
        <is>
          <t>BAAE66D2401C8E1B</t>
        </is>
      </c>
      <c r="J1520" t="inlineStr">
        <is>
          <t>VIEZO0000000000000341</t>
        </is>
      </c>
    </row>
    <row r="1521">
      <c r="A1521" s="32" t="inlineStr">
        <is>
          <t>TANKWAGON</t>
        </is>
      </c>
      <c r="B1521" s="24">
        <f>IFERROR(INDEX(Companies!$A$3:$A$101,MATCH(A1521,Companies!$B$3:$B$101,0)),"")</f>
        <v/>
      </c>
      <c r="D1521" t="inlineStr">
        <is>
          <t>F9FE633A97CD</t>
        </is>
      </c>
      <c r="E1521" s="24">
        <f>LEFT(D1521,2)&amp;":"&amp;MID(D1521,3,2)&amp;":"&amp;MID(D1521,5,2)&amp;":"&amp;MID(D1521,7,2)&amp;":"&amp;MID(D1521,9,2)&amp;":"&amp;RIGHT(D1521,2)</f>
        <v/>
      </c>
      <c r="H1521" s="2" t="inlineStr">
        <is>
          <t>CDD40C2928028CE4</t>
        </is>
      </c>
      <c r="J1521" t="inlineStr">
        <is>
          <t>VIEZO0000000000000342</t>
        </is>
      </c>
    </row>
    <row r="1522">
      <c r="A1522" s="32" t="inlineStr">
        <is>
          <t>TANKWAGON</t>
        </is>
      </c>
      <c r="B1522" s="24">
        <f>IFERROR(INDEX(Companies!$A$3:$A$101,MATCH(A1522,Companies!$B$3:$B$101,0)),"")</f>
        <v/>
      </c>
      <c r="D1522" t="inlineStr">
        <is>
          <t>FDE7EC5DBE1F</t>
        </is>
      </c>
      <c r="E1522" s="24">
        <f>LEFT(D1522,2)&amp;":"&amp;MID(D1522,3,2)&amp;":"&amp;MID(D1522,5,2)&amp;":"&amp;MID(D1522,7,2)&amp;":"&amp;MID(D1522,9,2)&amp;":"&amp;RIGHT(D1522,2)</f>
        <v/>
      </c>
      <c r="F1522" s="29" t="n">
        <v>45260</v>
      </c>
      <c r="G1522" s="29" t="inlineStr">
        <is>
          <t>Tankwagon</t>
        </is>
      </c>
      <c r="H1522" s="2" t="inlineStr">
        <is>
          <t>B4353C95739BB90A</t>
        </is>
      </c>
      <c r="J1522" t="inlineStr">
        <is>
          <t>VIEZO0000000000000343</t>
        </is>
      </c>
      <c r="K1522" s="27" t="inlineStr">
        <is>
          <t>33877916625-9</t>
        </is>
      </c>
      <c r="L1522" s="27" t="inlineStr">
        <is>
          <t>3R</t>
        </is>
      </c>
    </row>
    <row r="1523">
      <c r="A1523" s="32" t="inlineStr">
        <is>
          <t>TANKWAGON</t>
        </is>
      </c>
      <c r="B1523" s="24">
        <f>IFERROR(INDEX(Companies!$A$3:$A$101,MATCH(A1523,Companies!$B$3:$B$101,0)),"")</f>
        <v/>
      </c>
      <c r="D1523" t="inlineStr">
        <is>
          <t>E1CD51CA45B7</t>
        </is>
      </c>
      <c r="E1523" s="24">
        <f>LEFT(D1523,2)&amp;":"&amp;MID(D1523,3,2)&amp;":"&amp;MID(D1523,5,2)&amp;":"&amp;MID(D1523,7,2)&amp;":"&amp;MID(D1523,9,2)&amp;":"&amp;RIGHT(D1523,2)</f>
        <v/>
      </c>
      <c r="H1523" s="2" t="inlineStr">
        <is>
          <t>48462883B334283C</t>
        </is>
      </c>
      <c r="J1523" t="inlineStr">
        <is>
          <t>VIEZO0000000000000344</t>
        </is>
      </c>
    </row>
    <row r="1524">
      <c r="A1524" s="32" t="inlineStr">
        <is>
          <t>TANKWAGON</t>
        </is>
      </c>
      <c r="B1524" s="24">
        <f>IFERROR(INDEX(Companies!$A$3:$A$101,MATCH(A1524,Companies!$B$3:$B$101,0)),"")</f>
        <v/>
      </c>
      <c r="D1524" t="inlineStr">
        <is>
          <t>C71DF5BF47E0</t>
        </is>
      </c>
      <c r="E1524" s="24">
        <f>LEFT(D1524,2)&amp;":"&amp;MID(D1524,3,2)&amp;":"&amp;MID(D1524,5,2)&amp;":"&amp;MID(D1524,7,2)&amp;":"&amp;MID(D1524,9,2)&amp;":"&amp;RIGHT(D1524,2)</f>
        <v/>
      </c>
      <c r="F1524" s="29" t="n">
        <v>45260</v>
      </c>
      <c r="G1524" s="29" t="inlineStr">
        <is>
          <t>Tankwagon</t>
        </is>
      </c>
      <c r="H1524" s="2" t="inlineStr">
        <is>
          <t>E55E2BB8BADB4937</t>
        </is>
      </c>
      <c r="J1524" t="inlineStr">
        <is>
          <t>VIEZO0000000000000345</t>
        </is>
      </c>
      <c r="K1524" s="27" t="inlineStr">
        <is>
          <t>33747913061-5</t>
        </is>
      </c>
      <c r="L1524" s="27" t="inlineStr">
        <is>
          <t>1L</t>
        </is>
      </c>
    </row>
    <row r="1525">
      <c r="A1525" s="32" t="inlineStr">
        <is>
          <t>TANKWAGON</t>
        </is>
      </c>
      <c r="B1525" s="24">
        <f>IFERROR(INDEX(Companies!$A$3:$A$101,MATCH(A1525,Companies!$B$3:$B$101,0)),"")</f>
        <v/>
      </c>
      <c r="D1525" t="inlineStr">
        <is>
          <t>DA94DD12ED40</t>
        </is>
      </c>
      <c r="E1525" s="24">
        <f>LEFT(D1525,2)&amp;":"&amp;MID(D1525,3,2)&amp;":"&amp;MID(D1525,5,2)&amp;":"&amp;MID(D1525,7,2)&amp;":"&amp;MID(D1525,9,2)&amp;":"&amp;RIGHT(D1525,2)</f>
        <v/>
      </c>
      <c r="H1525" s="2" t="inlineStr">
        <is>
          <t>6B1EDEF7C172AF67</t>
        </is>
      </c>
      <c r="J1525" t="inlineStr">
        <is>
          <t>VIEZO0000000000000346</t>
        </is>
      </c>
    </row>
    <row r="1526">
      <c r="A1526" s="32" t="inlineStr">
        <is>
          <t>TANKWAGON</t>
        </is>
      </c>
      <c r="B1526" s="24">
        <f>IFERROR(INDEX(Companies!$A$3:$A$101,MATCH(A1526,Companies!$B$3:$B$101,0)),"")</f>
        <v/>
      </c>
      <c r="D1526" t="inlineStr">
        <is>
          <t>FC34C404F57C</t>
        </is>
      </c>
      <c r="E1526" s="24">
        <f>LEFT(D1526,2)&amp;":"&amp;MID(D1526,3,2)&amp;":"&amp;MID(D1526,5,2)&amp;":"&amp;MID(D1526,7,2)&amp;":"&amp;MID(D1526,9,2)&amp;":"&amp;RIGHT(D1526,2)</f>
        <v/>
      </c>
      <c r="H1526" s="2" t="inlineStr">
        <is>
          <t>49F6A1D0F08E89BE</t>
        </is>
      </c>
      <c r="J1526" t="inlineStr">
        <is>
          <t>VIEZO0000000000000347</t>
        </is>
      </c>
    </row>
    <row r="1527">
      <c r="A1527" s="32" t="inlineStr">
        <is>
          <t>TANKWAGON</t>
        </is>
      </c>
      <c r="B1527" s="24">
        <f>IFERROR(INDEX(Companies!$A$3:$A$101,MATCH(A1527,Companies!$B$3:$B$101,0)),"")</f>
        <v/>
      </c>
      <c r="D1527" t="inlineStr">
        <is>
          <t>E4F993B69BFA</t>
        </is>
      </c>
      <c r="E1527" s="24">
        <f>LEFT(D1527,2)&amp;":"&amp;MID(D1527,3,2)&amp;":"&amp;MID(D1527,5,2)&amp;":"&amp;MID(D1527,7,2)&amp;":"&amp;MID(D1527,9,2)&amp;":"&amp;RIGHT(D1527,2)</f>
        <v/>
      </c>
      <c r="H1527" s="2" t="inlineStr">
        <is>
          <t>8169691F3D2278F7</t>
        </is>
      </c>
      <c r="J1527" t="inlineStr">
        <is>
          <t>VIEZO0000000000000348</t>
        </is>
      </c>
    </row>
    <row r="1528">
      <c r="A1528" s="32" t="inlineStr">
        <is>
          <t>TANKWAGON</t>
        </is>
      </c>
      <c r="B1528" s="24">
        <f>IFERROR(INDEX(Companies!$A$3:$A$101,MATCH(A1528,Companies!$B$3:$B$101,0)),"")</f>
        <v/>
      </c>
      <c r="D1528" t="inlineStr">
        <is>
          <t>FC93B1606360</t>
        </is>
      </c>
      <c r="E1528" s="24">
        <f>LEFT(D1528,2)&amp;":"&amp;MID(D1528,3,2)&amp;":"&amp;MID(D1528,5,2)&amp;":"&amp;MID(D1528,7,2)&amp;":"&amp;MID(D1528,9,2)&amp;":"&amp;RIGHT(D1528,2)</f>
        <v/>
      </c>
      <c r="H1528" s="2" t="inlineStr">
        <is>
          <t>C75BD5FDC834A8AB</t>
        </is>
      </c>
      <c r="J1528" t="inlineStr">
        <is>
          <t>VIEZO0000000000000349</t>
        </is>
      </c>
    </row>
    <row r="1529">
      <c r="A1529" s="32" t="inlineStr">
        <is>
          <t>TANKWAGON</t>
        </is>
      </c>
      <c r="B1529" s="24">
        <f>IFERROR(INDEX(Companies!$A$3:$A$101,MATCH(A1529,Companies!$B$3:$B$101,0)),"")</f>
        <v/>
      </c>
      <c r="D1529" t="inlineStr">
        <is>
          <t>D997906AEBCA</t>
        </is>
      </c>
      <c r="E1529" s="24">
        <f>LEFT(D1529,2)&amp;":"&amp;MID(D1529,3,2)&amp;":"&amp;MID(D1529,5,2)&amp;":"&amp;MID(D1529,7,2)&amp;":"&amp;MID(D1529,9,2)&amp;":"&amp;RIGHT(D1529,2)</f>
        <v/>
      </c>
      <c r="H1529" s="2" t="inlineStr">
        <is>
          <t>D7423F40D9CC91C7</t>
        </is>
      </c>
      <c r="J1529" t="inlineStr">
        <is>
          <t>VIEZO0000000000000350</t>
        </is>
      </c>
    </row>
    <row r="1530">
      <c r="A1530" s="32" t="inlineStr">
        <is>
          <t>TANKWAGON</t>
        </is>
      </c>
      <c r="B1530" s="24">
        <f>IFERROR(INDEX(Companies!$A$3:$A$101,MATCH(A1530,Companies!$B$3:$B$101,0)),"")</f>
        <v/>
      </c>
      <c r="D1530" t="inlineStr">
        <is>
          <t>D0469BE097FC</t>
        </is>
      </c>
      <c r="E1530" s="24">
        <f>LEFT(D1530,2)&amp;":"&amp;MID(D1530,3,2)&amp;":"&amp;MID(D1530,5,2)&amp;":"&amp;MID(D1530,7,2)&amp;":"&amp;MID(D1530,9,2)&amp;":"&amp;RIGHT(D1530,2)</f>
        <v/>
      </c>
      <c r="H1530" s="2" t="inlineStr">
        <is>
          <t>2DC414A108B8670F</t>
        </is>
      </c>
      <c r="J1530" t="inlineStr">
        <is>
          <t>VIEZO0000000000000351</t>
        </is>
      </c>
    </row>
    <row r="1531">
      <c r="A1531" s="32" t="inlineStr">
        <is>
          <t>TANKWAGON</t>
        </is>
      </c>
      <c r="B1531" s="24">
        <f>IFERROR(INDEX(Companies!$A$3:$A$101,MATCH(A1531,Companies!$B$3:$B$101,0)),"")</f>
        <v/>
      </c>
      <c r="D1531" t="inlineStr">
        <is>
          <t>C58F0BB40402</t>
        </is>
      </c>
      <c r="E1531" s="24">
        <f>LEFT(D1531,2)&amp;":"&amp;MID(D1531,3,2)&amp;":"&amp;MID(D1531,5,2)&amp;":"&amp;MID(D1531,7,2)&amp;":"&amp;MID(D1531,9,2)&amp;":"&amp;RIGHT(D1531,2)</f>
        <v/>
      </c>
      <c r="H1531" s="2" t="inlineStr">
        <is>
          <t>34C22257B0B550ED</t>
        </is>
      </c>
      <c r="J1531" t="inlineStr">
        <is>
          <t>VIEZO0000000000000352</t>
        </is>
      </c>
    </row>
    <row r="1532">
      <c r="A1532" s="32" t="inlineStr">
        <is>
          <t>TANKWAGON</t>
        </is>
      </c>
      <c r="B1532" s="24">
        <f>IFERROR(INDEX(Companies!$A$3:$A$101,MATCH(A1532,Companies!$B$3:$B$101,0)),"")</f>
        <v/>
      </c>
      <c r="D1532" t="inlineStr">
        <is>
          <t>DA8E9E1D3697</t>
        </is>
      </c>
      <c r="E1532" s="24">
        <f>LEFT(D1532,2)&amp;":"&amp;MID(D1532,3,2)&amp;":"&amp;MID(D1532,5,2)&amp;":"&amp;MID(D1532,7,2)&amp;":"&amp;MID(D1532,9,2)&amp;":"&amp;RIGHT(D1532,2)</f>
        <v/>
      </c>
      <c r="H1532" s="2" t="inlineStr">
        <is>
          <t>4407F5E20D4AF5C0</t>
        </is>
      </c>
      <c r="J1532" t="inlineStr">
        <is>
          <t>VIEZO0000000000000353</t>
        </is>
      </c>
    </row>
    <row r="1533">
      <c r="A1533" s="32" t="inlineStr">
        <is>
          <t>TANKWAGON</t>
        </is>
      </c>
      <c r="B1533" s="24">
        <f>IFERROR(INDEX(Companies!$A$3:$A$101,MATCH(A1533,Companies!$B$3:$B$101,0)),"")</f>
        <v/>
      </c>
      <c r="D1533" t="inlineStr">
        <is>
          <t>C1C731213653</t>
        </is>
      </c>
      <c r="E1533" s="24">
        <f>LEFT(D1533,2)&amp;":"&amp;MID(D1533,3,2)&amp;":"&amp;MID(D1533,5,2)&amp;":"&amp;MID(D1533,7,2)&amp;":"&amp;MID(D1533,9,2)&amp;":"&amp;RIGHT(D1533,2)</f>
        <v/>
      </c>
      <c r="H1533" s="2" t="inlineStr">
        <is>
          <t>0B3EBE3721E5F4AB</t>
        </is>
      </c>
      <c r="J1533" t="inlineStr">
        <is>
          <t>VIEZO0000000000000354</t>
        </is>
      </c>
    </row>
    <row r="1534">
      <c r="A1534" s="32" t="inlineStr">
        <is>
          <t>TANKWAGON</t>
        </is>
      </c>
      <c r="B1534" s="24">
        <f>IFERROR(INDEX(Companies!$A$3:$A$101,MATCH(A1534,Companies!$B$3:$B$101,0)),"")</f>
        <v/>
      </c>
      <c r="D1534" t="inlineStr">
        <is>
          <t>F313E5085F84</t>
        </is>
      </c>
      <c r="E1534" s="24">
        <f>LEFT(D1534,2)&amp;":"&amp;MID(D1534,3,2)&amp;":"&amp;MID(D1534,5,2)&amp;":"&amp;MID(D1534,7,2)&amp;":"&amp;MID(D1534,9,2)&amp;":"&amp;RIGHT(D1534,2)</f>
        <v/>
      </c>
      <c r="H1534" s="2" t="inlineStr">
        <is>
          <t>144446DDE34D6D12</t>
        </is>
      </c>
      <c r="J1534" t="inlineStr">
        <is>
          <t>VIEZO0000000000000355</t>
        </is>
      </c>
    </row>
    <row r="1535">
      <c r="A1535" s="32" t="inlineStr">
        <is>
          <t>TANKWAGON</t>
        </is>
      </c>
      <c r="B1535" s="24">
        <f>IFERROR(INDEX(Companies!$A$3:$A$101,MATCH(A1535,Companies!$B$3:$B$101,0)),"")</f>
        <v/>
      </c>
      <c r="D1535" t="inlineStr">
        <is>
          <t>F67FF8402A93</t>
        </is>
      </c>
      <c r="E1535" s="24">
        <f>LEFT(D1535,2)&amp;":"&amp;MID(D1535,3,2)&amp;":"&amp;MID(D1535,5,2)&amp;":"&amp;MID(D1535,7,2)&amp;":"&amp;MID(D1535,9,2)&amp;":"&amp;RIGHT(D1535,2)</f>
        <v/>
      </c>
      <c r="H1535" s="2" t="inlineStr">
        <is>
          <t>874FC82B2FC5D6CE</t>
        </is>
      </c>
      <c r="J1535" t="inlineStr">
        <is>
          <t>VIEZO0000000000000356</t>
        </is>
      </c>
    </row>
    <row r="1536">
      <c r="A1536" s="32" t="inlineStr">
        <is>
          <t>TANKWAGON</t>
        </is>
      </c>
      <c r="B1536" s="24">
        <f>IFERROR(INDEX(Companies!$A$3:$A$101,MATCH(A1536,Companies!$B$3:$B$101,0)),"")</f>
        <v/>
      </c>
      <c r="D1536" t="inlineStr">
        <is>
          <t>DFF7E40C0E21</t>
        </is>
      </c>
      <c r="E1536" s="24">
        <f>LEFT(D1536,2)&amp;":"&amp;MID(D1536,3,2)&amp;":"&amp;MID(D1536,5,2)&amp;":"&amp;MID(D1536,7,2)&amp;":"&amp;MID(D1536,9,2)&amp;":"&amp;RIGHT(D1536,2)</f>
        <v/>
      </c>
      <c r="H1536" s="2" t="inlineStr">
        <is>
          <t>237E23A03B1BEBDD</t>
        </is>
      </c>
      <c r="J1536" t="inlineStr">
        <is>
          <t>VIEZO0000000000000357</t>
        </is>
      </c>
    </row>
    <row r="1537">
      <c r="A1537" s="32" t="inlineStr">
        <is>
          <t>TANKWAGON</t>
        </is>
      </c>
      <c r="B1537" s="24">
        <f>IFERROR(INDEX(Companies!$A$3:$A$101,MATCH(A1537,Companies!$B$3:$B$101,0)),"")</f>
        <v/>
      </c>
      <c r="D1537" t="inlineStr">
        <is>
          <t>DA7762B37508</t>
        </is>
      </c>
      <c r="E1537" s="24">
        <f>LEFT(D1537,2)&amp;":"&amp;MID(D1537,3,2)&amp;":"&amp;MID(D1537,5,2)&amp;":"&amp;MID(D1537,7,2)&amp;":"&amp;MID(D1537,9,2)&amp;":"&amp;RIGHT(D1537,2)</f>
        <v/>
      </c>
      <c r="H1537" s="2" t="inlineStr">
        <is>
          <t>11F74C1F7785A178</t>
        </is>
      </c>
      <c r="J1537" t="inlineStr">
        <is>
          <t>VIEZO0000000000000358</t>
        </is>
      </c>
    </row>
    <row r="1538">
      <c r="A1538" s="32" t="inlineStr">
        <is>
          <t>TANKWAGON</t>
        </is>
      </c>
      <c r="B1538" s="24">
        <f>IFERROR(INDEX(Companies!$A$3:$A$101,MATCH(A1538,Companies!$B$3:$B$101,0)),"")</f>
        <v/>
      </c>
      <c r="D1538" t="inlineStr">
        <is>
          <t>D6487DB40D8C</t>
        </is>
      </c>
      <c r="E1538" s="24">
        <f>LEFT(D1538,2)&amp;":"&amp;MID(D1538,3,2)&amp;":"&amp;MID(D1538,5,2)&amp;":"&amp;MID(D1538,7,2)&amp;":"&amp;MID(D1538,9,2)&amp;":"&amp;RIGHT(D1538,2)</f>
        <v/>
      </c>
      <c r="H1538" s="2" t="inlineStr">
        <is>
          <t>F294DDD1211DEBBC</t>
        </is>
      </c>
      <c r="J1538" t="inlineStr">
        <is>
          <t>VIEZO0000000000000359</t>
        </is>
      </c>
    </row>
    <row r="1539">
      <c r="A1539" s="32" t="inlineStr">
        <is>
          <t>TANKWAGON</t>
        </is>
      </c>
      <c r="B1539" s="24">
        <f>IFERROR(INDEX(Companies!$A$3:$A$101,MATCH(A1539,Companies!$B$3:$B$101,0)),"")</f>
        <v/>
      </c>
      <c r="D1539" t="inlineStr">
        <is>
          <t>CA5A2AA1911B</t>
        </is>
      </c>
      <c r="E1539" s="24">
        <f>LEFT(D1539,2)&amp;":"&amp;MID(D1539,3,2)&amp;":"&amp;MID(D1539,5,2)&amp;":"&amp;MID(D1539,7,2)&amp;":"&amp;MID(D1539,9,2)&amp;":"&amp;RIGHT(D1539,2)</f>
        <v/>
      </c>
      <c r="H1539" s="2" t="inlineStr">
        <is>
          <t>E4F75E208DAB05D1</t>
        </is>
      </c>
      <c r="J1539" t="inlineStr">
        <is>
          <t>VIEZO0000000000000360</t>
        </is>
      </c>
    </row>
    <row r="1540">
      <c r="A1540" s="32" t="inlineStr">
        <is>
          <t>TANKWAGON</t>
        </is>
      </c>
      <c r="B1540" s="24">
        <f>IFERROR(INDEX(Companies!$A$3:$A$101,MATCH(A1540,Companies!$B$3:$B$101,0)),"")</f>
        <v/>
      </c>
      <c r="D1540" t="inlineStr">
        <is>
          <t>CDE14ADC7F9A</t>
        </is>
      </c>
      <c r="E1540" s="24">
        <f>LEFT(D1540,2)&amp;":"&amp;MID(D1540,3,2)&amp;":"&amp;MID(D1540,5,2)&amp;":"&amp;MID(D1540,7,2)&amp;":"&amp;MID(D1540,9,2)&amp;":"&amp;RIGHT(D1540,2)</f>
        <v/>
      </c>
      <c r="H1540" s="2" t="inlineStr">
        <is>
          <t>3CCBAC6FD329C4EA</t>
        </is>
      </c>
      <c r="J1540" t="inlineStr">
        <is>
          <t>VIEZO0000000000000361</t>
        </is>
      </c>
    </row>
    <row r="1541">
      <c r="A1541" s="32" t="inlineStr">
        <is>
          <t>TANKWAGON</t>
        </is>
      </c>
      <c r="B1541" s="24">
        <f>IFERROR(INDEX(Companies!$A$3:$A$101,MATCH(A1541,Companies!$B$3:$B$101,0)),"")</f>
        <v/>
      </c>
      <c r="D1541" t="inlineStr">
        <is>
          <t>EF99D48E9A83</t>
        </is>
      </c>
      <c r="E1541" s="24">
        <f>LEFT(D1541,2)&amp;":"&amp;MID(D1541,3,2)&amp;":"&amp;MID(D1541,5,2)&amp;":"&amp;MID(D1541,7,2)&amp;":"&amp;MID(D1541,9,2)&amp;":"&amp;RIGHT(D1541,2)</f>
        <v/>
      </c>
      <c r="H1541" s="2" t="inlineStr">
        <is>
          <t>CBF9E4CCC87A5012</t>
        </is>
      </c>
      <c r="J1541" t="inlineStr">
        <is>
          <t>VIEZO0000000000000362</t>
        </is>
      </c>
      <c r="K1541" s="27" t="inlineStr">
        <is>
          <t>33877916669-7</t>
        </is>
      </c>
      <c r="L1541" s="27" t="inlineStr">
        <is>
          <t>2R</t>
        </is>
      </c>
    </row>
    <row r="1542">
      <c r="A1542" s="32" t="inlineStr">
        <is>
          <t>TANKWAGON</t>
        </is>
      </c>
      <c r="B1542" s="24">
        <f>IFERROR(INDEX(Companies!$A$3:$A$101,MATCH(A1542,Companies!$B$3:$B$101,0)),"")</f>
        <v/>
      </c>
      <c r="D1542" t="inlineStr">
        <is>
          <t>EBCF065E70AA</t>
        </is>
      </c>
      <c r="E1542" s="24">
        <f>LEFT(D1542,2)&amp;":"&amp;MID(D1542,3,2)&amp;":"&amp;MID(D1542,5,2)&amp;":"&amp;MID(D1542,7,2)&amp;":"&amp;MID(D1542,9,2)&amp;":"&amp;RIGHT(D1542,2)</f>
        <v/>
      </c>
      <c r="H1542" s="2" t="inlineStr">
        <is>
          <t>C8FA5E63E80A39AB</t>
        </is>
      </c>
      <c r="J1542" t="inlineStr">
        <is>
          <t>VIEZO0000000000000363</t>
        </is>
      </c>
    </row>
    <row r="1543">
      <c r="A1543" s="32" t="inlineStr">
        <is>
          <t>TANKWAGON</t>
        </is>
      </c>
      <c r="B1543" s="24">
        <f>IFERROR(INDEX(Companies!$A$3:$A$101,MATCH(A1543,Companies!$B$3:$B$101,0)),"")</f>
        <v/>
      </c>
      <c r="D1543" t="inlineStr">
        <is>
          <t>D28E18A88A65</t>
        </is>
      </c>
      <c r="E1543" s="24">
        <f>LEFT(D1543,2)&amp;":"&amp;MID(D1543,3,2)&amp;":"&amp;MID(D1543,5,2)&amp;":"&amp;MID(D1543,7,2)&amp;":"&amp;MID(D1543,9,2)&amp;":"&amp;RIGHT(D1543,2)</f>
        <v/>
      </c>
      <c r="H1543" s="2" t="inlineStr">
        <is>
          <t>69E93F452613D96D</t>
        </is>
      </c>
      <c r="J1543" t="inlineStr">
        <is>
          <t>VIEZO0000000000000364</t>
        </is>
      </c>
    </row>
    <row r="1544">
      <c r="A1544" s="32" t="inlineStr">
        <is>
          <t>TANKWAGON</t>
        </is>
      </c>
      <c r="B1544" s="24">
        <f>IFERROR(INDEX(Companies!$A$3:$A$101,MATCH(A1544,Companies!$B$3:$B$101,0)),"")</f>
        <v/>
      </c>
      <c r="D1544" t="inlineStr">
        <is>
          <t>CF0DADBA631F</t>
        </is>
      </c>
      <c r="E1544" s="24">
        <f>LEFT(D1544,2)&amp;":"&amp;MID(D1544,3,2)&amp;":"&amp;MID(D1544,5,2)&amp;":"&amp;MID(D1544,7,2)&amp;":"&amp;MID(D1544,9,2)&amp;":"&amp;RIGHT(D1544,2)</f>
        <v/>
      </c>
      <c r="H1544" s="2" t="inlineStr">
        <is>
          <t>AB0D7BCD16FCEEF3</t>
        </is>
      </c>
      <c r="J1544" t="inlineStr">
        <is>
          <t>VIEZO0000000000000365</t>
        </is>
      </c>
    </row>
    <row r="1545">
      <c r="A1545" s="32" t="inlineStr">
        <is>
          <t>TANKWAGON</t>
        </is>
      </c>
      <c r="B1545" s="24">
        <f>IFERROR(INDEX(Companies!$A$3:$A$101,MATCH(A1545,Companies!$B$3:$B$101,0)),"")</f>
        <v/>
      </c>
      <c r="D1545" t="inlineStr">
        <is>
          <t>DDA4C2E155A7</t>
        </is>
      </c>
      <c r="E1545" s="24">
        <f>LEFT(D1545,2)&amp;":"&amp;MID(D1545,3,2)&amp;":"&amp;MID(D1545,5,2)&amp;":"&amp;MID(D1545,7,2)&amp;":"&amp;MID(D1545,9,2)&amp;":"&amp;RIGHT(D1545,2)</f>
        <v/>
      </c>
      <c r="H1545" s="2" t="inlineStr">
        <is>
          <t>1FF21DB87152D9FE</t>
        </is>
      </c>
      <c r="J1545" t="inlineStr">
        <is>
          <t>VIEZO0000000000000366</t>
        </is>
      </c>
    </row>
    <row r="1546">
      <c r="A1546" s="32" t="inlineStr">
        <is>
          <t>TANKWAGON</t>
        </is>
      </c>
      <c r="B1546" s="24">
        <f>IFERROR(INDEX(Companies!$A$3:$A$101,MATCH(A1546,Companies!$B$3:$B$101,0)),"")</f>
        <v/>
      </c>
      <c r="D1546" t="inlineStr">
        <is>
          <t>C01363F78E11</t>
        </is>
      </c>
      <c r="E1546" s="24">
        <f>LEFT(D1546,2)&amp;":"&amp;MID(D1546,3,2)&amp;":"&amp;MID(D1546,5,2)&amp;":"&amp;MID(D1546,7,2)&amp;":"&amp;MID(D1546,9,2)&amp;":"&amp;RIGHT(D1546,2)</f>
        <v/>
      </c>
      <c r="H1546" s="2" t="inlineStr">
        <is>
          <t>DB7B7DB0CB8D85A8</t>
        </is>
      </c>
      <c r="J1546" t="inlineStr">
        <is>
          <t>VIEZO0000000000000367</t>
        </is>
      </c>
    </row>
    <row r="1547">
      <c r="A1547" s="32" t="inlineStr">
        <is>
          <t>TANKWAGON</t>
        </is>
      </c>
      <c r="B1547" s="24">
        <f>IFERROR(INDEX(Companies!$A$3:$A$101,MATCH(A1547,Companies!$B$3:$B$101,0)),"")</f>
        <v/>
      </c>
      <c r="D1547" t="inlineStr">
        <is>
          <t>F34771089046</t>
        </is>
      </c>
      <c r="E1547" s="24">
        <f>LEFT(D1547,2)&amp;":"&amp;MID(D1547,3,2)&amp;":"&amp;MID(D1547,5,2)&amp;":"&amp;MID(D1547,7,2)&amp;":"&amp;MID(D1547,9,2)&amp;":"&amp;RIGHT(D1547,2)</f>
        <v/>
      </c>
      <c r="H1547" s="2" t="inlineStr">
        <is>
          <t>49C12FD2D597B199</t>
        </is>
      </c>
      <c r="J1547" t="inlineStr">
        <is>
          <t>VIEZO0000000000000368</t>
        </is>
      </c>
    </row>
    <row r="1548">
      <c r="A1548" s="32" t="inlineStr">
        <is>
          <t>TANKWAGON</t>
        </is>
      </c>
      <c r="B1548" s="24">
        <f>IFERROR(INDEX(Companies!$A$3:$A$101,MATCH(A1548,Companies!$B$3:$B$101,0)),"")</f>
        <v/>
      </c>
      <c r="D1548" t="inlineStr">
        <is>
          <t>D4F7508F91AD</t>
        </is>
      </c>
      <c r="E1548" s="24">
        <f>LEFT(D1548,2)&amp;":"&amp;MID(D1548,3,2)&amp;":"&amp;MID(D1548,5,2)&amp;":"&amp;MID(D1548,7,2)&amp;":"&amp;MID(D1548,9,2)&amp;":"&amp;RIGHT(D1548,2)</f>
        <v/>
      </c>
      <c r="H1548" s="2" t="inlineStr">
        <is>
          <t>CC5FC329913E5BBA</t>
        </is>
      </c>
      <c r="J1548" t="inlineStr">
        <is>
          <t>VIEZO0000000000000369</t>
        </is>
      </c>
    </row>
    <row r="1549">
      <c r="A1549" s="32" t="inlineStr">
        <is>
          <t>TANKWAGON</t>
        </is>
      </c>
      <c r="B1549" s="24">
        <f>IFERROR(INDEX(Companies!$A$3:$A$101,MATCH(A1549,Companies!$B$3:$B$101,0)),"")</f>
        <v/>
      </c>
      <c r="D1549" t="inlineStr">
        <is>
          <t>CA32BFA31C5C</t>
        </is>
      </c>
      <c r="E1549" s="24">
        <f>LEFT(D1549,2)&amp;":"&amp;MID(D1549,3,2)&amp;":"&amp;MID(D1549,5,2)&amp;":"&amp;MID(D1549,7,2)&amp;":"&amp;MID(D1549,9,2)&amp;":"&amp;RIGHT(D1549,2)</f>
        <v/>
      </c>
      <c r="H1549" s="2" t="inlineStr">
        <is>
          <t>DAC548BFA2C75A55</t>
        </is>
      </c>
      <c r="J1549" t="inlineStr">
        <is>
          <t>VIEZO0000000000000370</t>
        </is>
      </c>
    </row>
    <row r="1550">
      <c r="A1550" s="32" t="inlineStr">
        <is>
          <t>TANKWAGON</t>
        </is>
      </c>
      <c r="B1550" s="24">
        <f>IFERROR(INDEX(Companies!$A$3:$A$101,MATCH(A1550,Companies!$B$3:$B$101,0)),"")</f>
        <v/>
      </c>
      <c r="D1550" t="inlineStr">
        <is>
          <t>E47D6494453E</t>
        </is>
      </c>
      <c r="E1550" s="24">
        <f>LEFT(D1550,2)&amp;":"&amp;MID(D1550,3,2)&amp;":"&amp;MID(D1550,5,2)&amp;":"&amp;MID(D1550,7,2)&amp;":"&amp;MID(D1550,9,2)&amp;":"&amp;RIGHT(D1550,2)</f>
        <v/>
      </c>
      <c r="H1550" s="2" t="inlineStr">
        <is>
          <t>C9CFB4812586CC14</t>
        </is>
      </c>
      <c r="J1550" t="inlineStr">
        <is>
          <t>VIEZO0000000000000371</t>
        </is>
      </c>
    </row>
    <row r="1551">
      <c r="A1551" s="32" t="inlineStr">
        <is>
          <t>TANKWAGON</t>
        </is>
      </c>
      <c r="B1551" s="24">
        <f>IFERROR(INDEX(Companies!$A$3:$A$101,MATCH(A1551,Companies!$B$3:$B$101,0)),"")</f>
        <v/>
      </c>
      <c r="D1551" t="inlineStr">
        <is>
          <t>ECE26FF8C1F2</t>
        </is>
      </c>
      <c r="E1551" s="24">
        <f>LEFT(D1551,2)&amp;":"&amp;MID(D1551,3,2)&amp;":"&amp;MID(D1551,5,2)&amp;":"&amp;MID(D1551,7,2)&amp;":"&amp;MID(D1551,9,2)&amp;":"&amp;RIGHT(D1551,2)</f>
        <v/>
      </c>
      <c r="H1551" s="2" t="inlineStr">
        <is>
          <t>C2B8AFD64799B9C4</t>
        </is>
      </c>
      <c r="J1551" t="inlineStr">
        <is>
          <t>VIEZO0000000000000372</t>
        </is>
      </c>
    </row>
    <row r="1552">
      <c r="A1552" s="32" t="inlineStr">
        <is>
          <t>TANKWAGON</t>
        </is>
      </c>
      <c r="B1552" s="24">
        <f>IFERROR(INDEX(Companies!$A$3:$A$101,MATCH(A1552,Companies!$B$3:$B$101,0)),"")</f>
        <v/>
      </c>
      <c r="D1552" t="inlineStr">
        <is>
          <t>FF888F6F5A02</t>
        </is>
      </c>
      <c r="E1552" s="24">
        <f>LEFT(D1552,2)&amp;":"&amp;MID(D1552,3,2)&amp;":"&amp;MID(D1552,5,2)&amp;":"&amp;MID(D1552,7,2)&amp;":"&amp;MID(D1552,9,2)&amp;":"&amp;RIGHT(D1552,2)</f>
        <v/>
      </c>
      <c r="H1552" s="2" t="inlineStr">
        <is>
          <t>7884878B716C9151</t>
        </is>
      </c>
      <c r="J1552" t="inlineStr">
        <is>
          <t>VIEZO0000000000000373</t>
        </is>
      </c>
    </row>
    <row r="1553">
      <c r="A1553" s="32" t="inlineStr">
        <is>
          <t>TANKWAGON</t>
        </is>
      </c>
      <c r="B1553" s="24">
        <f>IFERROR(INDEX(Companies!$A$3:$A$101,MATCH(A1553,Companies!$B$3:$B$101,0)),"")</f>
        <v/>
      </c>
      <c r="D1553" t="inlineStr">
        <is>
          <t>E6F74E0B9310</t>
        </is>
      </c>
      <c r="E1553" s="24">
        <f>LEFT(D1553,2)&amp;":"&amp;MID(D1553,3,2)&amp;":"&amp;MID(D1553,5,2)&amp;":"&amp;MID(D1553,7,2)&amp;":"&amp;MID(D1553,9,2)&amp;":"&amp;RIGHT(D1553,2)</f>
        <v/>
      </c>
      <c r="H1553" s="2" t="inlineStr">
        <is>
          <t>8E0BBC5AFA3345C9</t>
        </is>
      </c>
      <c r="J1553" t="inlineStr">
        <is>
          <t>VIEZO0000000000000374</t>
        </is>
      </c>
    </row>
    <row r="1554">
      <c r="A1554" s="32" t="inlineStr">
        <is>
          <t>TANKWAGON</t>
        </is>
      </c>
      <c r="B1554" s="24">
        <f>IFERROR(INDEX(Companies!$A$3:$A$101,MATCH(A1554,Companies!$B$3:$B$101,0)),"")</f>
        <v/>
      </c>
      <c r="D1554" t="inlineStr">
        <is>
          <t>F523F8591316</t>
        </is>
      </c>
      <c r="E1554" s="24">
        <f>LEFT(D1554,2)&amp;":"&amp;MID(D1554,3,2)&amp;":"&amp;MID(D1554,5,2)&amp;":"&amp;MID(D1554,7,2)&amp;":"&amp;MID(D1554,9,2)&amp;":"&amp;RIGHT(D1554,2)</f>
        <v/>
      </c>
      <c r="H1554" s="2" t="inlineStr">
        <is>
          <t>372C94D5A37ED425</t>
        </is>
      </c>
      <c r="J1554" t="inlineStr">
        <is>
          <t>VIEZO0000000000000375</t>
        </is>
      </c>
    </row>
    <row r="1555">
      <c r="A1555" s="32" t="inlineStr">
        <is>
          <t>TANKWAGON</t>
        </is>
      </c>
      <c r="B1555" s="24">
        <f>IFERROR(INDEX(Companies!$A$3:$A$101,MATCH(A1555,Companies!$B$3:$B$101,0)),"")</f>
        <v/>
      </c>
      <c r="D1555" t="inlineStr">
        <is>
          <t>C083C8DCD1EB</t>
        </is>
      </c>
      <c r="E1555" s="24">
        <f>LEFT(D1555,2)&amp;":"&amp;MID(D1555,3,2)&amp;":"&amp;MID(D1555,5,2)&amp;":"&amp;MID(D1555,7,2)&amp;":"&amp;MID(D1555,9,2)&amp;":"&amp;RIGHT(D1555,2)</f>
        <v/>
      </c>
      <c r="H1555" s="2" t="inlineStr">
        <is>
          <t>86AD363820D6576E</t>
        </is>
      </c>
      <c r="J1555" t="inlineStr">
        <is>
          <t>VIEZO0000000000000376</t>
        </is>
      </c>
    </row>
    <row r="1556">
      <c r="A1556" s="32" t="inlineStr">
        <is>
          <t>TANKWAGON</t>
        </is>
      </c>
      <c r="B1556" s="24">
        <f>IFERROR(INDEX(Companies!$A$3:$A$101,MATCH(A1556,Companies!$B$3:$B$101,0)),"")</f>
        <v/>
      </c>
      <c r="D1556" t="inlineStr">
        <is>
          <t>EA339DEBAD11</t>
        </is>
      </c>
      <c r="E1556" s="24">
        <f>LEFT(D1556,2)&amp;":"&amp;MID(D1556,3,2)&amp;":"&amp;MID(D1556,5,2)&amp;":"&amp;MID(D1556,7,2)&amp;":"&amp;MID(D1556,9,2)&amp;":"&amp;RIGHT(D1556,2)</f>
        <v/>
      </c>
      <c r="H1556" s="2" t="inlineStr">
        <is>
          <t>704476886E0DD511</t>
        </is>
      </c>
      <c r="J1556" t="inlineStr">
        <is>
          <t>VIEZO0000000000000377</t>
        </is>
      </c>
    </row>
    <row r="1557">
      <c r="A1557" s="32" t="inlineStr">
        <is>
          <t>TANKWAGON</t>
        </is>
      </c>
      <c r="B1557" s="24">
        <f>IFERROR(INDEX(Companies!$A$3:$A$101,MATCH(A1557,Companies!$B$3:$B$101,0)),"")</f>
        <v/>
      </c>
      <c r="D1557" t="inlineStr">
        <is>
          <t>ECBAAF326391</t>
        </is>
      </c>
      <c r="E1557" s="24">
        <f>LEFT(D1557,2)&amp;":"&amp;MID(D1557,3,2)&amp;":"&amp;MID(D1557,5,2)&amp;":"&amp;MID(D1557,7,2)&amp;":"&amp;MID(D1557,9,2)&amp;":"&amp;RIGHT(D1557,2)</f>
        <v/>
      </c>
      <c r="F1557" s="29" t="n">
        <v>45260</v>
      </c>
      <c r="G1557" s="29" t="inlineStr">
        <is>
          <t>Tankwagon</t>
        </is>
      </c>
      <c r="H1557" s="2" t="inlineStr">
        <is>
          <t>10A34F1D96522C75</t>
        </is>
      </c>
      <c r="J1557" t="inlineStr">
        <is>
          <t>VIEZO0000000000000378</t>
        </is>
      </c>
      <c r="K1557" s="27" t="inlineStr">
        <is>
          <t>33877916636-6</t>
        </is>
      </c>
      <c r="L1557" s="27" t="inlineStr">
        <is>
          <t>4R</t>
        </is>
      </c>
    </row>
    <row r="1558">
      <c r="A1558" s="32" t="inlineStr">
        <is>
          <t>TANKWAGON</t>
        </is>
      </c>
      <c r="B1558" s="24">
        <f>IFERROR(INDEX(Companies!$A$3:$A$101,MATCH(A1558,Companies!$B$3:$B$101,0)),"")</f>
        <v/>
      </c>
      <c r="D1558" t="inlineStr">
        <is>
          <t>F8028DEAF9CC</t>
        </is>
      </c>
      <c r="E1558" s="24">
        <f>LEFT(D1558,2)&amp;":"&amp;MID(D1558,3,2)&amp;":"&amp;MID(D1558,5,2)&amp;":"&amp;MID(D1558,7,2)&amp;":"&amp;MID(D1558,9,2)&amp;":"&amp;RIGHT(D1558,2)</f>
        <v/>
      </c>
      <c r="H1558" s="2" t="inlineStr">
        <is>
          <t>F733669626A5095B</t>
        </is>
      </c>
      <c r="J1558" t="inlineStr">
        <is>
          <t>VIEZO0000000000000379</t>
        </is>
      </c>
    </row>
    <row r="1559">
      <c r="A1559" s="32" t="inlineStr">
        <is>
          <t>TANKWAGON</t>
        </is>
      </c>
      <c r="B1559" s="24">
        <f>IFERROR(INDEX(Companies!$A$3:$A$101,MATCH(A1559,Companies!$B$3:$B$101,0)),"")</f>
        <v/>
      </c>
      <c r="D1559" t="inlineStr">
        <is>
          <t>F5A027299629</t>
        </is>
      </c>
      <c r="E1559" s="24">
        <f>LEFT(D1559,2)&amp;":"&amp;MID(D1559,3,2)&amp;":"&amp;MID(D1559,5,2)&amp;":"&amp;MID(D1559,7,2)&amp;":"&amp;MID(D1559,9,2)&amp;":"&amp;RIGHT(D1559,2)</f>
        <v/>
      </c>
      <c r="H1559" s="2" t="inlineStr">
        <is>
          <t>5388E54173EDCA34</t>
        </is>
      </c>
      <c r="J1559" t="inlineStr">
        <is>
          <t>VIEZO0000000000000380</t>
        </is>
      </c>
    </row>
    <row r="1560">
      <c r="A1560" s="32" t="inlineStr">
        <is>
          <t>TANKWAGON</t>
        </is>
      </c>
      <c r="B1560" s="24">
        <f>IFERROR(INDEX(Companies!$A$3:$A$101,MATCH(A1560,Companies!$B$3:$B$101,0)),"")</f>
        <v/>
      </c>
      <c r="D1560" t="inlineStr">
        <is>
          <t>FC9207C3A27E</t>
        </is>
      </c>
      <c r="E1560" s="24">
        <f>LEFT(D1560,2)&amp;":"&amp;MID(D1560,3,2)&amp;":"&amp;MID(D1560,5,2)&amp;":"&amp;MID(D1560,7,2)&amp;":"&amp;MID(D1560,9,2)&amp;":"&amp;RIGHT(D1560,2)</f>
        <v/>
      </c>
      <c r="F1560" s="29" t="n">
        <v>45260</v>
      </c>
      <c r="G1560" s="29" t="inlineStr">
        <is>
          <t>Tankwagon</t>
        </is>
      </c>
      <c r="H1560" s="2" t="inlineStr">
        <is>
          <t>D4194BE9E1B54A20</t>
        </is>
      </c>
      <c r="J1560" t="inlineStr">
        <is>
          <t>VIEZO0000000000000381</t>
        </is>
      </c>
      <c r="K1560" s="27" t="inlineStr">
        <is>
          <t>33877916666-3</t>
        </is>
      </c>
      <c r="L1560" s="27" t="inlineStr">
        <is>
          <t>3L</t>
        </is>
      </c>
    </row>
    <row r="1561">
      <c r="A1561" s="32" t="inlineStr">
        <is>
          <t>TANKWAGON</t>
        </is>
      </c>
      <c r="B1561" s="24">
        <f>IFERROR(INDEX(Companies!$A$3:$A$101,MATCH(A1561,Companies!$B$3:$B$101,0)),"")</f>
        <v/>
      </c>
      <c r="D1561" t="inlineStr">
        <is>
          <t>D0B455670EAC</t>
        </is>
      </c>
      <c r="E1561" s="24">
        <f>LEFT(D1561,2)&amp;":"&amp;MID(D1561,3,2)&amp;":"&amp;MID(D1561,5,2)&amp;":"&amp;MID(D1561,7,2)&amp;":"&amp;MID(D1561,9,2)&amp;":"&amp;RIGHT(D1561,2)</f>
        <v/>
      </c>
      <c r="H1561" s="2" t="inlineStr">
        <is>
          <t>62AEF5EDBB275238</t>
        </is>
      </c>
      <c r="J1561" t="inlineStr">
        <is>
          <t>VIEZO0000000000000382</t>
        </is>
      </c>
    </row>
    <row r="1562">
      <c r="A1562" s="32" t="inlineStr">
        <is>
          <t>TANKWAGON</t>
        </is>
      </c>
      <c r="B1562" s="24">
        <f>IFERROR(INDEX(Companies!$A$3:$A$101,MATCH(A1562,Companies!$B$3:$B$101,0)),"")</f>
        <v/>
      </c>
      <c r="D1562" t="inlineStr">
        <is>
          <t>C3034612F8D6</t>
        </is>
      </c>
      <c r="E1562" s="24">
        <f>LEFT(D1562,2)&amp;":"&amp;MID(D1562,3,2)&amp;":"&amp;MID(D1562,5,2)&amp;":"&amp;MID(D1562,7,2)&amp;":"&amp;MID(D1562,9,2)&amp;":"&amp;RIGHT(D1562,2)</f>
        <v/>
      </c>
      <c r="H1562" s="2" t="inlineStr">
        <is>
          <t>686E2B7D87435C7A</t>
        </is>
      </c>
      <c r="J1562" t="inlineStr">
        <is>
          <t>VIEZO0000000000000383</t>
        </is>
      </c>
    </row>
    <row r="1563">
      <c r="A1563" s="32" t="inlineStr">
        <is>
          <t>TANKWAGON</t>
        </is>
      </c>
      <c r="B1563" s="24">
        <f>IFERROR(INDEX(Companies!$A$3:$A$101,MATCH(A1563,Companies!$B$3:$B$101,0)),"")</f>
        <v/>
      </c>
      <c r="D1563" t="inlineStr">
        <is>
          <t>ED513D907877</t>
        </is>
      </c>
      <c r="E1563" s="24">
        <f>LEFT(D1563,2)&amp;":"&amp;MID(D1563,3,2)&amp;":"&amp;MID(D1563,5,2)&amp;":"&amp;MID(D1563,7,2)&amp;":"&amp;MID(D1563,9,2)&amp;":"&amp;RIGHT(D1563,2)</f>
        <v/>
      </c>
      <c r="H1563" s="2" t="inlineStr">
        <is>
          <t>AEADB59AF33B4443</t>
        </is>
      </c>
      <c r="J1563" t="inlineStr">
        <is>
          <t>VIEZO0000000000000384</t>
        </is>
      </c>
    </row>
    <row r="1564">
      <c r="A1564" s="32" t="inlineStr">
        <is>
          <t>TANKWAGON</t>
        </is>
      </c>
      <c r="B1564" s="24">
        <f>IFERROR(INDEX(Companies!$A$3:$A$101,MATCH(A1564,Companies!$B$3:$B$101,0)),"")</f>
        <v/>
      </c>
      <c r="D1564" t="inlineStr">
        <is>
          <t>DD42516D04FD</t>
        </is>
      </c>
      <c r="E1564" s="24">
        <f>LEFT(D1564,2)&amp;":"&amp;MID(D1564,3,2)&amp;":"&amp;MID(D1564,5,2)&amp;":"&amp;MID(D1564,7,2)&amp;":"&amp;MID(D1564,9,2)&amp;":"&amp;RIGHT(D1564,2)</f>
        <v/>
      </c>
      <c r="H1564" s="2" t="inlineStr">
        <is>
          <t>73AE19B466FCE514</t>
        </is>
      </c>
      <c r="J1564" t="inlineStr">
        <is>
          <t>VIEZO0000000000000385</t>
        </is>
      </c>
    </row>
    <row r="1565">
      <c r="A1565" s="32" t="inlineStr">
        <is>
          <t>TANKWAGON</t>
        </is>
      </c>
      <c r="B1565" s="24">
        <f>IFERROR(INDEX(Companies!$A$3:$A$101,MATCH(A1565,Companies!$B$3:$B$101,0)),"")</f>
        <v/>
      </c>
      <c r="D1565" t="inlineStr">
        <is>
          <t>F5B9CEFE39EF</t>
        </is>
      </c>
      <c r="E1565" s="24">
        <f>LEFT(D1565,2)&amp;":"&amp;MID(D1565,3,2)&amp;":"&amp;MID(D1565,5,2)&amp;":"&amp;MID(D1565,7,2)&amp;":"&amp;MID(D1565,9,2)&amp;":"&amp;RIGHT(D1565,2)</f>
        <v/>
      </c>
      <c r="H1565" s="2" t="inlineStr">
        <is>
          <t>297698E1E9E6B935</t>
        </is>
      </c>
      <c r="J1565" t="inlineStr">
        <is>
          <t>VIEZO0000000000000386</t>
        </is>
      </c>
    </row>
    <row r="1566">
      <c r="A1566" s="32" t="inlineStr">
        <is>
          <t>TANKWAGON</t>
        </is>
      </c>
      <c r="B1566" s="24">
        <f>IFERROR(INDEX(Companies!$A$3:$A$101,MATCH(A1566,Companies!$B$3:$B$101,0)),"")</f>
        <v/>
      </c>
      <c r="D1566" t="inlineStr">
        <is>
          <t>D4267F4F2EE8</t>
        </is>
      </c>
      <c r="E1566" s="24">
        <f>LEFT(D1566,2)&amp;":"&amp;MID(D1566,3,2)&amp;":"&amp;MID(D1566,5,2)&amp;":"&amp;MID(D1566,7,2)&amp;":"&amp;MID(D1566,9,2)&amp;":"&amp;RIGHT(D1566,2)</f>
        <v/>
      </c>
      <c r="H1566" s="2" t="inlineStr">
        <is>
          <t>6D8922886193E739</t>
        </is>
      </c>
      <c r="J1566" t="inlineStr">
        <is>
          <t>VIEZO0000000000000387</t>
        </is>
      </c>
      <c r="N1566" s="99" t="inlineStr">
        <is>
          <t>Nexxiot</t>
        </is>
      </c>
    </row>
    <row r="1567">
      <c r="A1567" s="32" t="inlineStr">
        <is>
          <t>TANKWAGON</t>
        </is>
      </c>
      <c r="B1567" s="24">
        <f>IFERROR(INDEX(Companies!$A$3:$A$101,MATCH(A1567,Companies!$B$3:$B$101,0)),"")</f>
        <v/>
      </c>
      <c r="D1567" t="inlineStr">
        <is>
          <t>FA810270A850</t>
        </is>
      </c>
      <c r="E1567" s="24">
        <f>LEFT(D1567,2)&amp;":"&amp;MID(D1567,3,2)&amp;":"&amp;MID(D1567,5,2)&amp;":"&amp;MID(D1567,7,2)&amp;":"&amp;MID(D1567,9,2)&amp;":"&amp;RIGHT(D1567,2)</f>
        <v/>
      </c>
      <c r="F1567" s="29" t="n">
        <v>45260</v>
      </c>
      <c r="G1567" s="29" t="inlineStr">
        <is>
          <t>Tankwagon</t>
        </is>
      </c>
      <c r="H1567" s="2" t="inlineStr">
        <is>
          <t>98AD377F0D415DD5</t>
        </is>
      </c>
      <c r="J1567" t="inlineStr">
        <is>
          <t>VIEZO0000000000000388</t>
        </is>
      </c>
      <c r="K1567" s="27" t="inlineStr">
        <is>
          <t>33877916681-2</t>
        </is>
      </c>
      <c r="L1567" s="27" t="inlineStr">
        <is>
          <t>1L</t>
        </is>
      </c>
      <c r="N1567" s="99" t="inlineStr">
        <is>
          <t>Nexxiot</t>
        </is>
      </c>
    </row>
    <row r="1568">
      <c r="A1568" s="32" t="inlineStr">
        <is>
          <t>TANKWAGON</t>
        </is>
      </c>
      <c r="B1568" s="24">
        <f>IFERROR(INDEX(Companies!$A$3:$A$101,MATCH(A1568,Companies!$B$3:$B$101,0)),"")</f>
        <v/>
      </c>
      <c r="D1568" t="inlineStr">
        <is>
          <t>E893F4BFDA86</t>
        </is>
      </c>
      <c r="E1568" s="24">
        <f>LEFT(D1568,2)&amp;":"&amp;MID(D1568,3,2)&amp;":"&amp;MID(D1568,5,2)&amp;":"&amp;MID(D1568,7,2)&amp;":"&amp;MID(D1568,9,2)&amp;":"&amp;RIGHT(D1568,2)</f>
        <v/>
      </c>
      <c r="H1568" s="2" t="inlineStr">
        <is>
          <t>A3602CAB0EB1F16F</t>
        </is>
      </c>
      <c r="J1568" t="inlineStr">
        <is>
          <t>VIEZO0000000000000389</t>
        </is>
      </c>
      <c r="N1568" s="99" t="inlineStr">
        <is>
          <t>Nexxiot</t>
        </is>
      </c>
    </row>
    <row r="1569">
      <c r="A1569" s="32" t="inlineStr">
        <is>
          <t>TANKWAGON</t>
        </is>
      </c>
      <c r="B1569" s="24">
        <f>IFERROR(INDEX(Companies!$A$3:$A$101,MATCH(A1569,Companies!$B$3:$B$101,0)),"")</f>
        <v/>
      </c>
      <c r="D1569" t="inlineStr">
        <is>
          <t>DDC45124B4DF</t>
        </is>
      </c>
      <c r="E1569" s="24">
        <f>LEFT(D1569,2)&amp;":"&amp;MID(D1569,3,2)&amp;":"&amp;MID(D1569,5,2)&amp;":"&amp;MID(D1569,7,2)&amp;":"&amp;MID(D1569,9,2)&amp;":"&amp;RIGHT(D1569,2)</f>
        <v/>
      </c>
      <c r="H1569" s="2" t="inlineStr">
        <is>
          <t>F4D0CE6818E105B9</t>
        </is>
      </c>
      <c r="J1569" t="inlineStr">
        <is>
          <t>VIEZO0000000000000390</t>
        </is>
      </c>
    </row>
    <row r="1570">
      <c r="A1570" s="32" t="inlineStr">
        <is>
          <t>TANKWAGON</t>
        </is>
      </c>
      <c r="B1570" s="24">
        <f>IFERROR(INDEX(Companies!$A$3:$A$101,MATCH(A1570,Companies!$B$3:$B$101,0)),"")</f>
        <v/>
      </c>
      <c r="D1570" t="inlineStr">
        <is>
          <t>E19DA8319599</t>
        </is>
      </c>
      <c r="E1570" s="24">
        <f>LEFT(D1570,2)&amp;":"&amp;MID(D1570,3,2)&amp;":"&amp;MID(D1570,5,2)&amp;":"&amp;MID(D1570,7,2)&amp;":"&amp;MID(D1570,9,2)&amp;":"&amp;RIGHT(D1570,2)</f>
        <v/>
      </c>
      <c r="H1570" s="2" t="inlineStr">
        <is>
          <t>5C71FE9F96512FFD</t>
        </is>
      </c>
      <c r="J1570" t="inlineStr">
        <is>
          <t>VIEZO0000000000000391</t>
        </is>
      </c>
    </row>
    <row r="1571">
      <c r="A1571" s="32" t="inlineStr">
        <is>
          <t>TANKWAGON</t>
        </is>
      </c>
      <c r="B1571" s="24">
        <f>IFERROR(INDEX(Companies!$A$3:$A$101,MATCH(A1571,Companies!$B$3:$B$101,0)),"")</f>
        <v/>
      </c>
      <c r="D1571" t="inlineStr">
        <is>
          <t>CFEAE9703974</t>
        </is>
      </c>
      <c r="E1571" s="24">
        <f>LEFT(D1571,2)&amp;":"&amp;MID(D1571,3,2)&amp;":"&amp;MID(D1571,5,2)&amp;":"&amp;MID(D1571,7,2)&amp;":"&amp;MID(D1571,9,2)&amp;":"&amp;RIGHT(D1571,2)</f>
        <v/>
      </c>
      <c r="H1571" s="2" t="inlineStr">
        <is>
          <t>A28DF9C9C3CD7D69</t>
        </is>
      </c>
      <c r="J1571" t="inlineStr">
        <is>
          <t>VIEZO0000000000000392</t>
        </is>
      </c>
    </row>
    <row r="1572">
      <c r="A1572" s="32" t="inlineStr">
        <is>
          <t>TANKWAGON</t>
        </is>
      </c>
      <c r="B1572" s="24">
        <f>IFERROR(INDEX(Companies!$A$3:$A$101,MATCH(A1572,Companies!$B$3:$B$101,0)),"")</f>
        <v/>
      </c>
      <c r="D1572" t="inlineStr">
        <is>
          <t>F6702A4D9E1F</t>
        </is>
      </c>
      <c r="E1572" s="24">
        <f>LEFT(D1572,2)&amp;":"&amp;MID(D1572,3,2)&amp;":"&amp;MID(D1572,5,2)&amp;":"&amp;MID(D1572,7,2)&amp;":"&amp;MID(D1572,9,2)&amp;":"&amp;RIGHT(D1572,2)</f>
        <v/>
      </c>
      <c r="H1572" s="2" t="inlineStr">
        <is>
          <t>823E0DDF51926145</t>
        </is>
      </c>
      <c r="J1572" t="inlineStr">
        <is>
          <t>VIEZO0000000000000393</t>
        </is>
      </c>
    </row>
    <row r="1573">
      <c r="A1573" s="32" t="inlineStr">
        <is>
          <t>TANKWAGON</t>
        </is>
      </c>
      <c r="B1573" s="24">
        <f>IFERROR(INDEX(Companies!$A$3:$A$101,MATCH(A1573,Companies!$B$3:$B$101,0)),"")</f>
        <v/>
      </c>
      <c r="D1573" t="inlineStr">
        <is>
          <t>CD0DB2635229</t>
        </is>
      </c>
      <c r="E1573" s="24">
        <f>LEFT(D1573,2)&amp;":"&amp;MID(D1573,3,2)&amp;":"&amp;MID(D1573,5,2)&amp;":"&amp;MID(D1573,7,2)&amp;":"&amp;MID(D1573,9,2)&amp;":"&amp;RIGHT(D1573,2)</f>
        <v/>
      </c>
      <c r="H1573" s="2" t="inlineStr">
        <is>
          <t>E13C8D52610A14EC</t>
        </is>
      </c>
      <c r="J1573" t="inlineStr">
        <is>
          <t>VIEZO0000000000000394</t>
        </is>
      </c>
    </row>
    <row r="1574">
      <c r="A1574" s="32" t="inlineStr">
        <is>
          <t>TANKWAGON</t>
        </is>
      </c>
      <c r="B1574" s="24">
        <f>IFERROR(INDEX(Companies!$A$3:$A$101,MATCH(A1574,Companies!$B$3:$B$101,0)),"")</f>
        <v/>
      </c>
      <c r="D1574" t="inlineStr">
        <is>
          <t>F1FDC1063CE1</t>
        </is>
      </c>
      <c r="E1574" s="24">
        <f>LEFT(D1574,2)&amp;":"&amp;MID(D1574,3,2)&amp;":"&amp;MID(D1574,5,2)&amp;":"&amp;MID(D1574,7,2)&amp;":"&amp;MID(D1574,9,2)&amp;":"&amp;RIGHT(D1574,2)</f>
        <v/>
      </c>
      <c r="H1574" s="2" t="inlineStr">
        <is>
          <t>C6E659E831A25425</t>
        </is>
      </c>
      <c r="J1574" t="inlineStr">
        <is>
          <t>VIEZO0000000000000395</t>
        </is>
      </c>
    </row>
    <row r="1575">
      <c r="A1575" s="32" t="inlineStr">
        <is>
          <t>TANKWAGON</t>
        </is>
      </c>
      <c r="B1575" s="24">
        <f>IFERROR(INDEX(Companies!$A$3:$A$101,MATCH(A1575,Companies!$B$3:$B$101,0)),"")</f>
        <v/>
      </c>
      <c r="D1575" t="inlineStr">
        <is>
          <t>FA67FA60A8E4</t>
        </is>
      </c>
      <c r="E1575" s="24">
        <f>LEFT(D1575,2)&amp;":"&amp;MID(D1575,3,2)&amp;":"&amp;MID(D1575,5,2)&amp;":"&amp;MID(D1575,7,2)&amp;":"&amp;MID(D1575,9,2)&amp;":"&amp;RIGHT(D1575,2)</f>
        <v/>
      </c>
      <c r="H1575" s="2" t="inlineStr">
        <is>
          <t>0EB0036B61FA8014</t>
        </is>
      </c>
      <c r="J1575" t="inlineStr">
        <is>
          <t>VIEZO0000000000000396</t>
        </is>
      </c>
    </row>
    <row r="1576">
      <c r="A1576" s="32" t="inlineStr">
        <is>
          <t>TANKWAGON</t>
        </is>
      </c>
      <c r="B1576" s="24">
        <f>IFERROR(INDEX(Companies!$A$3:$A$101,MATCH(A1576,Companies!$B$3:$B$101,0)),"")</f>
        <v/>
      </c>
      <c r="D1576" t="inlineStr">
        <is>
          <t>F57133D1F80F</t>
        </is>
      </c>
      <c r="E1576" s="24">
        <f>LEFT(D1576,2)&amp;":"&amp;MID(D1576,3,2)&amp;":"&amp;MID(D1576,5,2)&amp;":"&amp;MID(D1576,7,2)&amp;":"&amp;MID(D1576,9,2)&amp;":"&amp;RIGHT(D1576,2)</f>
        <v/>
      </c>
      <c r="H1576" s="2" t="inlineStr">
        <is>
          <t>DD0DAAB9A9D8457F</t>
        </is>
      </c>
      <c r="J1576" t="inlineStr">
        <is>
          <t>VIEZO0000000000000397</t>
        </is>
      </c>
    </row>
    <row r="1577">
      <c r="A1577" s="32" t="inlineStr">
        <is>
          <t>TANKWAGON</t>
        </is>
      </c>
      <c r="B1577" s="24">
        <f>IFERROR(INDEX(Companies!$A$3:$A$101,MATCH(A1577,Companies!$B$3:$B$101,0)),"")</f>
        <v/>
      </c>
      <c r="D1577" t="inlineStr">
        <is>
          <t>C80399D9213B</t>
        </is>
      </c>
      <c r="E1577" s="24">
        <f>LEFT(D1577,2)&amp;":"&amp;MID(D1577,3,2)&amp;":"&amp;MID(D1577,5,2)&amp;":"&amp;MID(D1577,7,2)&amp;":"&amp;MID(D1577,9,2)&amp;":"&amp;RIGHT(D1577,2)</f>
        <v/>
      </c>
      <c r="H1577" s="2" t="inlineStr">
        <is>
          <t>A8499502085ED039</t>
        </is>
      </c>
      <c r="J1577" t="inlineStr">
        <is>
          <t>VIEZO0000000000000398</t>
        </is>
      </c>
    </row>
    <row r="1578">
      <c r="A1578" s="32" t="inlineStr">
        <is>
          <t>TANKWAGON</t>
        </is>
      </c>
      <c r="B1578" s="24">
        <f>IFERROR(INDEX(Companies!$A$3:$A$101,MATCH(A1578,Companies!$B$3:$B$101,0)),"")</f>
        <v/>
      </c>
      <c r="D1578" t="inlineStr">
        <is>
          <t>EF155CC769BC</t>
        </is>
      </c>
      <c r="E1578" s="24">
        <f>LEFT(D1578,2)&amp;":"&amp;MID(D1578,3,2)&amp;":"&amp;MID(D1578,5,2)&amp;":"&amp;MID(D1578,7,2)&amp;":"&amp;MID(D1578,9,2)&amp;":"&amp;RIGHT(D1578,2)</f>
        <v/>
      </c>
      <c r="H1578" s="2" t="inlineStr">
        <is>
          <t>C39F1B5B9DD42ABA</t>
        </is>
      </c>
      <c r="J1578" t="inlineStr">
        <is>
          <t>VIEZO0000000000000399</t>
        </is>
      </c>
    </row>
    <row r="1579">
      <c r="A1579" s="32" t="inlineStr">
        <is>
          <t>TANKWAGON</t>
        </is>
      </c>
      <c r="B1579" s="24">
        <f>IFERROR(INDEX(Companies!$A$3:$A$101,MATCH(A1579,Companies!$B$3:$B$101,0)),"")</f>
        <v/>
      </c>
      <c r="D1579" t="inlineStr">
        <is>
          <t>FE3A0B190514</t>
        </is>
      </c>
      <c r="E1579" s="24">
        <f>LEFT(D1579,2)&amp;":"&amp;MID(D1579,3,2)&amp;":"&amp;MID(D1579,5,2)&amp;":"&amp;MID(D1579,7,2)&amp;":"&amp;MID(D1579,9,2)&amp;":"&amp;RIGHT(D1579,2)</f>
        <v/>
      </c>
      <c r="H1579" s="2" t="inlineStr">
        <is>
          <t>9E26227F062708C1</t>
        </is>
      </c>
      <c r="J1579" t="inlineStr">
        <is>
          <t>VIEZO0000000000000400</t>
        </is>
      </c>
    </row>
    <row r="1580">
      <c r="A1580" s="32" t="inlineStr">
        <is>
          <t>TANKWAGON</t>
        </is>
      </c>
      <c r="B1580" s="24">
        <f>IFERROR(INDEX(Companies!$A$3:$A$101,MATCH(A1580,Companies!$B$3:$B$101,0)),"")</f>
        <v/>
      </c>
      <c r="D1580" t="inlineStr">
        <is>
          <t>E230DD069756</t>
        </is>
      </c>
      <c r="E1580" s="24">
        <f>LEFT(D1580,2)&amp;":"&amp;MID(D1580,3,2)&amp;":"&amp;MID(D1580,5,2)&amp;":"&amp;MID(D1580,7,2)&amp;":"&amp;MID(D1580,9,2)&amp;":"&amp;RIGHT(D1580,2)</f>
        <v/>
      </c>
      <c r="H1580" s="2" t="inlineStr">
        <is>
          <t>882D1C7BCD421E73</t>
        </is>
      </c>
      <c r="J1580" t="inlineStr">
        <is>
          <t>VIEZO0000000000000401</t>
        </is>
      </c>
    </row>
    <row r="1581">
      <c r="A1581" s="32" t="inlineStr">
        <is>
          <t>TANKWAGON</t>
        </is>
      </c>
      <c r="B1581" s="24">
        <f>IFERROR(INDEX(Companies!$A$3:$A$101,MATCH(A1581,Companies!$B$3:$B$101,0)),"")</f>
        <v/>
      </c>
      <c r="D1581" t="inlineStr">
        <is>
          <t>F34FEC8D505E</t>
        </is>
      </c>
      <c r="E1581" s="24">
        <f>LEFT(D1581,2)&amp;":"&amp;MID(D1581,3,2)&amp;":"&amp;MID(D1581,5,2)&amp;":"&amp;MID(D1581,7,2)&amp;":"&amp;MID(D1581,9,2)&amp;":"&amp;RIGHT(D1581,2)</f>
        <v/>
      </c>
      <c r="H1581" s="2" t="inlineStr">
        <is>
          <t>408973DAA2368091</t>
        </is>
      </c>
      <c r="J1581" t="inlineStr">
        <is>
          <t>VIEZO0000000000000402</t>
        </is>
      </c>
    </row>
    <row r="1582">
      <c r="A1582" s="32" t="inlineStr">
        <is>
          <t>TANKWAGON</t>
        </is>
      </c>
      <c r="B1582" s="24">
        <f>IFERROR(INDEX(Companies!$A$3:$A$101,MATCH(A1582,Companies!$B$3:$B$101,0)),"")</f>
        <v/>
      </c>
      <c r="D1582" t="inlineStr">
        <is>
          <t>F77ACF268DFA</t>
        </is>
      </c>
      <c r="E1582" s="24">
        <f>LEFT(D1582,2)&amp;":"&amp;MID(D1582,3,2)&amp;":"&amp;MID(D1582,5,2)&amp;":"&amp;MID(D1582,7,2)&amp;":"&amp;MID(D1582,9,2)&amp;":"&amp;RIGHT(D1582,2)</f>
        <v/>
      </c>
      <c r="H1582" s="2" t="inlineStr">
        <is>
          <t>2D25F15D92285DAF</t>
        </is>
      </c>
      <c r="J1582" t="inlineStr">
        <is>
          <t>VIEZO0000000000000403</t>
        </is>
      </c>
    </row>
    <row r="1583">
      <c r="A1583" s="32" t="inlineStr">
        <is>
          <t>TANKWAGON</t>
        </is>
      </c>
      <c r="B1583" s="24">
        <f>IFERROR(INDEX(Companies!$A$3:$A$101,MATCH(A1583,Companies!$B$3:$B$101,0)),"")</f>
        <v/>
      </c>
      <c r="D1583" t="inlineStr">
        <is>
          <t>F4047ACDA3D9</t>
        </is>
      </c>
      <c r="E1583" s="24">
        <f>LEFT(D1583,2)&amp;":"&amp;MID(D1583,3,2)&amp;":"&amp;MID(D1583,5,2)&amp;":"&amp;MID(D1583,7,2)&amp;":"&amp;MID(D1583,9,2)&amp;":"&amp;RIGHT(D1583,2)</f>
        <v/>
      </c>
      <c r="H1583" s="2" t="inlineStr">
        <is>
          <t>B98DA35DB055D6E2</t>
        </is>
      </c>
      <c r="J1583" t="inlineStr">
        <is>
          <t>VIEZO0000000000000404</t>
        </is>
      </c>
    </row>
    <row r="1584">
      <c r="A1584" s="32" t="inlineStr">
        <is>
          <t>TANKWAGON</t>
        </is>
      </c>
      <c r="B1584" s="24">
        <f>IFERROR(INDEX(Companies!$A$3:$A$101,MATCH(A1584,Companies!$B$3:$B$101,0)),"")</f>
        <v/>
      </c>
      <c r="D1584" t="inlineStr">
        <is>
          <t>D817B12A13D9</t>
        </is>
      </c>
      <c r="E1584" s="24">
        <f>LEFT(D1584,2)&amp;":"&amp;MID(D1584,3,2)&amp;":"&amp;MID(D1584,5,2)&amp;":"&amp;MID(D1584,7,2)&amp;":"&amp;MID(D1584,9,2)&amp;":"&amp;RIGHT(D1584,2)</f>
        <v/>
      </c>
      <c r="H1584" s="2" t="inlineStr">
        <is>
          <t>A14AB5466EA78ABA</t>
        </is>
      </c>
      <c r="J1584" t="inlineStr">
        <is>
          <t>VIEZO0000000000000405</t>
        </is>
      </c>
    </row>
    <row r="1585">
      <c r="A1585" s="32" t="inlineStr">
        <is>
          <t>TANKWAGON</t>
        </is>
      </c>
      <c r="B1585" s="24">
        <f>IFERROR(INDEX(Companies!$A$3:$A$101,MATCH(A1585,Companies!$B$3:$B$101,0)),"")</f>
        <v/>
      </c>
      <c r="D1585" t="inlineStr">
        <is>
          <t>CBF9835973C0</t>
        </is>
      </c>
      <c r="E1585" s="24">
        <f>LEFT(D1585,2)&amp;":"&amp;MID(D1585,3,2)&amp;":"&amp;MID(D1585,5,2)&amp;":"&amp;MID(D1585,7,2)&amp;":"&amp;MID(D1585,9,2)&amp;":"&amp;RIGHT(D1585,2)</f>
        <v/>
      </c>
      <c r="H1585" s="2" t="inlineStr">
        <is>
          <t>A8553F92DC2B24C7</t>
        </is>
      </c>
      <c r="J1585" t="inlineStr">
        <is>
          <t>VIEZO0000000000000406</t>
        </is>
      </c>
    </row>
    <row r="1586">
      <c r="A1586" s="32" t="inlineStr">
        <is>
          <t>TANKWAGON</t>
        </is>
      </c>
      <c r="B1586" s="24">
        <f>IFERROR(INDEX(Companies!$A$3:$A$101,MATCH(A1586,Companies!$B$3:$B$101,0)),"")</f>
        <v/>
      </c>
      <c r="D1586" t="inlineStr">
        <is>
          <t>FE5F3A9EABDF</t>
        </is>
      </c>
      <c r="E1586" s="24">
        <f>LEFT(D1586,2)&amp;":"&amp;MID(D1586,3,2)&amp;":"&amp;MID(D1586,5,2)&amp;":"&amp;MID(D1586,7,2)&amp;":"&amp;MID(D1586,9,2)&amp;":"&amp;RIGHT(D1586,2)</f>
        <v/>
      </c>
      <c r="H1586" s="2" t="inlineStr">
        <is>
          <t>6E91C45D7931078E</t>
        </is>
      </c>
      <c r="J1586" t="inlineStr">
        <is>
          <t>6E91C45D7931078E</t>
        </is>
      </c>
    </row>
    <row r="1587">
      <c r="A1587" s="32" t="inlineStr">
        <is>
          <t>TANKWAGON</t>
        </is>
      </c>
      <c r="B1587" s="24">
        <f>IFERROR(INDEX(Companies!$A$3:$A$101,MATCH(A1587,Companies!$B$3:$B$101,0)),"")</f>
        <v/>
      </c>
      <c r="D1587" t="inlineStr">
        <is>
          <t>D55D36552169</t>
        </is>
      </c>
      <c r="E1587" s="24">
        <f>LEFT(D1587,2)&amp;":"&amp;MID(D1587,3,2)&amp;":"&amp;MID(D1587,5,2)&amp;":"&amp;MID(D1587,7,2)&amp;":"&amp;MID(D1587,9,2)&amp;":"&amp;RIGHT(D1587,2)</f>
        <v/>
      </c>
      <c r="H1587" s="2" t="inlineStr">
        <is>
          <t>B458CF1948C41C0D</t>
        </is>
      </c>
      <c r="J1587" t="inlineStr">
        <is>
          <t>VIEZO0000000000000408</t>
        </is>
      </c>
    </row>
    <row r="1588">
      <c r="A1588" s="32" t="inlineStr">
        <is>
          <t>TANKWAGON</t>
        </is>
      </c>
      <c r="B1588" s="24">
        <f>IFERROR(INDEX(Companies!$A$3:$A$101,MATCH(A1588,Companies!$B$3:$B$101,0)),"")</f>
        <v/>
      </c>
      <c r="D1588" t="inlineStr">
        <is>
          <t>E7EB6F872E5D</t>
        </is>
      </c>
      <c r="E1588" s="24">
        <f>LEFT(D1588,2)&amp;":"&amp;MID(D1588,3,2)&amp;":"&amp;MID(D1588,5,2)&amp;":"&amp;MID(D1588,7,2)&amp;":"&amp;MID(D1588,9,2)&amp;":"&amp;RIGHT(D1588,2)</f>
        <v/>
      </c>
      <c r="H1588" s="2" t="inlineStr">
        <is>
          <t>442D71240346660B</t>
        </is>
      </c>
      <c r="J1588" t="inlineStr">
        <is>
          <t>VIEZO0000000000000409</t>
        </is>
      </c>
    </row>
    <row r="1589">
      <c r="A1589" s="32" t="inlineStr">
        <is>
          <t>TANKWAGON</t>
        </is>
      </c>
      <c r="B1589" s="24">
        <f>IFERROR(INDEX(Companies!$A$3:$A$101,MATCH(A1589,Companies!$B$3:$B$101,0)),"")</f>
        <v/>
      </c>
      <c r="D1589" t="inlineStr">
        <is>
          <t>D776F0F0A7B1</t>
        </is>
      </c>
      <c r="E1589" s="24">
        <f>LEFT(D1589,2)&amp;":"&amp;MID(D1589,3,2)&amp;":"&amp;MID(D1589,5,2)&amp;":"&amp;MID(D1589,7,2)&amp;":"&amp;MID(D1589,9,2)&amp;":"&amp;RIGHT(D1589,2)</f>
        <v/>
      </c>
      <c r="F1589" s="29" t="n">
        <v>45260</v>
      </c>
      <c r="G1589" s="29" t="inlineStr">
        <is>
          <t>Tankwagon</t>
        </is>
      </c>
      <c r="H1589" s="2" t="inlineStr">
        <is>
          <t>93DF2B96709475C1</t>
        </is>
      </c>
      <c r="J1589" t="inlineStr">
        <is>
          <t>VIEZO0000000000000410</t>
        </is>
      </c>
      <c r="K1589" s="27" t="inlineStr">
        <is>
          <t>33877916669-7</t>
        </is>
      </c>
      <c r="L1589" s="27" t="inlineStr">
        <is>
          <t>3L</t>
        </is>
      </c>
    </row>
    <row r="1590">
      <c r="A1590" s="32" t="inlineStr">
        <is>
          <t>TANKWAGON</t>
        </is>
      </c>
      <c r="B1590" s="24">
        <f>IFERROR(INDEX(Companies!$A$3:$A$101,MATCH(A1590,Companies!$B$3:$B$101,0)),"")</f>
        <v/>
      </c>
      <c r="D1590" t="inlineStr">
        <is>
          <t>EAB67D3871B6</t>
        </is>
      </c>
      <c r="E1590" s="24">
        <f>LEFT(D1590,2)&amp;":"&amp;MID(D1590,3,2)&amp;":"&amp;MID(D1590,5,2)&amp;":"&amp;MID(D1590,7,2)&amp;":"&amp;MID(D1590,9,2)&amp;":"&amp;RIGHT(D1590,2)</f>
        <v/>
      </c>
      <c r="H1590" s="2" t="inlineStr">
        <is>
          <t>768417CE43363A95</t>
        </is>
      </c>
      <c r="J1590" t="inlineStr">
        <is>
          <t>VIEZO0000000000000411</t>
        </is>
      </c>
    </row>
    <row r="1591">
      <c r="A1591" s="32" t="inlineStr">
        <is>
          <t>TANKWAGON</t>
        </is>
      </c>
      <c r="B1591" s="24">
        <f>IFERROR(INDEX(Companies!$A$3:$A$101,MATCH(A1591,Companies!$B$3:$B$101,0)),"")</f>
        <v/>
      </c>
      <c r="D1591" t="inlineStr">
        <is>
          <t>DD105A09978F</t>
        </is>
      </c>
      <c r="E1591" s="24">
        <f>LEFT(D1591,2)&amp;":"&amp;MID(D1591,3,2)&amp;":"&amp;MID(D1591,5,2)&amp;":"&amp;MID(D1591,7,2)&amp;":"&amp;MID(D1591,9,2)&amp;":"&amp;RIGHT(D1591,2)</f>
        <v/>
      </c>
      <c r="H1591" s="2" t="inlineStr">
        <is>
          <t>E5F32D5D262BE372</t>
        </is>
      </c>
      <c r="J1591" t="inlineStr">
        <is>
          <t>VIEZO0000000000000412</t>
        </is>
      </c>
    </row>
    <row r="1592">
      <c r="A1592" s="32" t="inlineStr">
        <is>
          <t>TANKWAGON</t>
        </is>
      </c>
      <c r="B1592" s="24">
        <f>IFERROR(INDEX(Companies!$A$3:$A$101,MATCH(A1592,Companies!$B$3:$B$101,0)),"")</f>
        <v/>
      </c>
      <c r="D1592" t="inlineStr">
        <is>
          <t>FC22A4293922</t>
        </is>
      </c>
      <c r="E1592" s="24">
        <f>LEFT(D1592,2)&amp;":"&amp;MID(D1592,3,2)&amp;":"&amp;MID(D1592,5,2)&amp;":"&amp;MID(D1592,7,2)&amp;":"&amp;MID(D1592,9,2)&amp;":"&amp;RIGHT(D1592,2)</f>
        <v/>
      </c>
      <c r="H1592" s="2" t="inlineStr">
        <is>
          <t>3BB1BEEA32514641</t>
        </is>
      </c>
      <c r="J1592" t="inlineStr">
        <is>
          <t>VIEZO0000000000000413</t>
        </is>
      </c>
    </row>
    <row r="1593">
      <c r="A1593" s="32" t="inlineStr">
        <is>
          <t>TANKWAGON</t>
        </is>
      </c>
      <c r="B1593" s="24">
        <f>IFERROR(INDEX(Companies!$A$3:$A$101,MATCH(A1593,Companies!$B$3:$B$101,0)),"")</f>
        <v/>
      </c>
      <c r="D1593" t="inlineStr">
        <is>
          <t>CF544A502D10</t>
        </is>
      </c>
      <c r="E1593" s="24">
        <f>LEFT(D1593,2)&amp;":"&amp;MID(D1593,3,2)&amp;":"&amp;MID(D1593,5,2)&amp;":"&amp;MID(D1593,7,2)&amp;":"&amp;MID(D1593,9,2)&amp;":"&amp;RIGHT(D1593,2)</f>
        <v/>
      </c>
      <c r="H1593" s="2" t="inlineStr">
        <is>
          <t>8D9A7FDD7AE9A9FA</t>
        </is>
      </c>
      <c r="J1593" t="inlineStr">
        <is>
          <t>VIEZO0000000000000414</t>
        </is>
      </c>
    </row>
    <row r="1594">
      <c r="A1594" s="32" t="inlineStr">
        <is>
          <t>TANKWAGON</t>
        </is>
      </c>
      <c r="B1594" s="24">
        <f>IFERROR(INDEX(Companies!$A$3:$A$101,MATCH(A1594,Companies!$B$3:$B$101,0)),"")</f>
        <v/>
      </c>
      <c r="D1594" t="inlineStr">
        <is>
          <t>D2B31D287D26</t>
        </is>
      </c>
      <c r="E1594" s="24">
        <f>LEFT(D1594,2)&amp;":"&amp;MID(D1594,3,2)&amp;":"&amp;MID(D1594,5,2)&amp;":"&amp;MID(D1594,7,2)&amp;":"&amp;MID(D1594,9,2)&amp;":"&amp;RIGHT(D1594,2)</f>
        <v/>
      </c>
      <c r="H1594" s="2" t="inlineStr">
        <is>
          <t>3A5D8F807E73ED58</t>
        </is>
      </c>
      <c r="J1594" t="inlineStr">
        <is>
          <t>VIEZO0000000000000415</t>
        </is>
      </c>
    </row>
    <row r="1595">
      <c r="A1595" s="32" t="inlineStr">
        <is>
          <t>TANKWAGON</t>
        </is>
      </c>
      <c r="B1595" s="24">
        <f>IFERROR(INDEX(Companies!$A$3:$A$101,MATCH(A1595,Companies!$B$3:$B$101,0)),"")</f>
        <v/>
      </c>
      <c r="D1595" t="inlineStr">
        <is>
          <t>D5028A67CFF6</t>
        </is>
      </c>
      <c r="E1595" s="24">
        <f>LEFT(D1595,2)&amp;":"&amp;MID(D1595,3,2)&amp;":"&amp;MID(D1595,5,2)&amp;":"&amp;MID(D1595,7,2)&amp;":"&amp;MID(D1595,9,2)&amp;":"&amp;RIGHT(D1595,2)</f>
        <v/>
      </c>
      <c r="H1595" s="2" t="inlineStr">
        <is>
          <t>E9641CE5670DA2DD</t>
        </is>
      </c>
      <c r="J1595" t="inlineStr">
        <is>
          <t>VIEZO0000000000000416</t>
        </is>
      </c>
    </row>
    <row r="1596">
      <c r="A1596" s="32" t="inlineStr">
        <is>
          <t>TANKWAGON</t>
        </is>
      </c>
      <c r="B1596" s="24">
        <f>IFERROR(INDEX(Companies!$A$3:$A$101,MATCH(A1596,Companies!$B$3:$B$101,0)),"")</f>
        <v/>
      </c>
      <c r="D1596" t="inlineStr">
        <is>
          <t>D1498B4CB45C</t>
        </is>
      </c>
      <c r="E1596" s="24">
        <f>LEFT(D1596,2)&amp;":"&amp;MID(D1596,3,2)&amp;":"&amp;MID(D1596,5,2)&amp;":"&amp;MID(D1596,7,2)&amp;":"&amp;MID(D1596,9,2)&amp;":"&amp;RIGHT(D1596,2)</f>
        <v/>
      </c>
      <c r="H1596" s="2" t="inlineStr">
        <is>
          <t>017BB60185468799</t>
        </is>
      </c>
      <c r="J1596" t="inlineStr">
        <is>
          <t>VIEZO0000000000000417</t>
        </is>
      </c>
    </row>
    <row r="1597">
      <c r="A1597" s="32" t="inlineStr">
        <is>
          <t>TANKWAGON</t>
        </is>
      </c>
      <c r="B1597" s="24">
        <f>IFERROR(INDEX(Companies!$A$3:$A$101,MATCH(A1597,Companies!$B$3:$B$101,0)),"")</f>
        <v/>
      </c>
      <c r="D1597" t="inlineStr">
        <is>
          <t>C454A203A1C8</t>
        </is>
      </c>
      <c r="E1597" s="24">
        <f>LEFT(D1597,2)&amp;":"&amp;MID(D1597,3,2)&amp;":"&amp;MID(D1597,5,2)&amp;":"&amp;MID(D1597,7,2)&amp;":"&amp;MID(D1597,9,2)&amp;":"&amp;RIGHT(D1597,2)</f>
        <v/>
      </c>
      <c r="H1597" s="2" t="inlineStr">
        <is>
          <t>B6B1467090197FAE</t>
        </is>
      </c>
      <c r="J1597" t="inlineStr">
        <is>
          <t>VIEZO0000000000000418</t>
        </is>
      </c>
    </row>
    <row r="1598">
      <c r="A1598" s="32" t="inlineStr">
        <is>
          <t>TANKWAGON</t>
        </is>
      </c>
      <c r="B1598" s="24">
        <f>IFERROR(INDEX(Companies!$A$3:$A$101,MATCH(A1598,Companies!$B$3:$B$101,0)),"")</f>
        <v/>
      </c>
      <c r="D1598" t="inlineStr">
        <is>
          <t>F93BAE23B2A6</t>
        </is>
      </c>
      <c r="E1598" s="24">
        <f>LEFT(D1598,2)&amp;":"&amp;MID(D1598,3,2)&amp;":"&amp;MID(D1598,5,2)&amp;":"&amp;MID(D1598,7,2)&amp;":"&amp;MID(D1598,9,2)&amp;":"&amp;RIGHT(D1598,2)</f>
        <v/>
      </c>
      <c r="H1598" s="2" t="inlineStr">
        <is>
          <t>F4EAE3EB7AA1326C</t>
        </is>
      </c>
      <c r="J1598" t="inlineStr">
        <is>
          <t>VIEZO0000000000000419</t>
        </is>
      </c>
    </row>
    <row r="1599">
      <c r="A1599" s="32" t="inlineStr">
        <is>
          <t>TANKWAGON</t>
        </is>
      </c>
      <c r="B1599" s="24">
        <f>IFERROR(INDEX(Companies!$A$3:$A$101,MATCH(A1599,Companies!$B$3:$B$101,0)),"")</f>
        <v/>
      </c>
      <c r="D1599" t="inlineStr">
        <is>
          <t>D4E62BE45FE5</t>
        </is>
      </c>
      <c r="E1599" s="24">
        <f>LEFT(D1599,2)&amp;":"&amp;MID(D1599,3,2)&amp;":"&amp;MID(D1599,5,2)&amp;":"&amp;MID(D1599,7,2)&amp;":"&amp;MID(D1599,9,2)&amp;":"&amp;RIGHT(D1599,2)</f>
        <v/>
      </c>
      <c r="H1599" s="2" t="inlineStr">
        <is>
          <t>BAF413B20DDC11C7</t>
        </is>
      </c>
      <c r="J1599" t="inlineStr">
        <is>
          <t>VIEZO0000000000000420</t>
        </is>
      </c>
    </row>
    <row r="1600">
      <c r="A1600" s="32" t="inlineStr">
        <is>
          <t>TANKWAGON</t>
        </is>
      </c>
      <c r="B1600" s="24">
        <f>IFERROR(INDEX(Companies!$A$3:$A$101,MATCH(A1600,Companies!$B$3:$B$101,0)),"")</f>
        <v/>
      </c>
      <c r="D1600" t="inlineStr">
        <is>
          <t>CCE7AF90F105</t>
        </is>
      </c>
      <c r="E1600" s="24">
        <f>LEFT(D1600,2)&amp;":"&amp;MID(D1600,3,2)&amp;":"&amp;MID(D1600,5,2)&amp;":"&amp;MID(D1600,7,2)&amp;":"&amp;MID(D1600,9,2)&amp;":"&amp;RIGHT(D1600,2)</f>
        <v/>
      </c>
      <c r="H1600" s="2" t="inlineStr">
        <is>
          <t>15A56121AA2CB221</t>
        </is>
      </c>
      <c r="J1600" t="inlineStr">
        <is>
          <t>VIEZO0000000000000421</t>
        </is>
      </c>
    </row>
    <row r="1601">
      <c r="A1601" s="32" t="inlineStr">
        <is>
          <t>TANKWAGON</t>
        </is>
      </c>
      <c r="B1601" s="24">
        <f>IFERROR(INDEX(Companies!$A$3:$A$101,MATCH(A1601,Companies!$B$3:$B$101,0)),"")</f>
        <v/>
      </c>
      <c r="D1601" t="inlineStr">
        <is>
          <t>C7E7DD6F5F40</t>
        </is>
      </c>
      <c r="E1601" s="24">
        <f>LEFT(D1601,2)&amp;":"&amp;MID(D1601,3,2)&amp;":"&amp;MID(D1601,5,2)&amp;":"&amp;MID(D1601,7,2)&amp;":"&amp;MID(D1601,9,2)&amp;":"&amp;RIGHT(D1601,2)</f>
        <v/>
      </c>
      <c r="H1601" s="2" t="inlineStr">
        <is>
          <t>CC3F301286EFD1BF</t>
        </is>
      </c>
      <c r="J1601" t="inlineStr">
        <is>
          <t>VIEZO0000000000000422</t>
        </is>
      </c>
    </row>
    <row r="1602">
      <c r="A1602" s="32" t="inlineStr">
        <is>
          <t>TANKWAGON</t>
        </is>
      </c>
      <c r="B1602" s="24">
        <f>IFERROR(INDEX(Companies!$A$3:$A$101,MATCH(A1602,Companies!$B$3:$B$101,0)),"")</f>
        <v/>
      </c>
      <c r="D1602" t="inlineStr">
        <is>
          <t>E9148FA54D5B</t>
        </is>
      </c>
      <c r="E1602" s="24">
        <f>LEFT(D1602,2)&amp;":"&amp;MID(D1602,3,2)&amp;":"&amp;MID(D1602,5,2)&amp;":"&amp;MID(D1602,7,2)&amp;":"&amp;MID(D1602,9,2)&amp;":"&amp;RIGHT(D1602,2)</f>
        <v/>
      </c>
      <c r="H1602" s="2" t="inlineStr">
        <is>
          <t>A766013F0BF4E269</t>
        </is>
      </c>
      <c r="J1602" t="inlineStr">
        <is>
          <t>VIEZO0000000000000423</t>
        </is>
      </c>
    </row>
    <row r="1603">
      <c r="A1603" s="32" t="inlineStr">
        <is>
          <t>TANKWAGON</t>
        </is>
      </c>
      <c r="B1603" s="24">
        <f>IFERROR(INDEX(Companies!$A$3:$A$101,MATCH(A1603,Companies!$B$3:$B$101,0)),"")</f>
        <v/>
      </c>
      <c r="D1603" t="inlineStr">
        <is>
          <t>EE79646DCB5F</t>
        </is>
      </c>
      <c r="E1603" s="24">
        <f>LEFT(D1603,2)&amp;":"&amp;MID(D1603,3,2)&amp;":"&amp;MID(D1603,5,2)&amp;":"&amp;MID(D1603,7,2)&amp;":"&amp;MID(D1603,9,2)&amp;":"&amp;RIGHT(D1603,2)</f>
        <v/>
      </c>
      <c r="H1603" s="2" t="inlineStr">
        <is>
          <t>ABCC7C0B6582E142</t>
        </is>
      </c>
      <c r="J1603" t="inlineStr">
        <is>
          <t>VIEZO0000000000000424</t>
        </is>
      </c>
    </row>
    <row r="1604">
      <c r="A1604" s="32" t="inlineStr">
        <is>
          <t>TANKWAGON</t>
        </is>
      </c>
      <c r="B1604" s="24">
        <f>IFERROR(INDEX(Companies!$A$3:$A$101,MATCH(A1604,Companies!$B$3:$B$101,0)),"")</f>
        <v/>
      </c>
      <c r="D1604" t="inlineStr">
        <is>
          <t>CFB88FFDBCC1</t>
        </is>
      </c>
      <c r="E1604" s="24">
        <f>LEFT(D1604,2)&amp;":"&amp;MID(D1604,3,2)&amp;":"&amp;MID(D1604,5,2)&amp;":"&amp;MID(D1604,7,2)&amp;":"&amp;MID(D1604,9,2)&amp;":"&amp;RIGHT(D1604,2)</f>
        <v/>
      </c>
      <c r="H1604" s="2" t="inlineStr">
        <is>
          <t>ED960C78292F130B</t>
        </is>
      </c>
      <c r="J1604" t="inlineStr">
        <is>
          <t>VIEZO0000000000000425</t>
        </is>
      </c>
    </row>
    <row r="1605">
      <c r="A1605" s="32" t="inlineStr">
        <is>
          <t>TANKWAGON</t>
        </is>
      </c>
      <c r="B1605" s="24">
        <f>IFERROR(INDEX(Companies!$A$3:$A$101,MATCH(A1605,Companies!$B$3:$B$101,0)),"")</f>
        <v/>
      </c>
      <c r="D1605" t="inlineStr">
        <is>
          <t>E73DFBF6BFF1</t>
        </is>
      </c>
      <c r="E1605" s="24">
        <f>LEFT(D1605,2)&amp;":"&amp;MID(D1605,3,2)&amp;":"&amp;MID(D1605,5,2)&amp;":"&amp;MID(D1605,7,2)&amp;":"&amp;MID(D1605,9,2)&amp;":"&amp;RIGHT(D1605,2)</f>
        <v/>
      </c>
      <c r="H1605" s="2" t="inlineStr">
        <is>
          <t>105A5683A9939FED</t>
        </is>
      </c>
      <c r="J1605" t="inlineStr">
        <is>
          <t>VIEZO0000000000000426</t>
        </is>
      </c>
    </row>
    <row r="1606">
      <c r="A1606" s="32" t="inlineStr">
        <is>
          <t>TANKWAGON</t>
        </is>
      </c>
      <c r="B1606" s="24">
        <f>IFERROR(INDEX(Companies!$A$3:$A$101,MATCH(A1606,Companies!$B$3:$B$101,0)),"")</f>
        <v/>
      </c>
      <c r="D1606" t="inlineStr">
        <is>
          <t>C8F786CD71A4</t>
        </is>
      </c>
      <c r="E1606" s="24">
        <f>LEFT(D1606,2)&amp;":"&amp;MID(D1606,3,2)&amp;":"&amp;MID(D1606,5,2)&amp;":"&amp;MID(D1606,7,2)&amp;":"&amp;MID(D1606,9,2)&amp;":"&amp;RIGHT(D1606,2)</f>
        <v/>
      </c>
      <c r="H1606" s="2" t="inlineStr">
        <is>
          <t>30A4367BE820CF88</t>
        </is>
      </c>
      <c r="J1606" t="inlineStr">
        <is>
          <t>VIEZO0000000000000427</t>
        </is>
      </c>
    </row>
    <row r="1607">
      <c r="A1607" s="32" t="inlineStr">
        <is>
          <t>TANKWAGON</t>
        </is>
      </c>
      <c r="B1607" s="24">
        <f>IFERROR(INDEX(Companies!$A$3:$A$101,MATCH(A1607,Companies!$B$3:$B$101,0)),"")</f>
        <v/>
      </c>
      <c r="D1607" t="inlineStr">
        <is>
          <t>FB37AE0BDB41</t>
        </is>
      </c>
      <c r="E1607" s="24">
        <f>LEFT(D1607,2)&amp;":"&amp;MID(D1607,3,2)&amp;":"&amp;MID(D1607,5,2)&amp;":"&amp;MID(D1607,7,2)&amp;":"&amp;MID(D1607,9,2)&amp;":"&amp;RIGHT(D1607,2)</f>
        <v/>
      </c>
      <c r="H1607" s="2" t="inlineStr">
        <is>
          <t>50CC11C337C155D2</t>
        </is>
      </c>
      <c r="J1607" t="inlineStr">
        <is>
          <t>VIEZO0000000000000428</t>
        </is>
      </c>
    </row>
    <row r="1608">
      <c r="A1608" s="32" t="inlineStr">
        <is>
          <t>TANKWAGON</t>
        </is>
      </c>
      <c r="B1608" s="24">
        <f>IFERROR(INDEX(Companies!$A$3:$A$101,MATCH(A1608,Companies!$B$3:$B$101,0)),"")</f>
        <v/>
      </c>
      <c r="D1608" t="inlineStr">
        <is>
          <t>EB4C7AF4D67B</t>
        </is>
      </c>
      <c r="E1608" s="24">
        <f>LEFT(D1608,2)&amp;":"&amp;MID(D1608,3,2)&amp;":"&amp;MID(D1608,5,2)&amp;":"&amp;MID(D1608,7,2)&amp;":"&amp;MID(D1608,9,2)&amp;":"&amp;RIGHT(D1608,2)</f>
        <v/>
      </c>
      <c r="H1608" s="2" t="inlineStr">
        <is>
          <t>64B5DFCF944D1967</t>
        </is>
      </c>
      <c r="J1608" t="inlineStr">
        <is>
          <t>VIEZO0000000000000429</t>
        </is>
      </c>
    </row>
    <row r="1609">
      <c r="A1609" s="32" t="inlineStr">
        <is>
          <t>TANKWAGON</t>
        </is>
      </c>
      <c r="B1609" s="24">
        <f>IFERROR(INDEX(Companies!$A$3:$A$101,MATCH(A1609,Companies!$B$3:$B$101,0)),"")</f>
        <v/>
      </c>
      <c r="D1609" t="inlineStr">
        <is>
          <t>F4953C5B7654</t>
        </is>
      </c>
      <c r="E1609" s="24">
        <f>LEFT(D1609,2)&amp;":"&amp;MID(D1609,3,2)&amp;":"&amp;MID(D1609,5,2)&amp;":"&amp;MID(D1609,7,2)&amp;":"&amp;MID(D1609,9,2)&amp;":"&amp;RIGHT(D1609,2)</f>
        <v/>
      </c>
      <c r="H1609" s="2" t="inlineStr">
        <is>
          <t>7851E50DC3DD6804</t>
        </is>
      </c>
      <c r="J1609" t="inlineStr">
        <is>
          <t>VIEZO0000000000000430</t>
        </is>
      </c>
    </row>
    <row r="1610">
      <c r="A1610" s="32" t="inlineStr">
        <is>
          <t>TANKWAGON</t>
        </is>
      </c>
      <c r="B1610" s="24">
        <f>IFERROR(INDEX(Companies!$A$3:$A$101,MATCH(A1610,Companies!$B$3:$B$101,0)),"")</f>
        <v/>
      </c>
      <c r="D1610" t="inlineStr">
        <is>
          <t>C555DDED28F7</t>
        </is>
      </c>
      <c r="E1610" s="24">
        <f>LEFT(D1610,2)&amp;":"&amp;MID(D1610,3,2)&amp;":"&amp;MID(D1610,5,2)&amp;":"&amp;MID(D1610,7,2)&amp;":"&amp;MID(D1610,9,2)&amp;":"&amp;RIGHT(D1610,2)</f>
        <v/>
      </c>
      <c r="H1610" s="2" t="inlineStr">
        <is>
          <t>C0420C127586E3D0</t>
        </is>
      </c>
      <c r="J1610" t="inlineStr">
        <is>
          <t>VIEZO0000000000000431</t>
        </is>
      </c>
    </row>
    <row r="1611">
      <c r="A1611" s="32" t="inlineStr">
        <is>
          <t>TANKWAGON</t>
        </is>
      </c>
      <c r="B1611" s="24">
        <f>IFERROR(INDEX(Companies!$A$3:$A$101,MATCH(A1611,Companies!$B$3:$B$101,0)),"")</f>
        <v/>
      </c>
      <c r="D1611" t="inlineStr">
        <is>
          <t>E386F84140A1</t>
        </is>
      </c>
      <c r="E1611" s="24">
        <f>LEFT(D1611,2)&amp;":"&amp;MID(D1611,3,2)&amp;":"&amp;MID(D1611,5,2)&amp;":"&amp;MID(D1611,7,2)&amp;":"&amp;MID(D1611,9,2)&amp;":"&amp;RIGHT(D1611,2)</f>
        <v/>
      </c>
      <c r="H1611" s="2" t="inlineStr">
        <is>
          <t>2D698E0CCEAAF743</t>
        </is>
      </c>
      <c r="J1611" t="inlineStr">
        <is>
          <t>VIEZO0000000000000432</t>
        </is>
      </c>
    </row>
    <row r="1612">
      <c r="A1612" s="32" t="inlineStr">
        <is>
          <t>TANKWAGON</t>
        </is>
      </c>
      <c r="B1612" s="24">
        <f>IFERROR(INDEX(Companies!$A$3:$A$101,MATCH(A1612,Companies!$B$3:$B$101,0)),"")</f>
        <v/>
      </c>
      <c r="D1612" t="inlineStr">
        <is>
          <t>DB45B12903B1</t>
        </is>
      </c>
      <c r="E1612" s="24">
        <f>LEFT(D1612,2)&amp;":"&amp;MID(D1612,3,2)&amp;":"&amp;MID(D1612,5,2)&amp;":"&amp;MID(D1612,7,2)&amp;":"&amp;MID(D1612,9,2)&amp;":"&amp;RIGHT(D1612,2)</f>
        <v/>
      </c>
      <c r="H1612" s="2" t="inlineStr">
        <is>
          <t>1F3EBF7829818102</t>
        </is>
      </c>
      <c r="J1612" t="inlineStr">
        <is>
          <t>VIEZO0000000000000433</t>
        </is>
      </c>
    </row>
    <row r="1613">
      <c r="A1613" s="32" t="inlineStr">
        <is>
          <t>TANKWAGON</t>
        </is>
      </c>
      <c r="B1613" s="24">
        <f>IFERROR(INDEX(Companies!$A$3:$A$101,MATCH(A1613,Companies!$B$3:$B$101,0)),"")</f>
        <v/>
      </c>
      <c r="D1613" t="inlineStr">
        <is>
          <t>D9FB7689410E</t>
        </is>
      </c>
      <c r="E1613" s="24">
        <f>LEFT(D1613,2)&amp;":"&amp;MID(D1613,3,2)&amp;":"&amp;MID(D1613,5,2)&amp;":"&amp;MID(D1613,7,2)&amp;":"&amp;MID(D1613,9,2)&amp;":"&amp;RIGHT(D1613,2)</f>
        <v/>
      </c>
      <c r="H1613" s="2" t="inlineStr">
        <is>
          <t>854228C0CEB87619</t>
        </is>
      </c>
      <c r="J1613" t="inlineStr">
        <is>
          <t>VIEZO0000000000000434</t>
        </is>
      </c>
      <c r="N1613" s="99" t="inlineStr">
        <is>
          <t>Nexxiot</t>
        </is>
      </c>
    </row>
    <row r="1614">
      <c r="A1614" s="32" t="inlineStr">
        <is>
          <t>TANKWAGON</t>
        </is>
      </c>
      <c r="B1614" s="24">
        <f>IFERROR(INDEX(Companies!$A$3:$A$101,MATCH(A1614,Companies!$B$3:$B$101,0)),"")</f>
        <v/>
      </c>
      <c r="D1614" t="inlineStr">
        <is>
          <t>D64CEA981362</t>
        </is>
      </c>
      <c r="E1614" s="24">
        <f>LEFT(D1614,2)&amp;":"&amp;MID(D1614,3,2)&amp;":"&amp;MID(D1614,5,2)&amp;":"&amp;MID(D1614,7,2)&amp;":"&amp;MID(D1614,9,2)&amp;":"&amp;RIGHT(D1614,2)</f>
        <v/>
      </c>
      <c r="H1614" s="2" t="inlineStr">
        <is>
          <t>EF565E4F8B2FF9CC</t>
        </is>
      </c>
      <c r="J1614" t="inlineStr">
        <is>
          <t>VIEZO0000000000000435</t>
        </is>
      </c>
      <c r="N1614" s="99" t="inlineStr">
        <is>
          <t>Nexxiot</t>
        </is>
      </c>
    </row>
    <row r="1615">
      <c r="A1615" s="32" t="inlineStr">
        <is>
          <t>TANKWAGON</t>
        </is>
      </c>
      <c r="B1615" s="24">
        <f>IFERROR(INDEX(Companies!$A$3:$A$101,MATCH(A1615,Companies!$B$3:$B$101,0)),"")</f>
        <v/>
      </c>
      <c r="D1615" t="inlineStr">
        <is>
          <t>D9926B1DC969</t>
        </is>
      </c>
      <c r="E1615" s="24">
        <f>LEFT(D1615,2)&amp;":"&amp;MID(D1615,3,2)&amp;":"&amp;MID(D1615,5,2)&amp;":"&amp;MID(D1615,7,2)&amp;":"&amp;MID(D1615,9,2)&amp;":"&amp;RIGHT(D1615,2)</f>
        <v/>
      </c>
      <c r="H1615" s="2" t="inlineStr">
        <is>
          <t>AF867284AE55886B</t>
        </is>
      </c>
      <c r="J1615" t="inlineStr">
        <is>
          <t>VIEZO0000000000000436</t>
        </is>
      </c>
    </row>
    <row r="1616">
      <c r="A1616" s="32" t="inlineStr">
        <is>
          <t>TANKWAGON</t>
        </is>
      </c>
      <c r="B1616" s="24">
        <f>IFERROR(INDEX(Companies!$A$3:$A$101,MATCH(A1616,Companies!$B$3:$B$101,0)),"")</f>
        <v/>
      </c>
      <c r="D1616" t="inlineStr">
        <is>
          <t>E1E30354AF10</t>
        </is>
      </c>
      <c r="E1616" s="24">
        <f>LEFT(D1616,2)&amp;":"&amp;MID(D1616,3,2)&amp;":"&amp;MID(D1616,5,2)&amp;":"&amp;MID(D1616,7,2)&amp;":"&amp;MID(D1616,9,2)&amp;":"&amp;RIGHT(D1616,2)</f>
        <v/>
      </c>
      <c r="H1616" s="2" t="inlineStr">
        <is>
          <t>BBA34FE2B5A024A0</t>
        </is>
      </c>
      <c r="J1616" t="inlineStr">
        <is>
          <t>VIEZO0000000000000437</t>
        </is>
      </c>
    </row>
    <row r="1617">
      <c r="A1617" s="32" t="inlineStr">
        <is>
          <t>TANKWAGON</t>
        </is>
      </c>
      <c r="B1617" s="24">
        <f>IFERROR(INDEX(Companies!$A$3:$A$101,MATCH(A1617,Companies!$B$3:$B$101,0)),"")</f>
        <v/>
      </c>
      <c r="D1617" t="inlineStr">
        <is>
          <t>E8D8D2968268</t>
        </is>
      </c>
      <c r="E1617" s="24">
        <f>LEFT(D1617,2)&amp;":"&amp;MID(D1617,3,2)&amp;":"&amp;MID(D1617,5,2)&amp;":"&amp;MID(D1617,7,2)&amp;":"&amp;MID(D1617,9,2)&amp;":"&amp;RIGHT(D1617,2)</f>
        <v/>
      </c>
      <c r="H1617" s="2" t="inlineStr">
        <is>
          <t>9075AB74EC99B69B</t>
        </is>
      </c>
      <c r="J1617" t="inlineStr">
        <is>
          <t>VIEZO0000000000000438</t>
        </is>
      </c>
    </row>
    <row r="1618">
      <c r="A1618" s="32" t="inlineStr">
        <is>
          <t>TANKWAGON</t>
        </is>
      </c>
      <c r="B1618" s="24">
        <f>IFERROR(INDEX(Companies!$A$3:$A$101,MATCH(A1618,Companies!$B$3:$B$101,0)),"")</f>
        <v/>
      </c>
      <c r="D1618" t="inlineStr">
        <is>
          <t>CA8577996AD1</t>
        </is>
      </c>
      <c r="E1618" s="24">
        <f>LEFT(D1618,2)&amp;":"&amp;MID(D1618,3,2)&amp;":"&amp;MID(D1618,5,2)&amp;":"&amp;MID(D1618,7,2)&amp;":"&amp;MID(D1618,9,2)&amp;":"&amp;RIGHT(D1618,2)</f>
        <v/>
      </c>
      <c r="H1618" s="2" t="inlineStr">
        <is>
          <t>5F80DED768DBC27F</t>
        </is>
      </c>
      <c r="J1618" t="inlineStr">
        <is>
          <t>VIEZO0000000000000439</t>
        </is>
      </c>
    </row>
    <row r="1619">
      <c r="A1619" s="32" t="inlineStr">
        <is>
          <t>TANKWAGON</t>
        </is>
      </c>
      <c r="B1619" s="24">
        <f>IFERROR(INDEX(Companies!$A$3:$A$101,MATCH(A1619,Companies!$B$3:$B$101,0)),"")</f>
        <v/>
      </c>
      <c r="D1619" t="inlineStr">
        <is>
          <t>DED184232CD4</t>
        </is>
      </c>
      <c r="E1619" s="24">
        <f>LEFT(D1619,2)&amp;":"&amp;MID(D1619,3,2)&amp;":"&amp;MID(D1619,5,2)&amp;":"&amp;MID(D1619,7,2)&amp;":"&amp;MID(D1619,9,2)&amp;":"&amp;RIGHT(D1619,2)</f>
        <v/>
      </c>
      <c r="H1619" s="2" t="inlineStr">
        <is>
          <t>50046EEE15453A53</t>
        </is>
      </c>
      <c r="J1619" t="inlineStr">
        <is>
          <t>VIEZO0000000000000440</t>
        </is>
      </c>
    </row>
    <row r="1620">
      <c r="A1620" s="32" t="inlineStr">
        <is>
          <t>TANKWAGON</t>
        </is>
      </c>
      <c r="B1620" s="24">
        <f>IFERROR(INDEX(Companies!$A$3:$A$101,MATCH(A1620,Companies!$B$3:$B$101,0)),"")</f>
        <v/>
      </c>
      <c r="D1620" t="inlineStr">
        <is>
          <t>C1BFC50A1F97</t>
        </is>
      </c>
      <c r="E1620" s="24">
        <f>LEFT(D1620,2)&amp;":"&amp;MID(D1620,3,2)&amp;":"&amp;MID(D1620,5,2)&amp;":"&amp;MID(D1620,7,2)&amp;":"&amp;MID(D1620,9,2)&amp;":"&amp;RIGHT(D1620,2)</f>
        <v/>
      </c>
      <c r="H1620" s="2" t="inlineStr">
        <is>
          <t>BAD5085AE650D97C</t>
        </is>
      </c>
      <c r="J1620" t="inlineStr">
        <is>
          <t>VIEZO0000000000000441</t>
        </is>
      </c>
    </row>
    <row r="1621">
      <c r="A1621" s="32" t="inlineStr">
        <is>
          <t>TANKWAGON</t>
        </is>
      </c>
      <c r="B1621" s="24">
        <f>IFERROR(INDEX(Companies!$A$3:$A$101,MATCH(A1621,Companies!$B$3:$B$101,0)),"")</f>
        <v/>
      </c>
      <c r="D1621" t="inlineStr">
        <is>
          <t>F02085073045</t>
        </is>
      </c>
      <c r="E1621" s="24">
        <f>LEFT(D1621,2)&amp;":"&amp;MID(D1621,3,2)&amp;":"&amp;MID(D1621,5,2)&amp;":"&amp;MID(D1621,7,2)&amp;":"&amp;MID(D1621,9,2)&amp;":"&amp;RIGHT(D1621,2)</f>
        <v/>
      </c>
      <c r="H1621" s="2" t="inlineStr">
        <is>
          <t>4F8A2359DBA04B02</t>
        </is>
      </c>
      <c r="J1621" t="inlineStr">
        <is>
          <t>VIEZO0000000000000442</t>
        </is>
      </c>
    </row>
    <row r="1622">
      <c r="A1622" s="32" t="inlineStr">
        <is>
          <t>TANKWAGON</t>
        </is>
      </c>
      <c r="B1622" s="24">
        <f>IFERROR(INDEX(Companies!$A$3:$A$101,MATCH(A1622,Companies!$B$3:$B$101,0)),"")</f>
        <v/>
      </c>
      <c r="D1622" t="inlineStr">
        <is>
          <t>C751B9D2C61A</t>
        </is>
      </c>
      <c r="E1622" s="24">
        <f>LEFT(D1622,2)&amp;":"&amp;MID(D1622,3,2)&amp;":"&amp;MID(D1622,5,2)&amp;":"&amp;MID(D1622,7,2)&amp;":"&amp;MID(D1622,9,2)&amp;":"&amp;RIGHT(D1622,2)</f>
        <v/>
      </c>
      <c r="H1622" s="2" t="inlineStr">
        <is>
          <t>69B9CACC1B0E43A4</t>
        </is>
      </c>
      <c r="J1622" t="inlineStr">
        <is>
          <t>VIEZO0000000000000443</t>
        </is>
      </c>
    </row>
    <row r="1623">
      <c r="A1623" s="32" t="inlineStr">
        <is>
          <t>TANKWAGON</t>
        </is>
      </c>
      <c r="B1623" s="24">
        <f>IFERROR(INDEX(Companies!$A$3:$A$101,MATCH(A1623,Companies!$B$3:$B$101,0)),"")</f>
        <v/>
      </c>
      <c r="D1623" t="inlineStr">
        <is>
          <t>E537EA8A6721</t>
        </is>
      </c>
      <c r="E1623" s="24">
        <f>LEFT(D1623,2)&amp;":"&amp;MID(D1623,3,2)&amp;":"&amp;MID(D1623,5,2)&amp;":"&amp;MID(D1623,7,2)&amp;":"&amp;MID(D1623,9,2)&amp;":"&amp;RIGHT(D1623,2)</f>
        <v/>
      </c>
      <c r="F1623" s="29" t="n">
        <v>45260</v>
      </c>
      <c r="G1623" s="29" t="inlineStr">
        <is>
          <t>Tankwagon</t>
        </is>
      </c>
      <c r="H1623" s="2" t="inlineStr">
        <is>
          <t>11480CD21D1F4D52</t>
        </is>
      </c>
      <c r="J1623" t="inlineStr">
        <is>
          <t>VIEZO0000000000000444</t>
        </is>
      </c>
      <c r="K1623" s="27" t="inlineStr">
        <is>
          <t>33877916625-9</t>
        </is>
      </c>
      <c r="L1623" s="27" t="inlineStr">
        <is>
          <t>4L</t>
        </is>
      </c>
    </row>
    <row r="1624">
      <c r="A1624" s="32" t="inlineStr">
        <is>
          <t>TANKWAGON</t>
        </is>
      </c>
      <c r="B1624" s="24">
        <f>IFERROR(INDEX(Companies!$A$3:$A$101,MATCH(A1624,Companies!$B$3:$B$101,0)),"")</f>
        <v/>
      </c>
      <c r="D1624" t="inlineStr">
        <is>
          <t>E1B83A5AEB0D</t>
        </is>
      </c>
      <c r="E1624" s="24">
        <f>LEFT(D1624,2)&amp;":"&amp;MID(D1624,3,2)&amp;":"&amp;MID(D1624,5,2)&amp;":"&amp;MID(D1624,7,2)&amp;":"&amp;MID(D1624,9,2)&amp;":"&amp;RIGHT(D1624,2)</f>
        <v/>
      </c>
      <c r="H1624" s="2" t="inlineStr">
        <is>
          <t>5429B869F4AB226F</t>
        </is>
      </c>
      <c r="J1624" t="inlineStr">
        <is>
          <t>VIEZO0000000000000445</t>
        </is>
      </c>
    </row>
    <row r="1625">
      <c r="A1625" s="32" t="inlineStr">
        <is>
          <t>TANKWAGON</t>
        </is>
      </c>
      <c r="B1625" s="24">
        <f>IFERROR(INDEX(Companies!$A$3:$A$101,MATCH(A1625,Companies!$B$3:$B$101,0)),"")</f>
        <v/>
      </c>
      <c r="D1625" t="inlineStr">
        <is>
          <t>E332A589A1EE</t>
        </is>
      </c>
      <c r="E1625" s="24">
        <f>LEFT(D1625,2)&amp;":"&amp;MID(D1625,3,2)&amp;":"&amp;MID(D1625,5,2)&amp;":"&amp;MID(D1625,7,2)&amp;":"&amp;MID(D1625,9,2)&amp;":"&amp;RIGHT(D1625,2)</f>
        <v/>
      </c>
      <c r="H1625" s="2" t="inlineStr">
        <is>
          <t>982FDE71711C60BC</t>
        </is>
      </c>
      <c r="J1625" t="inlineStr">
        <is>
          <t>VIEZO0000000000000446</t>
        </is>
      </c>
    </row>
    <row r="1626">
      <c r="A1626" s="32" t="inlineStr">
        <is>
          <t>TANKWAGON</t>
        </is>
      </c>
      <c r="B1626" s="24">
        <f>IFERROR(INDEX(Companies!$A$3:$A$101,MATCH(A1626,Companies!$B$3:$B$101,0)),"")</f>
        <v/>
      </c>
      <c r="D1626" t="inlineStr">
        <is>
          <t>E3E37BFB14D1</t>
        </is>
      </c>
      <c r="E1626" s="24">
        <f>LEFT(D1626,2)&amp;":"&amp;MID(D1626,3,2)&amp;":"&amp;MID(D1626,5,2)&amp;":"&amp;MID(D1626,7,2)&amp;":"&amp;MID(D1626,9,2)&amp;":"&amp;RIGHT(D1626,2)</f>
        <v/>
      </c>
      <c r="H1626" s="2" t="inlineStr">
        <is>
          <t>7CB51BA70A05AF2D</t>
        </is>
      </c>
      <c r="J1626" t="inlineStr">
        <is>
          <t>VIEZO0000000000000447</t>
        </is>
      </c>
    </row>
    <row r="1627">
      <c r="A1627" s="32" t="inlineStr">
        <is>
          <t>TANKWAGON</t>
        </is>
      </c>
      <c r="B1627" s="24">
        <f>IFERROR(INDEX(Companies!$A$3:$A$101,MATCH(A1627,Companies!$B$3:$B$101,0)),"")</f>
        <v/>
      </c>
      <c r="D1627" t="inlineStr">
        <is>
          <t>E3E91D79D8CC</t>
        </is>
      </c>
      <c r="E1627" s="24">
        <f>LEFT(D1627,2)&amp;":"&amp;MID(D1627,3,2)&amp;":"&amp;MID(D1627,5,2)&amp;":"&amp;MID(D1627,7,2)&amp;":"&amp;MID(D1627,9,2)&amp;":"&amp;RIGHT(D1627,2)</f>
        <v/>
      </c>
      <c r="H1627" s="2" t="inlineStr">
        <is>
          <t>08D267440886C107</t>
        </is>
      </c>
      <c r="J1627" t="inlineStr">
        <is>
          <t>VIEZO0000000000000448</t>
        </is>
      </c>
    </row>
    <row r="1628">
      <c r="A1628" s="32" t="inlineStr">
        <is>
          <t>TANKWAGON</t>
        </is>
      </c>
      <c r="B1628" s="24">
        <f>IFERROR(INDEX(Companies!$A$3:$A$101,MATCH(A1628,Companies!$B$3:$B$101,0)),"")</f>
        <v/>
      </c>
      <c r="D1628" t="inlineStr">
        <is>
          <t>C8E37F35F95B</t>
        </is>
      </c>
      <c r="E1628" s="24">
        <f>LEFT(D1628,2)&amp;":"&amp;MID(D1628,3,2)&amp;":"&amp;MID(D1628,5,2)&amp;":"&amp;MID(D1628,7,2)&amp;":"&amp;MID(D1628,9,2)&amp;":"&amp;RIGHT(D1628,2)</f>
        <v/>
      </c>
      <c r="H1628" s="2" t="inlineStr">
        <is>
          <t>650532C6245592CD</t>
        </is>
      </c>
      <c r="J1628" t="inlineStr">
        <is>
          <t>VIEZO0000000000000449</t>
        </is>
      </c>
    </row>
    <row r="1629">
      <c r="A1629" s="32" t="inlineStr">
        <is>
          <t>TANKWAGON</t>
        </is>
      </c>
      <c r="B1629" s="24">
        <f>IFERROR(INDEX(Companies!$A$3:$A$101,MATCH(A1629,Companies!$B$3:$B$101,0)),"")</f>
        <v/>
      </c>
      <c r="D1629" t="inlineStr">
        <is>
          <t>D16432E74752</t>
        </is>
      </c>
      <c r="E1629" s="24">
        <f>LEFT(D1629,2)&amp;":"&amp;MID(D1629,3,2)&amp;":"&amp;MID(D1629,5,2)&amp;":"&amp;MID(D1629,7,2)&amp;":"&amp;MID(D1629,9,2)&amp;":"&amp;RIGHT(D1629,2)</f>
        <v/>
      </c>
      <c r="H1629" s="2" t="inlineStr">
        <is>
          <t>882E8999C72CED42</t>
        </is>
      </c>
      <c r="J1629" t="inlineStr">
        <is>
          <t>VIEZO0000000000000450</t>
        </is>
      </c>
    </row>
    <row r="1630">
      <c r="A1630" s="32" t="inlineStr">
        <is>
          <t>TANKWAGON</t>
        </is>
      </c>
      <c r="B1630" s="24">
        <f>IFERROR(INDEX(Companies!$A$3:$A$101,MATCH(A1630,Companies!$B$3:$B$101,0)),"")</f>
        <v/>
      </c>
      <c r="D1630" t="inlineStr">
        <is>
          <t>FC282573CF5B</t>
        </is>
      </c>
      <c r="E1630" s="24">
        <f>LEFT(D1630,2)&amp;":"&amp;MID(D1630,3,2)&amp;":"&amp;MID(D1630,5,2)&amp;":"&amp;MID(D1630,7,2)&amp;":"&amp;MID(D1630,9,2)&amp;":"&amp;RIGHT(D1630,2)</f>
        <v/>
      </c>
      <c r="H1630" s="2" t="inlineStr">
        <is>
          <t>A7F25E4F38101E0D</t>
        </is>
      </c>
      <c r="J1630" t="inlineStr">
        <is>
          <t>VIEZO0000000000000451</t>
        </is>
      </c>
    </row>
    <row r="1631">
      <c r="A1631" s="32" t="inlineStr">
        <is>
          <t>TANKWAGON</t>
        </is>
      </c>
      <c r="B1631" s="24">
        <f>IFERROR(INDEX(Companies!$A$3:$A$101,MATCH(A1631,Companies!$B$3:$B$101,0)),"")</f>
        <v/>
      </c>
      <c r="D1631" t="inlineStr">
        <is>
          <t>F3D018F7FEC6</t>
        </is>
      </c>
      <c r="E1631" s="24">
        <f>LEFT(D1631,2)&amp;":"&amp;MID(D1631,3,2)&amp;":"&amp;MID(D1631,5,2)&amp;":"&amp;MID(D1631,7,2)&amp;":"&amp;MID(D1631,9,2)&amp;":"&amp;RIGHT(D1631,2)</f>
        <v/>
      </c>
      <c r="H1631" s="2" t="inlineStr">
        <is>
          <t>C7A8B0DE4AD2F106</t>
        </is>
      </c>
      <c r="J1631" t="inlineStr">
        <is>
          <t>VIEZO0000000000000452</t>
        </is>
      </c>
    </row>
    <row r="1632">
      <c r="A1632" s="32" t="inlineStr">
        <is>
          <t>TANKWAGON</t>
        </is>
      </c>
      <c r="B1632" s="24">
        <f>IFERROR(INDEX(Companies!$A$3:$A$101,MATCH(A1632,Companies!$B$3:$B$101,0)),"")</f>
        <v/>
      </c>
      <c r="D1632" t="inlineStr">
        <is>
          <t>E3B00D99D7AE</t>
        </is>
      </c>
      <c r="E1632" s="24">
        <f>LEFT(D1632,2)&amp;":"&amp;MID(D1632,3,2)&amp;":"&amp;MID(D1632,5,2)&amp;":"&amp;MID(D1632,7,2)&amp;":"&amp;MID(D1632,9,2)&amp;":"&amp;RIGHT(D1632,2)</f>
        <v/>
      </c>
      <c r="H1632" s="2" t="inlineStr">
        <is>
          <t>C4933B4790E2CC9C</t>
        </is>
      </c>
      <c r="J1632" t="inlineStr">
        <is>
          <t>VIEZO0000000000000453</t>
        </is>
      </c>
    </row>
    <row r="1633">
      <c r="A1633" s="32" t="inlineStr">
        <is>
          <t>TANKWAGON</t>
        </is>
      </c>
      <c r="B1633" s="24">
        <f>IFERROR(INDEX(Companies!$A$3:$A$101,MATCH(A1633,Companies!$B$3:$B$101,0)),"")</f>
        <v/>
      </c>
      <c r="D1633" t="inlineStr">
        <is>
          <t>CA01D7889390</t>
        </is>
      </c>
      <c r="E1633" s="24">
        <f>LEFT(D1633,2)&amp;":"&amp;MID(D1633,3,2)&amp;":"&amp;MID(D1633,5,2)&amp;":"&amp;MID(D1633,7,2)&amp;":"&amp;MID(D1633,9,2)&amp;":"&amp;RIGHT(D1633,2)</f>
        <v/>
      </c>
      <c r="H1633" s="2" t="inlineStr">
        <is>
          <t>28C0B82B485F791C</t>
        </is>
      </c>
      <c r="J1633" t="inlineStr">
        <is>
          <t>VIEZO0000000000000454</t>
        </is>
      </c>
    </row>
    <row r="1634">
      <c r="A1634" s="32" t="inlineStr">
        <is>
          <t>TANKWAGON</t>
        </is>
      </c>
      <c r="B1634" s="24">
        <f>IFERROR(INDEX(Companies!$A$3:$A$101,MATCH(A1634,Companies!$B$3:$B$101,0)),"")</f>
        <v/>
      </c>
      <c r="D1634" t="inlineStr">
        <is>
          <t>F69E56FCC216</t>
        </is>
      </c>
      <c r="E1634" s="24">
        <f>LEFT(D1634,2)&amp;":"&amp;MID(D1634,3,2)&amp;":"&amp;MID(D1634,5,2)&amp;":"&amp;MID(D1634,7,2)&amp;":"&amp;MID(D1634,9,2)&amp;":"&amp;RIGHT(D1634,2)</f>
        <v/>
      </c>
      <c r="H1634" s="2" t="inlineStr">
        <is>
          <t>FDB4BAF6969F5E52</t>
        </is>
      </c>
      <c r="J1634" t="inlineStr">
        <is>
          <t>VIEZO0000000000000455</t>
        </is>
      </c>
    </row>
    <row r="1635">
      <c r="A1635" s="32" t="inlineStr">
        <is>
          <t>TANKWAGON</t>
        </is>
      </c>
      <c r="B1635" s="24">
        <f>IFERROR(INDEX(Companies!$A$3:$A$101,MATCH(A1635,Companies!$B$3:$B$101,0)),"")</f>
        <v/>
      </c>
      <c r="D1635" t="inlineStr">
        <is>
          <t>D0013CDEEFD7</t>
        </is>
      </c>
      <c r="E1635" s="24">
        <f>LEFT(D1635,2)&amp;":"&amp;MID(D1635,3,2)&amp;":"&amp;MID(D1635,5,2)&amp;":"&amp;MID(D1635,7,2)&amp;":"&amp;MID(D1635,9,2)&amp;":"&amp;RIGHT(D1635,2)</f>
        <v/>
      </c>
      <c r="H1635" s="2" t="inlineStr">
        <is>
          <t>584FE189C4220B04</t>
        </is>
      </c>
      <c r="J1635" t="inlineStr">
        <is>
          <t>VIEZO0000000000000456</t>
        </is>
      </c>
    </row>
    <row r="1636">
      <c r="A1636" s="32" t="inlineStr">
        <is>
          <t>TANKWAGON</t>
        </is>
      </c>
      <c r="B1636" s="24">
        <f>IFERROR(INDEX(Companies!$A$3:$A$101,MATCH(A1636,Companies!$B$3:$B$101,0)),"")</f>
        <v/>
      </c>
      <c r="D1636" t="inlineStr">
        <is>
          <t>F057DD9AD46C</t>
        </is>
      </c>
      <c r="E1636" s="24">
        <f>LEFT(D1636,2)&amp;":"&amp;MID(D1636,3,2)&amp;":"&amp;MID(D1636,5,2)&amp;":"&amp;MID(D1636,7,2)&amp;":"&amp;MID(D1636,9,2)&amp;":"&amp;RIGHT(D1636,2)</f>
        <v/>
      </c>
      <c r="H1636" s="2" t="inlineStr">
        <is>
          <t>28279A0387FA273E</t>
        </is>
      </c>
      <c r="J1636" t="inlineStr">
        <is>
          <t>VIEZO0000000000000457</t>
        </is>
      </c>
    </row>
    <row r="1637">
      <c r="A1637" s="32" t="inlineStr">
        <is>
          <t>TANKWAGON</t>
        </is>
      </c>
      <c r="B1637" s="24">
        <f>IFERROR(INDEX(Companies!$A$3:$A$101,MATCH(A1637,Companies!$B$3:$B$101,0)),"")</f>
        <v/>
      </c>
      <c r="D1637" t="inlineStr">
        <is>
          <t>D7576DDABDF8</t>
        </is>
      </c>
      <c r="E1637" s="24">
        <f>LEFT(D1637,2)&amp;":"&amp;MID(D1637,3,2)&amp;":"&amp;MID(D1637,5,2)&amp;":"&amp;MID(D1637,7,2)&amp;":"&amp;MID(D1637,9,2)&amp;":"&amp;RIGHT(D1637,2)</f>
        <v/>
      </c>
      <c r="H1637" s="2" t="inlineStr">
        <is>
          <t>0EC3BE9A972339A3</t>
        </is>
      </c>
      <c r="J1637" t="inlineStr">
        <is>
          <t>VIEZO0000000000000458</t>
        </is>
      </c>
    </row>
    <row r="1638">
      <c r="A1638" s="32" t="inlineStr">
        <is>
          <t>TANKWAGON</t>
        </is>
      </c>
      <c r="B1638" s="24">
        <f>IFERROR(INDEX(Companies!$A$3:$A$101,MATCH(A1638,Companies!$B$3:$B$101,0)),"")</f>
        <v/>
      </c>
      <c r="D1638" t="inlineStr">
        <is>
          <t>F5F40AC18E05</t>
        </is>
      </c>
      <c r="E1638" s="24">
        <f>LEFT(D1638,2)&amp;":"&amp;MID(D1638,3,2)&amp;":"&amp;MID(D1638,5,2)&amp;":"&amp;MID(D1638,7,2)&amp;":"&amp;MID(D1638,9,2)&amp;":"&amp;RIGHT(D1638,2)</f>
        <v/>
      </c>
      <c r="H1638" s="2" t="inlineStr">
        <is>
          <t>9CE6E567EEEDA3FC</t>
        </is>
      </c>
      <c r="J1638" t="inlineStr">
        <is>
          <t>VIEZO0000000000000459</t>
        </is>
      </c>
    </row>
    <row r="1639">
      <c r="A1639" s="32" t="inlineStr">
        <is>
          <t>TANKWAGON</t>
        </is>
      </c>
      <c r="B1639" s="24">
        <f>IFERROR(INDEX(Companies!$A$3:$A$101,MATCH(A1639,Companies!$B$3:$B$101,0)),"")</f>
        <v/>
      </c>
      <c r="D1639" t="inlineStr">
        <is>
          <t>CB9DEB395606</t>
        </is>
      </c>
      <c r="E1639" s="24">
        <f>LEFT(D1639,2)&amp;":"&amp;MID(D1639,3,2)&amp;":"&amp;MID(D1639,5,2)&amp;":"&amp;MID(D1639,7,2)&amp;":"&amp;MID(D1639,9,2)&amp;":"&amp;RIGHT(D1639,2)</f>
        <v/>
      </c>
      <c r="H1639" s="2" t="inlineStr">
        <is>
          <t>C60A098BDBF3E085</t>
        </is>
      </c>
      <c r="J1639" t="inlineStr">
        <is>
          <t>VIEZO0000000000000460</t>
        </is>
      </c>
    </row>
    <row r="1640">
      <c r="A1640" s="32" t="inlineStr">
        <is>
          <t>TANKWAGON</t>
        </is>
      </c>
      <c r="B1640" s="24">
        <f>IFERROR(INDEX(Companies!$A$3:$A$101,MATCH(A1640,Companies!$B$3:$B$101,0)),"")</f>
        <v/>
      </c>
      <c r="D1640" t="inlineStr">
        <is>
          <t>D5BA791C7DE1</t>
        </is>
      </c>
      <c r="E1640" s="24">
        <f>LEFT(D1640,2)&amp;":"&amp;MID(D1640,3,2)&amp;":"&amp;MID(D1640,5,2)&amp;":"&amp;MID(D1640,7,2)&amp;":"&amp;MID(D1640,9,2)&amp;":"&amp;RIGHT(D1640,2)</f>
        <v/>
      </c>
      <c r="H1640" s="2" t="inlineStr">
        <is>
          <t>3D0F83A9FCDCD5EB</t>
        </is>
      </c>
      <c r="J1640" t="inlineStr">
        <is>
          <t>VIEZO0000000000000461</t>
        </is>
      </c>
    </row>
    <row r="1641">
      <c r="A1641" s="32" t="inlineStr">
        <is>
          <t>TANKWAGON</t>
        </is>
      </c>
      <c r="B1641" s="24">
        <f>IFERROR(INDEX(Companies!$A$3:$A$101,MATCH(A1641,Companies!$B$3:$B$101,0)),"")</f>
        <v/>
      </c>
      <c r="D1641" t="inlineStr">
        <is>
          <t>E1B136FC6F6E</t>
        </is>
      </c>
      <c r="E1641" s="24">
        <f>LEFT(D1641,2)&amp;":"&amp;MID(D1641,3,2)&amp;":"&amp;MID(D1641,5,2)&amp;":"&amp;MID(D1641,7,2)&amp;":"&amp;MID(D1641,9,2)&amp;":"&amp;RIGHT(D1641,2)</f>
        <v/>
      </c>
      <c r="H1641" s="2" t="inlineStr">
        <is>
          <t>4237C172271540E9</t>
        </is>
      </c>
      <c r="J1641" t="inlineStr">
        <is>
          <t>VIEZO0000000000000462</t>
        </is>
      </c>
    </row>
    <row r="1642">
      <c r="A1642" s="32" t="inlineStr">
        <is>
          <t>TANKWAGON</t>
        </is>
      </c>
      <c r="B1642" s="24">
        <f>IFERROR(INDEX(Companies!$A$3:$A$101,MATCH(A1642,Companies!$B$3:$B$101,0)),"")</f>
        <v/>
      </c>
      <c r="D1642" t="inlineStr">
        <is>
          <t>FBD170E8B8F8</t>
        </is>
      </c>
      <c r="E1642" s="24">
        <f>LEFT(D1642,2)&amp;":"&amp;MID(D1642,3,2)&amp;":"&amp;MID(D1642,5,2)&amp;":"&amp;MID(D1642,7,2)&amp;":"&amp;MID(D1642,9,2)&amp;":"&amp;RIGHT(D1642,2)</f>
        <v/>
      </c>
      <c r="H1642" s="2" t="inlineStr">
        <is>
          <t>5C9E92C4F3E33C86</t>
        </is>
      </c>
      <c r="J1642" t="inlineStr">
        <is>
          <t>VIEZO0000000000000463</t>
        </is>
      </c>
    </row>
    <row r="1643">
      <c r="A1643" s="32" t="inlineStr">
        <is>
          <t>TANKWAGON</t>
        </is>
      </c>
      <c r="B1643" s="24">
        <f>IFERROR(INDEX(Companies!$A$3:$A$101,MATCH(A1643,Companies!$B$3:$B$101,0)),"")</f>
        <v/>
      </c>
      <c r="D1643" t="inlineStr">
        <is>
          <t>EB6D4B0F1CEA</t>
        </is>
      </c>
      <c r="E1643" s="24">
        <f>LEFT(D1643,2)&amp;":"&amp;MID(D1643,3,2)&amp;":"&amp;MID(D1643,5,2)&amp;":"&amp;MID(D1643,7,2)&amp;":"&amp;MID(D1643,9,2)&amp;":"&amp;RIGHT(D1643,2)</f>
        <v/>
      </c>
      <c r="H1643" s="2" t="inlineStr">
        <is>
          <t>4BFD1F738A7A01EB</t>
        </is>
      </c>
      <c r="J1643" t="inlineStr">
        <is>
          <t>VIEZO0000000000000464</t>
        </is>
      </c>
    </row>
    <row r="1644">
      <c r="A1644" s="32" t="inlineStr">
        <is>
          <t>TANKWAGON</t>
        </is>
      </c>
      <c r="B1644" s="24">
        <f>IFERROR(INDEX(Companies!$A$3:$A$101,MATCH(A1644,Companies!$B$3:$B$101,0)),"")</f>
        <v/>
      </c>
      <c r="D1644" t="inlineStr">
        <is>
          <t>C34B247658B9</t>
        </is>
      </c>
      <c r="E1644" s="24">
        <f>LEFT(D1644,2)&amp;":"&amp;MID(D1644,3,2)&amp;":"&amp;MID(D1644,5,2)&amp;":"&amp;MID(D1644,7,2)&amp;":"&amp;MID(D1644,9,2)&amp;":"&amp;RIGHT(D1644,2)</f>
        <v/>
      </c>
      <c r="H1644" s="2" t="inlineStr">
        <is>
          <t>3C209E9501035499</t>
        </is>
      </c>
      <c r="J1644" t="inlineStr">
        <is>
          <t>VIEZO0000000000000465</t>
        </is>
      </c>
    </row>
    <row r="1645">
      <c r="A1645" s="32" t="inlineStr">
        <is>
          <t>TANKWAGON</t>
        </is>
      </c>
      <c r="B1645" s="24">
        <f>IFERROR(INDEX(Companies!$A$3:$A$101,MATCH(A1645,Companies!$B$3:$B$101,0)),"")</f>
        <v/>
      </c>
      <c r="D1645" t="inlineStr">
        <is>
          <t>F69D10C1A346</t>
        </is>
      </c>
      <c r="E1645" s="24">
        <f>LEFT(D1645,2)&amp;":"&amp;MID(D1645,3,2)&amp;":"&amp;MID(D1645,5,2)&amp;":"&amp;MID(D1645,7,2)&amp;":"&amp;MID(D1645,9,2)&amp;":"&amp;RIGHT(D1645,2)</f>
        <v/>
      </c>
      <c r="H1645" s="2" t="inlineStr">
        <is>
          <t>E32B6719C2474AEE</t>
        </is>
      </c>
      <c r="J1645" t="inlineStr">
        <is>
          <t>VIEZO0000000000000466</t>
        </is>
      </c>
    </row>
    <row r="1646">
      <c r="A1646" s="32" t="inlineStr">
        <is>
          <t>TANKWAGON</t>
        </is>
      </c>
      <c r="B1646" s="24">
        <f>IFERROR(INDEX(Companies!$A$3:$A$101,MATCH(A1646,Companies!$B$3:$B$101,0)),"")</f>
        <v/>
      </c>
      <c r="D1646" t="inlineStr">
        <is>
          <t>FBADD8AF1E93</t>
        </is>
      </c>
      <c r="E1646" s="24">
        <f>LEFT(D1646,2)&amp;":"&amp;MID(D1646,3,2)&amp;":"&amp;MID(D1646,5,2)&amp;":"&amp;MID(D1646,7,2)&amp;":"&amp;MID(D1646,9,2)&amp;":"&amp;RIGHT(D1646,2)</f>
        <v/>
      </c>
      <c r="H1646" s="2" t="inlineStr">
        <is>
          <t>8E6DCC624366F007</t>
        </is>
      </c>
      <c r="J1646" t="inlineStr">
        <is>
          <t>VIEZO0000000000000467</t>
        </is>
      </c>
    </row>
    <row r="1647">
      <c r="A1647" s="32" t="inlineStr">
        <is>
          <t>TANKWAGON</t>
        </is>
      </c>
      <c r="B1647" s="24">
        <f>IFERROR(INDEX(Companies!$A$3:$A$101,MATCH(A1647,Companies!$B$3:$B$101,0)),"")</f>
        <v/>
      </c>
      <c r="D1647" t="inlineStr">
        <is>
          <t>E9BD6C2513A9</t>
        </is>
      </c>
      <c r="E1647" s="24">
        <f>LEFT(D1647,2)&amp;":"&amp;MID(D1647,3,2)&amp;":"&amp;MID(D1647,5,2)&amp;":"&amp;MID(D1647,7,2)&amp;":"&amp;MID(D1647,9,2)&amp;":"&amp;RIGHT(D1647,2)</f>
        <v/>
      </c>
      <c r="H1647" s="2" t="inlineStr">
        <is>
          <t>C4F8462E6F40955D</t>
        </is>
      </c>
      <c r="J1647" t="inlineStr">
        <is>
          <t>VIEZO0000000000000468</t>
        </is>
      </c>
    </row>
    <row r="1648">
      <c r="A1648" s="32" t="inlineStr">
        <is>
          <t>TANKWAGON</t>
        </is>
      </c>
      <c r="B1648" s="24">
        <f>IFERROR(INDEX(Companies!$A$3:$A$101,MATCH(A1648,Companies!$B$3:$B$101,0)),"")</f>
        <v/>
      </c>
      <c r="D1648" t="inlineStr">
        <is>
          <t>DC87D97AD5CD</t>
        </is>
      </c>
      <c r="E1648" s="24">
        <f>LEFT(D1648,2)&amp;":"&amp;MID(D1648,3,2)&amp;":"&amp;MID(D1648,5,2)&amp;":"&amp;MID(D1648,7,2)&amp;":"&amp;MID(D1648,9,2)&amp;":"&amp;RIGHT(D1648,2)</f>
        <v/>
      </c>
      <c r="H1648" s="2" t="inlineStr">
        <is>
          <t>23A1169432B2CD6F</t>
        </is>
      </c>
      <c r="J1648" t="inlineStr">
        <is>
          <t>VIEZO0000000000000469</t>
        </is>
      </c>
    </row>
    <row r="1649">
      <c r="A1649" s="32" t="inlineStr">
        <is>
          <t>TANKWAGON</t>
        </is>
      </c>
      <c r="B1649" s="24">
        <f>IFERROR(INDEX(Companies!$A$3:$A$101,MATCH(A1649,Companies!$B$3:$B$101,0)),"")</f>
        <v/>
      </c>
      <c r="D1649" t="inlineStr">
        <is>
          <t>E0E47EB38847</t>
        </is>
      </c>
      <c r="E1649" s="24">
        <f>LEFT(D1649,2)&amp;":"&amp;MID(D1649,3,2)&amp;":"&amp;MID(D1649,5,2)&amp;":"&amp;MID(D1649,7,2)&amp;":"&amp;MID(D1649,9,2)&amp;":"&amp;RIGHT(D1649,2)</f>
        <v/>
      </c>
      <c r="H1649" s="2" t="inlineStr">
        <is>
          <t>54B49F466E575721</t>
        </is>
      </c>
      <c r="J1649" t="inlineStr">
        <is>
          <t>VIEZO0000000000000470</t>
        </is>
      </c>
    </row>
    <row r="1650">
      <c r="A1650" s="32" t="inlineStr">
        <is>
          <t>TANKWAGON</t>
        </is>
      </c>
      <c r="B1650" s="24">
        <f>IFERROR(INDEX(Companies!$A$3:$A$101,MATCH(A1650,Companies!$B$3:$B$101,0)),"")</f>
        <v/>
      </c>
      <c r="D1650" t="inlineStr">
        <is>
          <t>FA5DE1F1165C</t>
        </is>
      </c>
      <c r="E1650" s="24">
        <f>LEFT(D1650,2)&amp;":"&amp;MID(D1650,3,2)&amp;":"&amp;MID(D1650,5,2)&amp;":"&amp;MID(D1650,7,2)&amp;":"&amp;MID(D1650,9,2)&amp;":"&amp;RIGHT(D1650,2)</f>
        <v/>
      </c>
      <c r="H1650" s="2" t="inlineStr">
        <is>
          <t>4A3E50DE6AB3E6AE</t>
        </is>
      </c>
      <c r="J1650" t="inlineStr">
        <is>
          <t>VIEZO0000000000000471</t>
        </is>
      </c>
    </row>
    <row r="1651">
      <c r="A1651" s="32" t="inlineStr">
        <is>
          <t>TANKWAGON</t>
        </is>
      </c>
      <c r="B1651" s="24">
        <f>IFERROR(INDEX(Companies!$A$3:$A$101,MATCH(A1651,Companies!$B$3:$B$101,0)),"")</f>
        <v/>
      </c>
      <c r="D1651" t="inlineStr">
        <is>
          <t>EC8180A7834C</t>
        </is>
      </c>
      <c r="E1651" s="24">
        <f>LEFT(D1651,2)&amp;":"&amp;MID(D1651,3,2)&amp;":"&amp;MID(D1651,5,2)&amp;":"&amp;MID(D1651,7,2)&amp;":"&amp;MID(D1651,9,2)&amp;":"&amp;RIGHT(D1651,2)</f>
        <v/>
      </c>
      <c r="H1651" s="2" t="inlineStr">
        <is>
          <t>9F8FB3240B5A3D1A</t>
        </is>
      </c>
      <c r="J1651" t="inlineStr">
        <is>
          <t>VIEZO0000000000000472</t>
        </is>
      </c>
    </row>
    <row r="1652">
      <c r="A1652" s="32" t="inlineStr">
        <is>
          <t>TANKWAGON</t>
        </is>
      </c>
      <c r="B1652" s="24">
        <f>IFERROR(INDEX(Companies!$A$3:$A$101,MATCH(A1652,Companies!$B$3:$B$101,0)),"")</f>
        <v/>
      </c>
      <c r="D1652" t="inlineStr">
        <is>
          <t>F0A5FD5C9F56</t>
        </is>
      </c>
      <c r="E1652" s="24">
        <f>LEFT(D1652,2)&amp;":"&amp;MID(D1652,3,2)&amp;":"&amp;MID(D1652,5,2)&amp;":"&amp;MID(D1652,7,2)&amp;":"&amp;MID(D1652,9,2)&amp;":"&amp;RIGHT(D1652,2)</f>
        <v/>
      </c>
      <c r="H1652" s="2" t="inlineStr">
        <is>
          <t>816B82693C8DAD9D</t>
        </is>
      </c>
      <c r="J1652" t="inlineStr">
        <is>
          <t>VIEZO0000000000000473</t>
        </is>
      </c>
    </row>
    <row r="1653">
      <c r="A1653" s="32" t="inlineStr">
        <is>
          <t>TANKWAGON</t>
        </is>
      </c>
      <c r="B1653" s="24">
        <f>IFERROR(INDEX(Companies!$A$3:$A$101,MATCH(A1653,Companies!$B$3:$B$101,0)),"")</f>
        <v/>
      </c>
      <c r="D1653" t="inlineStr">
        <is>
          <t>C0DE3EB9A6BF</t>
        </is>
      </c>
      <c r="E1653" s="24">
        <f>LEFT(D1653,2)&amp;":"&amp;MID(D1653,3,2)&amp;":"&amp;MID(D1653,5,2)&amp;":"&amp;MID(D1653,7,2)&amp;":"&amp;MID(D1653,9,2)&amp;":"&amp;RIGHT(D1653,2)</f>
        <v/>
      </c>
      <c r="H1653" s="2" t="inlineStr">
        <is>
          <t>2F8C14F93E72D9D5</t>
        </is>
      </c>
      <c r="J1653" t="inlineStr">
        <is>
          <t>VIEZO0000000000000474</t>
        </is>
      </c>
    </row>
    <row r="1654">
      <c r="A1654" s="32" t="inlineStr">
        <is>
          <t>TANKWAGON</t>
        </is>
      </c>
      <c r="B1654" s="24">
        <f>IFERROR(INDEX(Companies!$A$3:$A$101,MATCH(A1654,Companies!$B$3:$B$101,0)),"")</f>
        <v/>
      </c>
      <c r="D1654" t="inlineStr">
        <is>
          <t>F19235ED6B88</t>
        </is>
      </c>
      <c r="E1654" s="24">
        <f>LEFT(D1654,2)&amp;":"&amp;MID(D1654,3,2)&amp;":"&amp;MID(D1654,5,2)&amp;":"&amp;MID(D1654,7,2)&amp;":"&amp;MID(D1654,9,2)&amp;":"&amp;RIGHT(D1654,2)</f>
        <v/>
      </c>
      <c r="H1654" s="2" t="inlineStr">
        <is>
          <t>D445BCE9DBD1014A</t>
        </is>
      </c>
      <c r="J1654" t="inlineStr">
        <is>
          <t>VIEZO0000000000000475</t>
        </is>
      </c>
    </row>
    <row r="1655">
      <c r="A1655" s="32" t="inlineStr">
        <is>
          <t>TANKWAGON</t>
        </is>
      </c>
      <c r="B1655" s="24">
        <f>IFERROR(INDEX(Companies!$A$3:$A$101,MATCH(A1655,Companies!$B$3:$B$101,0)),"")</f>
        <v/>
      </c>
      <c r="D1655" t="inlineStr">
        <is>
          <t>D43A99143A1E</t>
        </is>
      </c>
      <c r="E1655" s="24">
        <f>LEFT(D1655,2)&amp;":"&amp;MID(D1655,3,2)&amp;":"&amp;MID(D1655,5,2)&amp;":"&amp;MID(D1655,7,2)&amp;":"&amp;MID(D1655,9,2)&amp;":"&amp;RIGHT(D1655,2)</f>
        <v/>
      </c>
      <c r="H1655" s="2" t="inlineStr">
        <is>
          <t>AEB3C139B6388A8F</t>
        </is>
      </c>
      <c r="J1655" t="inlineStr">
        <is>
          <t>VIEZO0000000000000476</t>
        </is>
      </c>
    </row>
    <row r="1656">
      <c r="A1656" s="32" t="inlineStr">
        <is>
          <t>TANKWAGON</t>
        </is>
      </c>
      <c r="B1656" s="24">
        <f>IFERROR(INDEX(Companies!$A$3:$A$101,MATCH(A1656,Companies!$B$3:$B$101,0)),"")</f>
        <v/>
      </c>
      <c r="D1656" t="inlineStr">
        <is>
          <t>EF90D1284175</t>
        </is>
      </c>
      <c r="E1656" s="24">
        <f>LEFT(D1656,2)&amp;":"&amp;MID(D1656,3,2)&amp;":"&amp;MID(D1656,5,2)&amp;":"&amp;MID(D1656,7,2)&amp;":"&amp;MID(D1656,9,2)&amp;":"&amp;RIGHT(D1656,2)</f>
        <v/>
      </c>
      <c r="H1656" s="2" t="inlineStr">
        <is>
          <t>373919ED124D018E</t>
        </is>
      </c>
      <c r="J1656" t="inlineStr">
        <is>
          <t>VIEZO0000000000000477</t>
        </is>
      </c>
    </row>
    <row r="1657">
      <c r="A1657" s="32" t="inlineStr">
        <is>
          <t>TANKWAGON</t>
        </is>
      </c>
      <c r="B1657" s="24">
        <f>IFERROR(INDEX(Companies!$A$3:$A$101,MATCH(A1657,Companies!$B$3:$B$101,0)),"")</f>
        <v/>
      </c>
      <c r="D1657" t="inlineStr">
        <is>
          <t>E1370F72D45C</t>
        </is>
      </c>
      <c r="E1657" s="24">
        <f>LEFT(D1657,2)&amp;":"&amp;MID(D1657,3,2)&amp;":"&amp;MID(D1657,5,2)&amp;":"&amp;MID(D1657,7,2)&amp;":"&amp;MID(D1657,9,2)&amp;":"&amp;RIGHT(D1657,2)</f>
        <v/>
      </c>
      <c r="H1657" s="2" t="inlineStr">
        <is>
          <t>FA22BBFCCE832EF4</t>
        </is>
      </c>
      <c r="J1657" t="inlineStr">
        <is>
          <t>VIEZO0000000000000478</t>
        </is>
      </c>
    </row>
    <row r="1658">
      <c r="A1658" s="32" t="inlineStr">
        <is>
          <t>TANKWAGON</t>
        </is>
      </c>
      <c r="B1658" s="24">
        <f>IFERROR(INDEX(Companies!$A$3:$A$101,MATCH(A1658,Companies!$B$3:$B$101,0)),"")</f>
        <v/>
      </c>
      <c r="D1658" t="inlineStr">
        <is>
          <t>CA494471198A</t>
        </is>
      </c>
      <c r="E1658" s="24">
        <f>LEFT(D1658,2)&amp;":"&amp;MID(D1658,3,2)&amp;":"&amp;MID(D1658,5,2)&amp;":"&amp;MID(D1658,7,2)&amp;":"&amp;MID(D1658,9,2)&amp;":"&amp;RIGHT(D1658,2)</f>
        <v/>
      </c>
      <c r="H1658" s="2" t="inlineStr">
        <is>
          <t>142E5FF2CBBCF983</t>
        </is>
      </c>
      <c r="J1658" t="inlineStr">
        <is>
          <t>VIEZO0000000000000479</t>
        </is>
      </c>
    </row>
    <row r="1659">
      <c r="A1659" s="32" t="inlineStr">
        <is>
          <t>TANKWAGON</t>
        </is>
      </c>
      <c r="B1659" s="24">
        <f>IFERROR(INDEX(Companies!$A$3:$A$101,MATCH(A1659,Companies!$B$3:$B$101,0)),"")</f>
        <v/>
      </c>
      <c r="D1659" t="inlineStr">
        <is>
          <t>C4BDC7BB905C</t>
        </is>
      </c>
      <c r="E1659" s="24">
        <f>LEFT(D1659,2)&amp;":"&amp;MID(D1659,3,2)&amp;":"&amp;MID(D1659,5,2)&amp;":"&amp;MID(D1659,7,2)&amp;":"&amp;MID(D1659,9,2)&amp;":"&amp;RIGHT(D1659,2)</f>
        <v/>
      </c>
      <c r="H1659" s="2" t="inlineStr">
        <is>
          <t>914CFA5A893E4820</t>
        </is>
      </c>
      <c r="J1659" t="inlineStr">
        <is>
          <t>VIEZO0000000000000480</t>
        </is>
      </c>
    </row>
    <row r="1660">
      <c r="A1660" s="32" t="inlineStr">
        <is>
          <t>TANKWAGON</t>
        </is>
      </c>
      <c r="B1660" s="24">
        <f>IFERROR(INDEX(Companies!$A$3:$A$101,MATCH(A1660,Companies!$B$3:$B$101,0)),"")</f>
        <v/>
      </c>
      <c r="D1660" t="inlineStr">
        <is>
          <t>C5BC31E63330</t>
        </is>
      </c>
      <c r="E1660" s="24">
        <f>LEFT(D1660,2)&amp;":"&amp;MID(D1660,3,2)&amp;":"&amp;MID(D1660,5,2)&amp;":"&amp;MID(D1660,7,2)&amp;":"&amp;MID(D1660,9,2)&amp;":"&amp;RIGHT(D1660,2)</f>
        <v/>
      </c>
      <c r="H1660" s="2" t="inlineStr">
        <is>
          <t>0F63BA9EEE5EA4E7</t>
        </is>
      </c>
      <c r="J1660" t="inlineStr">
        <is>
          <t>VIEZO0000000000000481</t>
        </is>
      </c>
    </row>
    <row r="1661">
      <c r="A1661" s="32" t="inlineStr">
        <is>
          <t>TANKWAGON</t>
        </is>
      </c>
      <c r="B1661" s="24">
        <f>IFERROR(INDEX(Companies!$A$3:$A$101,MATCH(A1661,Companies!$B$3:$B$101,0)),"")</f>
        <v/>
      </c>
      <c r="D1661" t="inlineStr">
        <is>
          <t>DCFEC29C2837</t>
        </is>
      </c>
      <c r="E1661" s="24">
        <f>LEFT(D1661,2)&amp;":"&amp;MID(D1661,3,2)&amp;":"&amp;MID(D1661,5,2)&amp;":"&amp;MID(D1661,7,2)&amp;":"&amp;MID(D1661,9,2)&amp;":"&amp;RIGHT(D1661,2)</f>
        <v/>
      </c>
      <c r="H1661" s="2" t="inlineStr">
        <is>
          <t>DA3B31C8E9621C14</t>
        </is>
      </c>
      <c r="J1661" t="inlineStr">
        <is>
          <t>VIEZO0000000000000482</t>
        </is>
      </c>
    </row>
    <row r="1662">
      <c r="A1662" s="32" t="inlineStr">
        <is>
          <t>TANKWAGON</t>
        </is>
      </c>
      <c r="B1662" s="24">
        <f>IFERROR(INDEX(Companies!$A$3:$A$101,MATCH(A1662,Companies!$B$3:$B$101,0)),"")</f>
        <v/>
      </c>
      <c r="D1662" t="inlineStr">
        <is>
          <t>C566D0ECF95D</t>
        </is>
      </c>
      <c r="E1662" s="24">
        <f>LEFT(D1662,2)&amp;":"&amp;MID(D1662,3,2)&amp;":"&amp;MID(D1662,5,2)&amp;":"&amp;MID(D1662,7,2)&amp;":"&amp;MID(D1662,9,2)&amp;":"&amp;RIGHT(D1662,2)</f>
        <v/>
      </c>
      <c r="H1662" s="2" t="inlineStr">
        <is>
          <t>A7D28A0C12593D66</t>
        </is>
      </c>
      <c r="J1662" t="inlineStr">
        <is>
          <t>VIEZO0000000000000483</t>
        </is>
      </c>
    </row>
    <row r="1663">
      <c r="A1663" s="32" t="inlineStr">
        <is>
          <t>TANKWAGON</t>
        </is>
      </c>
      <c r="B1663" s="24">
        <f>IFERROR(INDEX(Companies!$A$3:$A$101,MATCH(A1663,Companies!$B$3:$B$101,0)),"")</f>
        <v/>
      </c>
      <c r="D1663" t="inlineStr">
        <is>
          <t>F4B1B3DA7ABA</t>
        </is>
      </c>
      <c r="E1663" s="24">
        <f>LEFT(D1663,2)&amp;":"&amp;MID(D1663,3,2)&amp;":"&amp;MID(D1663,5,2)&amp;":"&amp;MID(D1663,7,2)&amp;":"&amp;MID(D1663,9,2)&amp;":"&amp;RIGHT(D1663,2)</f>
        <v/>
      </c>
      <c r="H1663" s="2" t="inlineStr">
        <is>
          <t>25B4FCE40A69A0F7</t>
        </is>
      </c>
      <c r="J1663" t="inlineStr">
        <is>
          <t>VIEZO0000000000000484</t>
        </is>
      </c>
    </row>
    <row r="1664">
      <c r="A1664" s="32" t="inlineStr">
        <is>
          <t>TANKWAGON</t>
        </is>
      </c>
      <c r="B1664" s="24">
        <f>IFERROR(INDEX(Companies!$A$3:$A$101,MATCH(A1664,Companies!$B$3:$B$101,0)),"")</f>
        <v/>
      </c>
      <c r="D1664" t="inlineStr">
        <is>
          <t>F108948D071C</t>
        </is>
      </c>
      <c r="E1664" s="24">
        <f>LEFT(D1664,2)&amp;":"&amp;MID(D1664,3,2)&amp;":"&amp;MID(D1664,5,2)&amp;":"&amp;MID(D1664,7,2)&amp;":"&amp;MID(D1664,9,2)&amp;":"&amp;RIGHT(D1664,2)</f>
        <v/>
      </c>
      <c r="H1664" s="2" t="inlineStr">
        <is>
          <t>34E38481DE6AF2F5</t>
        </is>
      </c>
      <c r="J1664" t="inlineStr">
        <is>
          <t>VIEZO0000000000000485</t>
        </is>
      </c>
    </row>
    <row r="1665">
      <c r="A1665" s="32" t="inlineStr">
        <is>
          <t>TANKWAGON</t>
        </is>
      </c>
      <c r="B1665" s="24">
        <f>IFERROR(INDEX(Companies!$A$3:$A$101,MATCH(A1665,Companies!$B$3:$B$101,0)),"")</f>
        <v/>
      </c>
      <c r="D1665" t="inlineStr">
        <is>
          <t>D39B7187C6A2</t>
        </is>
      </c>
      <c r="E1665" s="24">
        <f>LEFT(D1665,2)&amp;":"&amp;MID(D1665,3,2)&amp;":"&amp;MID(D1665,5,2)&amp;":"&amp;MID(D1665,7,2)&amp;":"&amp;MID(D1665,9,2)&amp;":"&amp;RIGHT(D1665,2)</f>
        <v/>
      </c>
      <c r="H1665" s="2" t="inlineStr">
        <is>
          <t>9E81AF821C1EF115</t>
        </is>
      </c>
      <c r="J1665" t="inlineStr">
        <is>
          <t>VIEZO0000000000000486</t>
        </is>
      </c>
    </row>
    <row r="1666">
      <c r="A1666" s="32" t="inlineStr">
        <is>
          <t>TANKWAGON</t>
        </is>
      </c>
      <c r="B1666" s="24">
        <f>IFERROR(INDEX(Companies!$A$3:$A$101,MATCH(A1666,Companies!$B$3:$B$101,0)),"")</f>
        <v/>
      </c>
      <c r="D1666" t="inlineStr">
        <is>
          <t>D8D11FB529A6</t>
        </is>
      </c>
      <c r="E1666" s="24">
        <f>LEFT(D1666,2)&amp;":"&amp;MID(D1666,3,2)&amp;":"&amp;MID(D1666,5,2)&amp;":"&amp;MID(D1666,7,2)&amp;":"&amp;MID(D1666,9,2)&amp;":"&amp;RIGHT(D1666,2)</f>
        <v/>
      </c>
      <c r="H1666" s="2" t="inlineStr">
        <is>
          <t>F7849C0155DEE890</t>
        </is>
      </c>
      <c r="J1666" t="inlineStr">
        <is>
          <t>VIEZO0000000000000487</t>
        </is>
      </c>
    </row>
    <row r="1667">
      <c r="A1667" s="32" t="inlineStr">
        <is>
          <t>TANKWAGON</t>
        </is>
      </c>
      <c r="B1667" s="24">
        <f>IFERROR(INDEX(Companies!$A$3:$A$101,MATCH(A1667,Companies!$B$3:$B$101,0)),"")</f>
        <v/>
      </c>
      <c r="D1667" t="inlineStr">
        <is>
          <t>FD19F5985F56</t>
        </is>
      </c>
      <c r="E1667" s="24">
        <f>LEFT(D1667,2)&amp;":"&amp;MID(D1667,3,2)&amp;":"&amp;MID(D1667,5,2)&amp;":"&amp;MID(D1667,7,2)&amp;":"&amp;MID(D1667,9,2)&amp;":"&amp;RIGHT(D1667,2)</f>
        <v/>
      </c>
      <c r="H1667" s="2" t="inlineStr">
        <is>
          <t>5B606348AA2ADD3E</t>
        </is>
      </c>
      <c r="J1667" t="inlineStr">
        <is>
          <t>VIEZO0000000000000488</t>
        </is>
      </c>
    </row>
    <row r="1668">
      <c r="A1668" s="32" t="inlineStr">
        <is>
          <t>TANKWAGON</t>
        </is>
      </c>
      <c r="B1668" s="24">
        <f>IFERROR(INDEX(Companies!$A$3:$A$101,MATCH(A1668,Companies!$B$3:$B$101,0)),"")</f>
        <v/>
      </c>
      <c r="D1668" t="inlineStr">
        <is>
          <t>DF9FF8358462</t>
        </is>
      </c>
      <c r="E1668" s="24">
        <f>LEFT(D1668,2)&amp;":"&amp;MID(D1668,3,2)&amp;":"&amp;MID(D1668,5,2)&amp;":"&amp;MID(D1668,7,2)&amp;":"&amp;MID(D1668,9,2)&amp;":"&amp;RIGHT(D1668,2)</f>
        <v/>
      </c>
      <c r="H1668" s="2" t="inlineStr">
        <is>
          <t>C2A76FB793C9B495</t>
        </is>
      </c>
      <c r="J1668" t="inlineStr">
        <is>
          <t>VIEZO0000000000000489</t>
        </is>
      </c>
    </row>
    <row r="1669">
      <c r="A1669" s="32" t="inlineStr">
        <is>
          <t>TANKWAGON</t>
        </is>
      </c>
      <c r="B1669" s="24">
        <f>IFERROR(INDEX(Companies!$A$3:$A$101,MATCH(A1669,Companies!$B$3:$B$101,0)),"")</f>
        <v/>
      </c>
      <c r="D1669" t="inlineStr">
        <is>
          <t>DEA7B90F30FB</t>
        </is>
      </c>
      <c r="E1669" s="24">
        <f>LEFT(D1669,2)&amp;":"&amp;MID(D1669,3,2)&amp;":"&amp;MID(D1669,5,2)&amp;":"&amp;MID(D1669,7,2)&amp;":"&amp;MID(D1669,9,2)&amp;":"&amp;RIGHT(D1669,2)</f>
        <v/>
      </c>
      <c r="H1669" s="2" t="inlineStr">
        <is>
          <t>081A38506E464B6D</t>
        </is>
      </c>
      <c r="J1669" t="inlineStr">
        <is>
          <t>VIEZO0000000000000490</t>
        </is>
      </c>
    </row>
    <row r="1670">
      <c r="A1670" s="32" t="inlineStr">
        <is>
          <t>TANKWAGON</t>
        </is>
      </c>
      <c r="B1670" s="24">
        <f>IFERROR(INDEX(Companies!$A$3:$A$101,MATCH(A1670,Companies!$B$3:$B$101,0)),"")</f>
        <v/>
      </c>
      <c r="D1670" t="inlineStr">
        <is>
          <t>F00903B215CA</t>
        </is>
      </c>
      <c r="E1670" s="24">
        <f>LEFT(D1670,2)&amp;":"&amp;MID(D1670,3,2)&amp;":"&amp;MID(D1670,5,2)&amp;":"&amp;MID(D1670,7,2)&amp;":"&amp;MID(D1670,9,2)&amp;":"&amp;RIGHT(D1670,2)</f>
        <v/>
      </c>
      <c r="H1670" s="2" t="inlineStr">
        <is>
          <t>97F647BF82CD917D</t>
        </is>
      </c>
      <c r="J1670" t="inlineStr">
        <is>
          <t>VIEZO0000000000000491</t>
        </is>
      </c>
    </row>
    <row r="1671">
      <c r="A1671" s="32" t="inlineStr">
        <is>
          <t>TANKWAGON</t>
        </is>
      </c>
      <c r="B1671" s="24">
        <f>IFERROR(INDEX(Companies!$A$3:$A$101,MATCH(A1671,Companies!$B$3:$B$101,0)),"")</f>
        <v/>
      </c>
      <c r="D1671" t="inlineStr">
        <is>
          <t>EFF79C427F69</t>
        </is>
      </c>
      <c r="E1671" s="24">
        <f>LEFT(D1671,2)&amp;":"&amp;MID(D1671,3,2)&amp;":"&amp;MID(D1671,5,2)&amp;":"&amp;MID(D1671,7,2)&amp;":"&amp;MID(D1671,9,2)&amp;":"&amp;RIGHT(D1671,2)</f>
        <v/>
      </c>
      <c r="H1671" s="2" t="inlineStr">
        <is>
          <t>CE9D5CC97C67ED22</t>
        </is>
      </c>
      <c r="J1671" t="inlineStr">
        <is>
          <t>VIEZO0000000000000492</t>
        </is>
      </c>
    </row>
    <row r="1672">
      <c r="A1672" s="32" t="inlineStr">
        <is>
          <t>TANKWAGON</t>
        </is>
      </c>
      <c r="B1672" s="24">
        <f>IFERROR(INDEX(Companies!$A$3:$A$101,MATCH(A1672,Companies!$B$3:$B$101,0)),"")</f>
        <v/>
      </c>
      <c r="D1672" t="inlineStr">
        <is>
          <t>D37C20A5DC81</t>
        </is>
      </c>
      <c r="E1672" s="24">
        <f>LEFT(D1672,2)&amp;":"&amp;MID(D1672,3,2)&amp;":"&amp;MID(D1672,5,2)&amp;":"&amp;MID(D1672,7,2)&amp;":"&amp;MID(D1672,9,2)&amp;":"&amp;RIGHT(D1672,2)</f>
        <v/>
      </c>
      <c r="H1672" s="2" t="inlineStr">
        <is>
          <t>AFA2F9CFE0FADEFB</t>
        </is>
      </c>
      <c r="J1672" t="inlineStr">
        <is>
          <t>VIEZO0000000000000493</t>
        </is>
      </c>
    </row>
    <row r="1673">
      <c r="A1673" s="32" t="inlineStr">
        <is>
          <t>TANKWAGON</t>
        </is>
      </c>
      <c r="B1673" s="24">
        <f>IFERROR(INDEX(Companies!$A$3:$A$101,MATCH(A1673,Companies!$B$3:$B$101,0)),"")</f>
        <v/>
      </c>
      <c r="D1673" t="inlineStr">
        <is>
          <t>FE8A25C2FCBC</t>
        </is>
      </c>
      <c r="E1673" s="24">
        <f>LEFT(D1673,2)&amp;":"&amp;MID(D1673,3,2)&amp;":"&amp;MID(D1673,5,2)&amp;":"&amp;MID(D1673,7,2)&amp;":"&amp;MID(D1673,9,2)&amp;":"&amp;RIGHT(D1673,2)</f>
        <v/>
      </c>
      <c r="H1673" s="2" t="inlineStr">
        <is>
          <t>E5E4B4F1DE505794</t>
        </is>
      </c>
      <c r="J1673" t="inlineStr">
        <is>
          <t>VIEZO0000000000000494</t>
        </is>
      </c>
    </row>
    <row r="1674">
      <c r="A1674" s="32" t="inlineStr">
        <is>
          <t>TANKWAGON</t>
        </is>
      </c>
      <c r="B1674" s="24">
        <f>IFERROR(INDEX(Companies!$A$3:$A$101,MATCH(A1674,Companies!$B$3:$B$101,0)),"")</f>
        <v/>
      </c>
      <c r="D1674" t="inlineStr">
        <is>
          <t>EC8FC2D67A45</t>
        </is>
      </c>
      <c r="E1674" s="24">
        <f>LEFT(D1674,2)&amp;":"&amp;MID(D1674,3,2)&amp;":"&amp;MID(D1674,5,2)&amp;":"&amp;MID(D1674,7,2)&amp;":"&amp;MID(D1674,9,2)&amp;":"&amp;RIGHT(D1674,2)</f>
        <v/>
      </c>
      <c r="H1674" s="2" t="inlineStr">
        <is>
          <t>A6895847AD311289</t>
        </is>
      </c>
      <c r="J1674" t="inlineStr">
        <is>
          <t>VIEZO0000000000000495</t>
        </is>
      </c>
    </row>
    <row r="1675">
      <c r="A1675" s="32" t="inlineStr">
        <is>
          <t>TANKWAGON</t>
        </is>
      </c>
      <c r="B1675" s="24">
        <f>IFERROR(INDEX(Companies!$A$3:$A$101,MATCH(A1675,Companies!$B$3:$B$101,0)),"")</f>
        <v/>
      </c>
      <c r="D1675" t="inlineStr">
        <is>
          <t>C108FC94FC96</t>
        </is>
      </c>
      <c r="E1675" s="24">
        <f>LEFT(D1675,2)&amp;":"&amp;MID(D1675,3,2)&amp;":"&amp;MID(D1675,5,2)&amp;":"&amp;MID(D1675,7,2)&amp;":"&amp;MID(D1675,9,2)&amp;":"&amp;RIGHT(D1675,2)</f>
        <v/>
      </c>
      <c r="H1675" s="2" t="inlineStr">
        <is>
          <t>EF25BF89206D1806</t>
        </is>
      </c>
      <c r="J1675" t="inlineStr">
        <is>
          <t>VIEZO0000000000000496</t>
        </is>
      </c>
    </row>
    <row r="1676">
      <c r="A1676" s="32" t="inlineStr">
        <is>
          <t>TANKWAGON</t>
        </is>
      </c>
      <c r="B1676" s="24">
        <f>IFERROR(INDEX(Companies!$A$3:$A$101,MATCH(A1676,Companies!$B$3:$B$101,0)),"")</f>
        <v/>
      </c>
      <c r="D1676" t="inlineStr">
        <is>
          <t>E4825F8AB51D</t>
        </is>
      </c>
      <c r="E1676" s="24">
        <f>LEFT(D1676,2)&amp;":"&amp;MID(D1676,3,2)&amp;":"&amp;MID(D1676,5,2)&amp;":"&amp;MID(D1676,7,2)&amp;":"&amp;MID(D1676,9,2)&amp;":"&amp;RIGHT(D1676,2)</f>
        <v/>
      </c>
      <c r="H1676" s="2" t="inlineStr">
        <is>
          <t>883461A3C448918F</t>
        </is>
      </c>
      <c r="J1676" t="inlineStr">
        <is>
          <t>VIEZO0000000000000497</t>
        </is>
      </c>
    </row>
    <row r="1677">
      <c r="A1677" s="32" t="inlineStr">
        <is>
          <t>TANKWAGON</t>
        </is>
      </c>
      <c r="B1677" s="24">
        <f>IFERROR(INDEX(Companies!$A$3:$A$101,MATCH(A1677,Companies!$B$3:$B$101,0)),"")</f>
        <v/>
      </c>
      <c r="D1677" t="inlineStr">
        <is>
          <t>D5709546D0C7</t>
        </is>
      </c>
      <c r="E1677" s="24">
        <f>LEFT(D1677,2)&amp;":"&amp;MID(D1677,3,2)&amp;":"&amp;MID(D1677,5,2)&amp;":"&amp;MID(D1677,7,2)&amp;":"&amp;MID(D1677,9,2)&amp;":"&amp;RIGHT(D1677,2)</f>
        <v/>
      </c>
      <c r="H1677" s="2" t="inlineStr">
        <is>
          <t>7E9749202F01D267</t>
        </is>
      </c>
      <c r="J1677" t="inlineStr">
        <is>
          <t>VIEZO0000000000000498</t>
        </is>
      </c>
    </row>
    <row r="1678">
      <c r="A1678" s="32" t="inlineStr">
        <is>
          <t>TANKWAGON</t>
        </is>
      </c>
      <c r="B1678" s="24">
        <f>IFERROR(INDEX(Companies!$A$3:$A$101,MATCH(A1678,Companies!$B$3:$B$101,0)),"")</f>
        <v/>
      </c>
      <c r="D1678" t="inlineStr">
        <is>
          <t>D3BCFCF1F895</t>
        </is>
      </c>
      <c r="E1678" s="24">
        <f>LEFT(D1678,2)&amp;":"&amp;MID(D1678,3,2)&amp;":"&amp;MID(D1678,5,2)&amp;":"&amp;MID(D1678,7,2)&amp;":"&amp;MID(D1678,9,2)&amp;":"&amp;RIGHT(D1678,2)</f>
        <v/>
      </c>
      <c r="H1678" s="2" t="inlineStr">
        <is>
          <t>0AB04670566FC175</t>
        </is>
      </c>
      <c r="J1678" t="inlineStr">
        <is>
          <t>VIEZO0000000000000499</t>
        </is>
      </c>
    </row>
    <row r="1679">
      <c r="A1679" s="32" t="inlineStr">
        <is>
          <t>TANKWAGON</t>
        </is>
      </c>
      <c r="B1679" s="24">
        <f>IFERROR(INDEX(Companies!$A$3:$A$101,MATCH(A1679,Companies!$B$3:$B$101,0)),"")</f>
        <v/>
      </c>
      <c r="D1679" t="inlineStr">
        <is>
          <t>EFA8DBA53552</t>
        </is>
      </c>
      <c r="E1679" s="24">
        <f>LEFT(D1679,2)&amp;":"&amp;MID(D1679,3,2)&amp;":"&amp;MID(D1679,5,2)&amp;":"&amp;MID(D1679,7,2)&amp;":"&amp;MID(D1679,9,2)&amp;":"&amp;RIGHT(D1679,2)</f>
        <v/>
      </c>
      <c r="H1679" s="2" t="inlineStr">
        <is>
          <t>4F29B462B07578E3</t>
        </is>
      </c>
      <c r="J1679" t="inlineStr">
        <is>
          <t>VIEZO0000000000000500</t>
        </is>
      </c>
    </row>
    <row r="1680">
      <c r="A1680" s="32" t="inlineStr">
        <is>
          <t>TANKWAGON</t>
        </is>
      </c>
      <c r="B1680" s="24">
        <f>IFERROR(INDEX(Companies!$A$3:$A$101,MATCH(A1680,Companies!$B$3:$B$101,0)),"")</f>
        <v/>
      </c>
      <c r="D1680" t="inlineStr">
        <is>
          <t>E6D6820371E8</t>
        </is>
      </c>
      <c r="E1680" s="24">
        <f>LEFT(D1680,2)&amp;":"&amp;MID(D1680,3,2)&amp;":"&amp;MID(D1680,5,2)&amp;":"&amp;MID(D1680,7,2)&amp;":"&amp;MID(D1680,9,2)&amp;":"&amp;RIGHT(D1680,2)</f>
        <v/>
      </c>
      <c r="H1680" s="2" t="inlineStr">
        <is>
          <t>C3E841D09D0A17E9</t>
        </is>
      </c>
      <c r="J1680" t="inlineStr">
        <is>
          <t>VIEZO0000000000000501</t>
        </is>
      </c>
    </row>
    <row r="1681">
      <c r="A1681" s="32" t="inlineStr">
        <is>
          <t>TANKWAGON</t>
        </is>
      </c>
      <c r="B1681" s="24">
        <f>IFERROR(INDEX(Companies!$A$3:$A$101,MATCH(A1681,Companies!$B$3:$B$101,0)),"")</f>
        <v/>
      </c>
      <c r="D1681" t="inlineStr">
        <is>
          <t>E3833963C93B</t>
        </is>
      </c>
      <c r="E1681" s="24">
        <f>LEFT(D1681,2)&amp;":"&amp;MID(D1681,3,2)&amp;":"&amp;MID(D1681,5,2)&amp;":"&amp;MID(D1681,7,2)&amp;":"&amp;MID(D1681,9,2)&amp;":"&amp;RIGHT(D1681,2)</f>
        <v/>
      </c>
      <c r="H1681" s="2" t="inlineStr">
        <is>
          <t>4963B559F0B9ABD3</t>
        </is>
      </c>
      <c r="J1681" t="inlineStr">
        <is>
          <t>VIEZO0000000000000502</t>
        </is>
      </c>
    </row>
    <row r="1682">
      <c r="A1682" s="32" t="inlineStr">
        <is>
          <t>TANKWAGON</t>
        </is>
      </c>
      <c r="B1682" s="24">
        <f>IFERROR(INDEX(Companies!$A$3:$A$101,MATCH(A1682,Companies!$B$3:$B$101,0)),"")</f>
        <v/>
      </c>
      <c r="D1682" t="inlineStr">
        <is>
          <t>D9B0F4DDEB6D</t>
        </is>
      </c>
      <c r="E1682" s="24">
        <f>LEFT(D1682,2)&amp;":"&amp;MID(D1682,3,2)&amp;":"&amp;MID(D1682,5,2)&amp;":"&amp;MID(D1682,7,2)&amp;":"&amp;MID(D1682,9,2)&amp;":"&amp;RIGHT(D1682,2)</f>
        <v/>
      </c>
      <c r="H1682" s="2" t="inlineStr">
        <is>
          <t>41644144F5D8EC15</t>
        </is>
      </c>
      <c r="J1682" t="inlineStr">
        <is>
          <t>VIEZO0000000000000503</t>
        </is>
      </c>
    </row>
    <row r="1683">
      <c r="A1683" s="32" t="inlineStr">
        <is>
          <t>TANKWAGON</t>
        </is>
      </c>
      <c r="B1683" s="24">
        <f>IFERROR(INDEX(Companies!$A$3:$A$101,MATCH(A1683,Companies!$B$3:$B$101,0)),"")</f>
        <v/>
      </c>
      <c r="D1683" t="inlineStr">
        <is>
          <t>C4B875AD7BB3</t>
        </is>
      </c>
      <c r="E1683" s="24">
        <f>LEFT(D1683,2)&amp;":"&amp;MID(D1683,3,2)&amp;":"&amp;MID(D1683,5,2)&amp;":"&amp;MID(D1683,7,2)&amp;":"&amp;MID(D1683,9,2)&amp;":"&amp;RIGHT(D1683,2)</f>
        <v/>
      </c>
      <c r="H1683" s="2" t="inlineStr">
        <is>
          <t>6776890449CF6BBE</t>
        </is>
      </c>
      <c r="J1683" t="inlineStr">
        <is>
          <t>VIEZO0000000000000504</t>
        </is>
      </c>
    </row>
    <row r="1684">
      <c r="A1684" s="32" t="inlineStr">
        <is>
          <t>TANKWAGON</t>
        </is>
      </c>
      <c r="B1684" s="24">
        <f>IFERROR(INDEX(Companies!$A$3:$A$101,MATCH(A1684,Companies!$B$3:$B$101,0)),"")</f>
        <v/>
      </c>
      <c r="D1684" t="inlineStr">
        <is>
          <t>F5DC3C75438B</t>
        </is>
      </c>
      <c r="E1684" s="24">
        <f>LEFT(D1684,2)&amp;":"&amp;MID(D1684,3,2)&amp;":"&amp;MID(D1684,5,2)&amp;":"&amp;MID(D1684,7,2)&amp;":"&amp;MID(D1684,9,2)&amp;":"&amp;RIGHT(D1684,2)</f>
        <v/>
      </c>
      <c r="H1684" s="2" t="inlineStr">
        <is>
          <t>47AA2C21C0DF74CD</t>
        </is>
      </c>
      <c r="J1684" t="inlineStr">
        <is>
          <t>VIEZO0000000000000505</t>
        </is>
      </c>
    </row>
    <row r="1685">
      <c r="A1685" s="32" t="inlineStr">
        <is>
          <t>TANKWAGON</t>
        </is>
      </c>
      <c r="B1685" s="24">
        <f>IFERROR(INDEX(Companies!$A$3:$A$101,MATCH(A1685,Companies!$B$3:$B$101,0)),"")</f>
        <v/>
      </c>
      <c r="D1685" t="inlineStr">
        <is>
          <t>E8DFEBF5E999</t>
        </is>
      </c>
      <c r="E1685" s="24">
        <f>LEFT(D1685,2)&amp;":"&amp;MID(D1685,3,2)&amp;":"&amp;MID(D1685,5,2)&amp;":"&amp;MID(D1685,7,2)&amp;":"&amp;MID(D1685,9,2)&amp;":"&amp;RIGHT(D1685,2)</f>
        <v/>
      </c>
      <c r="H1685" s="2" t="inlineStr">
        <is>
          <t>E2C78396313EADAA</t>
        </is>
      </c>
      <c r="J1685" t="inlineStr">
        <is>
          <t>VIEZO0000000000000506</t>
        </is>
      </c>
      <c r="N1685" s="99" t="inlineStr">
        <is>
          <t>Nexxiot</t>
        </is>
      </c>
    </row>
    <row r="1686">
      <c r="A1686" s="32" t="inlineStr">
        <is>
          <t>TANKWAGON</t>
        </is>
      </c>
      <c r="B1686" s="24">
        <f>IFERROR(INDEX(Companies!$A$3:$A$101,MATCH(A1686,Companies!$B$3:$B$101,0)),"")</f>
        <v/>
      </c>
      <c r="D1686" t="inlineStr">
        <is>
          <t>E7B62D60C164</t>
        </is>
      </c>
      <c r="E1686" s="24">
        <f>LEFT(D1686,2)&amp;":"&amp;MID(D1686,3,2)&amp;":"&amp;MID(D1686,5,2)&amp;":"&amp;MID(D1686,7,2)&amp;":"&amp;MID(D1686,9,2)&amp;":"&amp;RIGHT(D1686,2)</f>
        <v/>
      </c>
      <c r="H1686" s="2" t="inlineStr">
        <is>
          <t>4A0CF6B3D1A2AFD4</t>
        </is>
      </c>
      <c r="J1686" t="inlineStr">
        <is>
          <t>VIEZO0000000000000507</t>
        </is>
      </c>
    </row>
    <row r="1687">
      <c r="A1687" s="32" t="inlineStr">
        <is>
          <t>TANKWAGON</t>
        </is>
      </c>
      <c r="B1687" s="24">
        <f>IFERROR(INDEX(Companies!$A$3:$A$101,MATCH(A1687,Companies!$B$3:$B$101,0)),"")</f>
        <v/>
      </c>
      <c r="D1687" t="inlineStr">
        <is>
          <t>F571BBFA9821</t>
        </is>
      </c>
      <c r="E1687" s="24">
        <f>LEFT(D1687,2)&amp;":"&amp;MID(D1687,3,2)&amp;":"&amp;MID(D1687,5,2)&amp;":"&amp;MID(D1687,7,2)&amp;":"&amp;MID(D1687,9,2)&amp;":"&amp;RIGHT(D1687,2)</f>
        <v/>
      </c>
      <c r="H1687" s="2" t="inlineStr">
        <is>
          <t>264123202641AB9A</t>
        </is>
      </c>
      <c r="J1687" t="inlineStr">
        <is>
          <t>VIEZO0000000000000508</t>
        </is>
      </c>
      <c r="N1687" s="99" t="inlineStr">
        <is>
          <t>Nexxiot</t>
        </is>
      </c>
    </row>
    <row r="1688">
      <c r="A1688" s="32" t="inlineStr">
        <is>
          <t>TANKWAGON</t>
        </is>
      </c>
      <c r="B1688" s="24">
        <f>IFERROR(INDEX(Companies!$A$3:$A$101,MATCH(A1688,Companies!$B$3:$B$101,0)),"")</f>
        <v/>
      </c>
      <c r="D1688" t="inlineStr">
        <is>
          <t>E8DFECBF77F7</t>
        </is>
      </c>
      <c r="E1688" s="24">
        <f>LEFT(D1688,2)&amp;":"&amp;MID(D1688,3,2)&amp;":"&amp;MID(D1688,5,2)&amp;":"&amp;MID(D1688,7,2)&amp;":"&amp;MID(D1688,9,2)&amp;":"&amp;RIGHT(D1688,2)</f>
        <v/>
      </c>
      <c r="H1688" s="2" t="inlineStr">
        <is>
          <t>4459ADBD3074C48C</t>
        </is>
      </c>
      <c r="J1688" t="inlineStr">
        <is>
          <t>VIEZO0000000000000509</t>
        </is>
      </c>
    </row>
    <row r="1689">
      <c r="A1689" s="32" t="inlineStr">
        <is>
          <t>TANKWAGON</t>
        </is>
      </c>
      <c r="B1689" s="24">
        <f>IFERROR(INDEX(Companies!$A$3:$A$101,MATCH(A1689,Companies!$B$3:$B$101,0)),"")</f>
        <v/>
      </c>
      <c r="D1689" t="inlineStr">
        <is>
          <t>D11BA354F75D</t>
        </is>
      </c>
      <c r="E1689" s="24">
        <f>LEFT(D1689,2)&amp;":"&amp;MID(D1689,3,2)&amp;":"&amp;MID(D1689,5,2)&amp;":"&amp;MID(D1689,7,2)&amp;":"&amp;MID(D1689,9,2)&amp;":"&amp;RIGHT(D1689,2)</f>
        <v/>
      </c>
      <c r="H1689" s="2" t="inlineStr">
        <is>
          <t>1B10BB87F9F519F5</t>
        </is>
      </c>
      <c r="J1689" t="inlineStr">
        <is>
          <t>VIEZO0000000000000510</t>
        </is>
      </c>
    </row>
    <row r="1690">
      <c r="A1690" s="32" t="inlineStr">
        <is>
          <t>TANKWAGON</t>
        </is>
      </c>
      <c r="B1690" s="24">
        <f>IFERROR(INDEX(Companies!$A$3:$A$101,MATCH(A1690,Companies!$B$3:$B$101,0)),"")</f>
        <v/>
      </c>
      <c r="D1690" t="inlineStr">
        <is>
          <t>DAD1A1FEC551</t>
        </is>
      </c>
      <c r="E1690" s="24">
        <f>LEFT(D1690,2)&amp;":"&amp;MID(D1690,3,2)&amp;":"&amp;MID(D1690,5,2)&amp;":"&amp;MID(D1690,7,2)&amp;":"&amp;MID(D1690,9,2)&amp;":"&amp;RIGHT(D1690,2)</f>
        <v/>
      </c>
      <c r="H1690" s="2" t="inlineStr">
        <is>
          <t>DE80A02B4A366BB2</t>
        </is>
      </c>
      <c r="J1690" t="inlineStr">
        <is>
          <t>VIEZO0000000000000511</t>
        </is>
      </c>
    </row>
    <row r="1691">
      <c r="A1691" s="32" t="inlineStr">
        <is>
          <t>TANKWAGON</t>
        </is>
      </c>
      <c r="B1691" s="24">
        <f>IFERROR(INDEX(Companies!$A$3:$A$101,MATCH(A1691,Companies!$B$3:$B$101,0)),"")</f>
        <v/>
      </c>
      <c r="D1691" t="inlineStr">
        <is>
          <t>E216DB29382F</t>
        </is>
      </c>
      <c r="E1691" s="24">
        <f>LEFT(D1691,2)&amp;":"&amp;MID(D1691,3,2)&amp;":"&amp;MID(D1691,5,2)&amp;":"&amp;MID(D1691,7,2)&amp;":"&amp;MID(D1691,9,2)&amp;":"&amp;RIGHT(D1691,2)</f>
        <v/>
      </c>
      <c r="H1691" s="2" t="inlineStr">
        <is>
          <t>98E063F6C0BBD1BB</t>
        </is>
      </c>
      <c r="J1691" t="inlineStr">
        <is>
          <t>VIEZO0000000000000513</t>
        </is>
      </c>
    </row>
    <row r="1692">
      <c r="A1692" s="32" t="inlineStr">
        <is>
          <t>TANKWAGON</t>
        </is>
      </c>
      <c r="B1692" s="24">
        <f>IFERROR(INDEX(Companies!$A$3:$A$101,MATCH(A1692,Companies!$B$3:$B$101,0)),"")</f>
        <v/>
      </c>
      <c r="D1692" t="inlineStr">
        <is>
          <t>FD384A620ED2</t>
        </is>
      </c>
      <c r="E1692" s="24">
        <f>LEFT(D1692,2)&amp;":"&amp;MID(D1692,3,2)&amp;":"&amp;MID(D1692,5,2)&amp;":"&amp;MID(D1692,7,2)&amp;":"&amp;MID(D1692,9,2)&amp;":"&amp;RIGHT(D1692,2)</f>
        <v/>
      </c>
      <c r="H1692" s="2" t="inlineStr">
        <is>
          <t>E22D98F1B7756168</t>
        </is>
      </c>
      <c r="J1692" t="inlineStr">
        <is>
          <t>VIEZO0000000000000514</t>
        </is>
      </c>
      <c r="N1692" s="99" t="inlineStr">
        <is>
          <t>Nexxiot</t>
        </is>
      </c>
    </row>
    <row r="1693">
      <c r="A1693" s="32" t="inlineStr">
        <is>
          <t>TANKWAGON</t>
        </is>
      </c>
      <c r="B1693" s="24">
        <f>IFERROR(INDEX(Companies!$A$3:$A$101,MATCH(A1693,Companies!$B$3:$B$101,0)),"")</f>
        <v/>
      </c>
      <c r="D1693" t="inlineStr">
        <is>
          <t>D6AC902DC7BA</t>
        </is>
      </c>
      <c r="E1693" s="24">
        <f>LEFT(D1693,2)&amp;":"&amp;MID(D1693,3,2)&amp;":"&amp;MID(D1693,5,2)&amp;":"&amp;MID(D1693,7,2)&amp;":"&amp;MID(D1693,9,2)&amp;":"&amp;RIGHT(D1693,2)</f>
        <v/>
      </c>
      <c r="H1693" s="2" t="inlineStr">
        <is>
          <t>070E966B59245049</t>
        </is>
      </c>
      <c r="J1693" s="26" t="inlineStr">
        <is>
          <t>VIEZO0000000000000515</t>
        </is>
      </c>
    </row>
    <row r="1694">
      <c r="A1694" s="32" t="inlineStr">
        <is>
          <t>TANKWAGON</t>
        </is>
      </c>
      <c r="B1694" s="24">
        <f>IFERROR(INDEX(Companies!$A$3:$A$101,MATCH(A1694,Companies!$B$3:$B$101,0)),"")</f>
        <v/>
      </c>
      <c r="D1694" t="inlineStr">
        <is>
          <t>CE5C842846FA</t>
        </is>
      </c>
      <c r="E1694" s="24">
        <f>LEFT(D1694,2)&amp;":"&amp;MID(D1694,3,2)&amp;":"&amp;MID(D1694,5,2)&amp;":"&amp;MID(D1694,7,2)&amp;":"&amp;MID(D1694,9,2)&amp;":"&amp;RIGHT(D1694,2)</f>
        <v/>
      </c>
      <c r="H1694" s="2" t="inlineStr">
        <is>
          <t>92C48C5CD292A605</t>
        </is>
      </c>
      <c r="J1694" t="inlineStr">
        <is>
          <t>VIEZO0000000000000516</t>
        </is>
      </c>
    </row>
    <row r="1695">
      <c r="A1695" s="32" t="inlineStr">
        <is>
          <t>TANKWAGON</t>
        </is>
      </c>
      <c r="B1695" s="24">
        <f>IFERROR(INDEX(Companies!$A$3:$A$101,MATCH(A1695,Companies!$B$3:$B$101,0)),"")</f>
        <v/>
      </c>
      <c r="D1695" t="inlineStr">
        <is>
          <t>EDC6C35706FA</t>
        </is>
      </c>
      <c r="E1695" s="24">
        <f>LEFT(D1695,2)&amp;":"&amp;MID(D1695,3,2)&amp;":"&amp;MID(D1695,5,2)&amp;":"&amp;MID(D1695,7,2)&amp;":"&amp;MID(D1695,9,2)&amp;":"&amp;RIGHT(D1695,2)</f>
        <v/>
      </c>
      <c r="H1695" s="2" t="inlineStr">
        <is>
          <t>01FA1FC05C77705C</t>
        </is>
      </c>
      <c r="J1695" t="inlineStr">
        <is>
          <t>VIEZO0000000000000517</t>
        </is>
      </c>
    </row>
    <row r="1696">
      <c r="A1696" s="32" t="inlineStr">
        <is>
          <t>TANKWAGON</t>
        </is>
      </c>
      <c r="B1696" s="24">
        <f>IFERROR(INDEX(Companies!$A$3:$A$101,MATCH(A1696,Companies!$B$3:$B$101,0)),"")</f>
        <v/>
      </c>
      <c r="D1696" t="inlineStr">
        <is>
          <t>D55A84447B98</t>
        </is>
      </c>
      <c r="E1696" s="24">
        <f>LEFT(D1696,2)&amp;":"&amp;MID(D1696,3,2)&amp;":"&amp;MID(D1696,5,2)&amp;":"&amp;MID(D1696,7,2)&amp;":"&amp;MID(D1696,9,2)&amp;":"&amp;RIGHT(D1696,2)</f>
        <v/>
      </c>
      <c r="H1696" s="2" t="inlineStr">
        <is>
          <t>6964C6AF92563873</t>
        </is>
      </c>
      <c r="J1696" t="inlineStr">
        <is>
          <t>VIEZO0000000000000518</t>
        </is>
      </c>
    </row>
    <row r="1697">
      <c r="A1697" s="32" t="inlineStr">
        <is>
          <t>TANKWAGON</t>
        </is>
      </c>
      <c r="B1697" s="24">
        <f>IFERROR(INDEX(Companies!$A$3:$A$101,MATCH(A1697,Companies!$B$3:$B$101,0)),"")</f>
        <v/>
      </c>
      <c r="D1697" t="inlineStr">
        <is>
          <t>CA73CD18ADD6</t>
        </is>
      </c>
      <c r="E1697" s="24">
        <f>LEFT(D1697,2)&amp;":"&amp;MID(D1697,3,2)&amp;":"&amp;MID(D1697,5,2)&amp;":"&amp;MID(D1697,7,2)&amp;":"&amp;MID(D1697,9,2)&amp;":"&amp;RIGHT(D1697,2)</f>
        <v/>
      </c>
      <c r="H1697" s="2" t="inlineStr">
        <is>
          <t>413CB97786523DB1</t>
        </is>
      </c>
      <c r="J1697" t="inlineStr">
        <is>
          <t>VIEZO0000000000000519</t>
        </is>
      </c>
    </row>
    <row r="1698">
      <c r="A1698" s="32" t="inlineStr">
        <is>
          <t>TANKWAGON</t>
        </is>
      </c>
      <c r="B1698" s="24">
        <f>IFERROR(INDEX(Companies!$A$3:$A$101,MATCH(A1698,Companies!$B$3:$B$101,0)),"")</f>
        <v/>
      </c>
      <c r="D1698" t="inlineStr">
        <is>
          <t>DBAED7AD1161</t>
        </is>
      </c>
      <c r="E1698" s="24">
        <f>LEFT(D1698,2)&amp;":"&amp;MID(D1698,3,2)&amp;":"&amp;MID(D1698,5,2)&amp;":"&amp;MID(D1698,7,2)&amp;":"&amp;MID(D1698,9,2)&amp;":"&amp;RIGHT(D1698,2)</f>
        <v/>
      </c>
      <c r="H1698" s="2" t="inlineStr">
        <is>
          <t>AADD737614DF8C3D</t>
        </is>
      </c>
      <c r="J1698" t="inlineStr">
        <is>
          <t>VIEZO0000000000000520</t>
        </is>
      </c>
    </row>
    <row r="1699">
      <c r="A1699" s="32" t="inlineStr">
        <is>
          <t>TANKWAGON</t>
        </is>
      </c>
      <c r="B1699" s="24">
        <f>IFERROR(INDEX(Companies!$A$3:$A$101,MATCH(A1699,Companies!$B$3:$B$101,0)),"")</f>
        <v/>
      </c>
      <c r="D1699" t="inlineStr">
        <is>
          <t>E639EAECCE31</t>
        </is>
      </c>
      <c r="E1699" s="24">
        <f>LEFT(D1699,2)&amp;":"&amp;MID(D1699,3,2)&amp;":"&amp;MID(D1699,5,2)&amp;":"&amp;MID(D1699,7,2)&amp;":"&amp;MID(D1699,9,2)&amp;":"&amp;RIGHT(D1699,2)</f>
        <v/>
      </c>
      <c r="H1699" s="2" t="inlineStr">
        <is>
          <t>44FAFAA2CEDCD97F</t>
        </is>
      </c>
      <c r="J1699" t="inlineStr">
        <is>
          <t>VIEZO0000000000000521</t>
        </is>
      </c>
    </row>
    <row r="1700">
      <c r="A1700" s="32" t="inlineStr">
        <is>
          <t>TANKWAGON</t>
        </is>
      </c>
      <c r="B1700" s="24">
        <f>IFERROR(INDEX(Companies!$A$3:$A$101,MATCH(A1700,Companies!$B$3:$B$101,0)),"")</f>
        <v/>
      </c>
      <c r="D1700" t="inlineStr">
        <is>
          <t>DD66A8A2C079</t>
        </is>
      </c>
      <c r="E1700" s="24">
        <f>LEFT(D1700,2)&amp;":"&amp;MID(D1700,3,2)&amp;":"&amp;MID(D1700,5,2)&amp;":"&amp;MID(D1700,7,2)&amp;":"&amp;MID(D1700,9,2)&amp;":"&amp;RIGHT(D1700,2)</f>
        <v/>
      </c>
      <c r="H1700" s="2" t="inlineStr">
        <is>
          <t>F5234C348FC5E1F3</t>
        </is>
      </c>
      <c r="J1700" t="inlineStr">
        <is>
          <t>VIEZO0000000000000522</t>
        </is>
      </c>
    </row>
    <row r="1701">
      <c r="A1701" s="32" t="inlineStr">
        <is>
          <t>TANKWAGON</t>
        </is>
      </c>
      <c r="B1701" s="24">
        <f>IFERROR(INDEX(Companies!$A$3:$A$101,MATCH(A1701,Companies!$B$3:$B$101,0)),"")</f>
        <v/>
      </c>
      <c r="D1701" t="inlineStr">
        <is>
          <t>EC9673585179</t>
        </is>
      </c>
      <c r="E1701" s="24">
        <f>LEFT(D1701,2)&amp;":"&amp;MID(D1701,3,2)&amp;":"&amp;MID(D1701,5,2)&amp;":"&amp;MID(D1701,7,2)&amp;":"&amp;MID(D1701,9,2)&amp;":"&amp;RIGHT(D1701,2)</f>
        <v/>
      </c>
      <c r="H1701" s="2" t="inlineStr">
        <is>
          <t>55D35C0C87B96BA7</t>
        </is>
      </c>
      <c r="J1701" t="inlineStr">
        <is>
          <t>VIEZO0000000000000523</t>
        </is>
      </c>
    </row>
    <row r="1702">
      <c r="A1702" s="32" t="inlineStr">
        <is>
          <t>TANKWAGON</t>
        </is>
      </c>
      <c r="B1702" s="24">
        <f>IFERROR(INDEX(Companies!$A$3:$A$101,MATCH(A1702,Companies!$B$3:$B$101,0)),"")</f>
        <v/>
      </c>
      <c r="D1702" t="inlineStr">
        <is>
          <t>DE5049B6F32F</t>
        </is>
      </c>
      <c r="E1702" s="24">
        <f>LEFT(D1702,2)&amp;":"&amp;MID(D1702,3,2)&amp;":"&amp;MID(D1702,5,2)&amp;":"&amp;MID(D1702,7,2)&amp;":"&amp;MID(D1702,9,2)&amp;":"&amp;RIGHT(D1702,2)</f>
        <v/>
      </c>
      <c r="H1702" s="2" t="inlineStr">
        <is>
          <t>9903CBC4C179C932</t>
        </is>
      </c>
      <c r="J1702" t="inlineStr">
        <is>
          <t>VIEZO0000000000000524</t>
        </is>
      </c>
    </row>
    <row r="1703">
      <c r="A1703" s="32" t="inlineStr">
        <is>
          <t>TANKWAGON</t>
        </is>
      </c>
      <c r="B1703" s="24">
        <f>IFERROR(INDEX(Companies!$A$3:$A$101,MATCH(A1703,Companies!$B$3:$B$101,0)),"")</f>
        <v/>
      </c>
      <c r="D1703" t="inlineStr">
        <is>
          <t>EA6E73849A4C</t>
        </is>
      </c>
      <c r="E1703" s="24">
        <f>LEFT(D1703,2)&amp;":"&amp;MID(D1703,3,2)&amp;":"&amp;MID(D1703,5,2)&amp;":"&amp;MID(D1703,7,2)&amp;":"&amp;MID(D1703,9,2)&amp;":"&amp;RIGHT(D1703,2)</f>
        <v/>
      </c>
      <c r="H1703" s="2" t="inlineStr">
        <is>
          <t>B4BD63A95C947791</t>
        </is>
      </c>
      <c r="J1703" t="inlineStr">
        <is>
          <t>VIEZO0000000000000525</t>
        </is>
      </c>
    </row>
    <row r="1704">
      <c r="A1704" s="32" t="inlineStr">
        <is>
          <t>TANKWAGON</t>
        </is>
      </c>
      <c r="B1704" s="24">
        <f>IFERROR(INDEX(Companies!$A$3:$A$101,MATCH(A1704,Companies!$B$3:$B$101,0)),"")</f>
        <v/>
      </c>
      <c r="D1704" t="inlineStr">
        <is>
          <t>C6E6BD2E7A71</t>
        </is>
      </c>
      <c r="E1704" s="24">
        <f>LEFT(D1704,2)&amp;":"&amp;MID(D1704,3,2)&amp;":"&amp;MID(D1704,5,2)&amp;":"&amp;MID(D1704,7,2)&amp;":"&amp;MID(D1704,9,2)&amp;":"&amp;RIGHT(D1704,2)</f>
        <v/>
      </c>
      <c r="H1704" s="2" t="inlineStr">
        <is>
          <t>92887AABB21B070B</t>
        </is>
      </c>
      <c r="J1704" t="inlineStr">
        <is>
          <t>VIEZO0000000000000526</t>
        </is>
      </c>
    </row>
    <row r="1705">
      <c r="A1705" s="32" t="inlineStr">
        <is>
          <t>TANKWAGON</t>
        </is>
      </c>
      <c r="B1705" s="24">
        <f>IFERROR(INDEX(Companies!$A$3:$A$101,MATCH(A1705,Companies!$B$3:$B$101,0)),"")</f>
        <v/>
      </c>
      <c r="D1705" t="inlineStr">
        <is>
          <t>D471B109BBCF</t>
        </is>
      </c>
      <c r="E1705" s="24">
        <f>LEFT(D1705,2)&amp;":"&amp;MID(D1705,3,2)&amp;":"&amp;MID(D1705,5,2)&amp;":"&amp;MID(D1705,7,2)&amp;":"&amp;MID(D1705,9,2)&amp;":"&amp;RIGHT(D1705,2)</f>
        <v/>
      </c>
      <c r="H1705" s="2" t="inlineStr">
        <is>
          <t>5EE612D10E985B81</t>
        </is>
      </c>
      <c r="J1705" t="inlineStr">
        <is>
          <t>VIEZO0000000000000527</t>
        </is>
      </c>
    </row>
    <row r="1706">
      <c r="A1706" s="32" t="inlineStr">
        <is>
          <t>TANKWAGON</t>
        </is>
      </c>
      <c r="B1706" s="24">
        <f>IFERROR(INDEX(Companies!$A$3:$A$101,MATCH(A1706,Companies!$B$3:$B$101,0)),"")</f>
        <v/>
      </c>
      <c r="D1706" t="inlineStr">
        <is>
          <t>FB251EC3D60C</t>
        </is>
      </c>
      <c r="E1706" s="24">
        <f>LEFT(D1706,2)&amp;":"&amp;MID(D1706,3,2)&amp;":"&amp;MID(D1706,5,2)&amp;":"&amp;MID(D1706,7,2)&amp;":"&amp;MID(D1706,9,2)&amp;":"&amp;RIGHT(D1706,2)</f>
        <v/>
      </c>
      <c r="H1706" s="2" t="inlineStr">
        <is>
          <t>954C80F016CF76F6</t>
        </is>
      </c>
      <c r="J1706" t="inlineStr">
        <is>
          <t>VIEZO0000000000000528</t>
        </is>
      </c>
      <c r="N1706" s="99" t="inlineStr">
        <is>
          <t>Nexxiot</t>
        </is>
      </c>
    </row>
    <row r="1707">
      <c r="A1707" s="32" t="inlineStr">
        <is>
          <t>TANKWAGON</t>
        </is>
      </c>
      <c r="B1707" s="24">
        <f>IFERROR(INDEX(Companies!$A$3:$A$101,MATCH(A1707,Companies!$B$3:$B$101,0)),"")</f>
        <v/>
      </c>
      <c r="D1707" t="inlineStr">
        <is>
          <t>F9E6A89A6F48</t>
        </is>
      </c>
      <c r="E1707" s="24">
        <f>LEFT(D1707,2)&amp;":"&amp;MID(D1707,3,2)&amp;":"&amp;MID(D1707,5,2)&amp;":"&amp;MID(D1707,7,2)&amp;":"&amp;MID(D1707,9,2)&amp;":"&amp;RIGHT(D1707,2)</f>
        <v/>
      </c>
      <c r="H1707" s="2" t="inlineStr">
        <is>
          <t>88F97ACB48354CBE</t>
        </is>
      </c>
      <c r="J1707" t="inlineStr">
        <is>
          <t>VIEZO0000000000000529</t>
        </is>
      </c>
    </row>
    <row r="1708">
      <c r="A1708" s="32" t="inlineStr">
        <is>
          <t>TANKWAGON</t>
        </is>
      </c>
      <c r="B1708" s="24">
        <f>IFERROR(INDEX(Companies!$A$3:$A$101,MATCH(A1708,Companies!$B$3:$B$101,0)),"")</f>
        <v/>
      </c>
      <c r="D1708" t="inlineStr">
        <is>
          <t>F7BFB4CFC484</t>
        </is>
      </c>
      <c r="E1708" s="24">
        <f>LEFT(D1708,2)&amp;":"&amp;MID(D1708,3,2)&amp;":"&amp;MID(D1708,5,2)&amp;":"&amp;MID(D1708,7,2)&amp;":"&amp;MID(D1708,9,2)&amp;":"&amp;RIGHT(D1708,2)</f>
        <v/>
      </c>
      <c r="F1708" s="29" t="n">
        <v>45260</v>
      </c>
      <c r="G1708" s="29" t="inlineStr">
        <is>
          <t>Tankwagon</t>
        </is>
      </c>
      <c r="H1708" s="2" t="inlineStr">
        <is>
          <t>4F28BBAD8B6E2933</t>
        </is>
      </c>
      <c r="J1708" t="inlineStr">
        <is>
          <t>VIEZO0000000000000530</t>
        </is>
      </c>
      <c r="K1708" s="27" t="inlineStr">
        <is>
          <t>33877916681-2</t>
        </is>
      </c>
      <c r="L1708" s="27" t="inlineStr">
        <is>
          <t>1R</t>
        </is>
      </c>
      <c r="N1708" s="99" t="inlineStr">
        <is>
          <t>Nexxiot</t>
        </is>
      </c>
    </row>
    <row r="1709">
      <c r="A1709" s="32" t="inlineStr">
        <is>
          <t>TANKWAGON</t>
        </is>
      </c>
      <c r="B1709" s="24">
        <f>IFERROR(INDEX(Companies!$A$3:$A$101,MATCH(A1709,Companies!$B$3:$B$101,0)),"")</f>
        <v/>
      </c>
      <c r="D1709" t="inlineStr">
        <is>
          <t>DC9AF3A2FB48</t>
        </is>
      </c>
      <c r="E1709" s="24">
        <f>LEFT(D1709,2)&amp;":"&amp;MID(D1709,3,2)&amp;":"&amp;MID(D1709,5,2)&amp;":"&amp;MID(D1709,7,2)&amp;":"&amp;MID(D1709,9,2)&amp;":"&amp;RIGHT(D1709,2)</f>
        <v/>
      </c>
      <c r="H1709" s="2" t="inlineStr">
        <is>
          <t>91E0A924CC53059B</t>
        </is>
      </c>
      <c r="J1709" t="inlineStr">
        <is>
          <t>VIEZO0000000000000531</t>
        </is>
      </c>
    </row>
    <row r="1710">
      <c r="A1710" s="32" t="inlineStr">
        <is>
          <t>TANKWAGON</t>
        </is>
      </c>
      <c r="B1710" s="24">
        <f>IFERROR(INDEX(Companies!$A$3:$A$101,MATCH(A1710,Companies!$B$3:$B$101,0)),"")</f>
        <v/>
      </c>
      <c r="D1710" t="inlineStr">
        <is>
          <t>CCE750A8E48C</t>
        </is>
      </c>
      <c r="E1710" s="24">
        <f>LEFT(D1710,2)&amp;":"&amp;MID(D1710,3,2)&amp;":"&amp;MID(D1710,5,2)&amp;":"&amp;MID(D1710,7,2)&amp;":"&amp;MID(D1710,9,2)&amp;":"&amp;RIGHT(D1710,2)</f>
        <v/>
      </c>
      <c r="H1710" s="2" t="inlineStr">
        <is>
          <t>685C9634607C548C</t>
        </is>
      </c>
      <c r="J1710" t="inlineStr">
        <is>
          <t>VIEZO0000000000000532</t>
        </is>
      </c>
    </row>
    <row r="1711">
      <c r="A1711" s="32" t="inlineStr">
        <is>
          <t>TANKWAGON</t>
        </is>
      </c>
      <c r="B1711" s="24">
        <f>IFERROR(INDEX(Companies!$A$3:$A$101,MATCH(A1711,Companies!$B$3:$B$101,0)),"")</f>
        <v/>
      </c>
      <c r="D1711" t="inlineStr">
        <is>
          <t>F7B9D67CDFBF</t>
        </is>
      </c>
      <c r="E1711" s="24">
        <f>LEFT(D1711,2)&amp;":"&amp;MID(D1711,3,2)&amp;":"&amp;MID(D1711,5,2)&amp;":"&amp;MID(D1711,7,2)&amp;":"&amp;MID(D1711,9,2)&amp;":"&amp;RIGHT(D1711,2)</f>
        <v/>
      </c>
      <c r="H1711" s="2" t="inlineStr">
        <is>
          <t>2C455E6A448E9983</t>
        </is>
      </c>
      <c r="J1711" t="inlineStr">
        <is>
          <t>VIEZO0000000000000533</t>
        </is>
      </c>
      <c r="N1711" s="99" t="inlineStr">
        <is>
          <t>Nexxiot</t>
        </is>
      </c>
    </row>
    <row r="1712">
      <c r="A1712" s="32" t="inlineStr">
        <is>
          <t>TANKWAGON</t>
        </is>
      </c>
      <c r="B1712" s="24">
        <f>IFERROR(INDEX(Companies!$A$3:$A$101,MATCH(A1712,Companies!$B$3:$B$101,0)),"")</f>
        <v/>
      </c>
      <c r="D1712" t="inlineStr">
        <is>
          <t>E4A61229627D</t>
        </is>
      </c>
      <c r="E1712" s="24">
        <f>LEFT(D1712,2)&amp;":"&amp;MID(D1712,3,2)&amp;":"&amp;MID(D1712,5,2)&amp;":"&amp;MID(D1712,7,2)&amp;":"&amp;MID(D1712,9,2)&amp;":"&amp;RIGHT(D1712,2)</f>
        <v/>
      </c>
      <c r="H1712" s="2" t="inlineStr">
        <is>
          <t>024E8890B136CD07</t>
        </is>
      </c>
      <c r="J1712" t="inlineStr">
        <is>
          <t>VIEZO0000000000000534</t>
        </is>
      </c>
    </row>
    <row r="1713">
      <c r="A1713" s="32" t="inlineStr">
        <is>
          <t>TANKWAGON</t>
        </is>
      </c>
      <c r="B1713" s="24">
        <f>IFERROR(INDEX(Companies!$A$3:$A$101,MATCH(A1713,Companies!$B$3:$B$101,0)),"")</f>
        <v/>
      </c>
      <c r="D1713" t="inlineStr">
        <is>
          <t>D8AC413EE027</t>
        </is>
      </c>
      <c r="E1713" s="24">
        <f>LEFT(D1713,2)&amp;":"&amp;MID(D1713,3,2)&amp;":"&amp;MID(D1713,5,2)&amp;":"&amp;MID(D1713,7,2)&amp;":"&amp;MID(D1713,9,2)&amp;":"&amp;RIGHT(D1713,2)</f>
        <v/>
      </c>
      <c r="H1713" s="2" t="inlineStr">
        <is>
          <t>252E4B14CA44B505</t>
        </is>
      </c>
      <c r="J1713" t="inlineStr">
        <is>
          <t>VIEZO0000000000000535</t>
        </is>
      </c>
    </row>
    <row r="1714">
      <c r="A1714" s="32" t="inlineStr">
        <is>
          <t>TANKWAGON</t>
        </is>
      </c>
      <c r="B1714" s="24">
        <f>IFERROR(INDEX(Companies!$A$3:$A$101,MATCH(A1714,Companies!$B$3:$B$101,0)),"")</f>
        <v/>
      </c>
      <c r="D1714" t="inlineStr">
        <is>
          <t>FA55F963CDDE</t>
        </is>
      </c>
      <c r="E1714" s="24">
        <f>LEFT(D1714,2)&amp;":"&amp;MID(D1714,3,2)&amp;":"&amp;MID(D1714,5,2)&amp;":"&amp;MID(D1714,7,2)&amp;":"&amp;MID(D1714,9,2)&amp;":"&amp;RIGHT(D1714,2)</f>
        <v/>
      </c>
      <c r="H1714" s="2" t="inlineStr">
        <is>
          <t>6FCAB8CC66CDA857</t>
        </is>
      </c>
      <c r="J1714" t="inlineStr">
        <is>
          <t>VIEZO0000000000000536</t>
        </is>
      </c>
    </row>
    <row r="1715">
      <c r="A1715" s="32" t="inlineStr">
        <is>
          <t>TANKWAGON</t>
        </is>
      </c>
      <c r="B1715" s="24">
        <f>IFERROR(INDEX(Companies!$A$3:$A$101,MATCH(A1715,Companies!$B$3:$B$101,0)),"")</f>
        <v/>
      </c>
      <c r="D1715" t="inlineStr">
        <is>
          <t>CC5BB35C7FBB</t>
        </is>
      </c>
      <c r="E1715" s="24">
        <f>LEFT(D1715,2)&amp;":"&amp;MID(D1715,3,2)&amp;":"&amp;MID(D1715,5,2)&amp;":"&amp;MID(D1715,7,2)&amp;":"&amp;MID(D1715,9,2)&amp;":"&amp;RIGHT(D1715,2)</f>
        <v/>
      </c>
      <c r="H1715" s="2" t="inlineStr">
        <is>
          <t>CE93EEE438C0C9FE</t>
        </is>
      </c>
      <c r="J1715" t="inlineStr">
        <is>
          <t>VIEZO0000000000000537</t>
        </is>
      </c>
    </row>
    <row r="1716">
      <c r="A1716" s="32" t="inlineStr">
        <is>
          <t>TANKWAGON</t>
        </is>
      </c>
      <c r="B1716" s="24">
        <f>IFERROR(INDEX(Companies!$A$3:$A$101,MATCH(A1716,Companies!$B$3:$B$101,0)),"")</f>
        <v/>
      </c>
      <c r="D1716" t="inlineStr">
        <is>
          <t>E9772E269F17</t>
        </is>
      </c>
      <c r="E1716" s="24">
        <f>LEFT(D1716,2)&amp;":"&amp;MID(D1716,3,2)&amp;":"&amp;MID(D1716,5,2)&amp;":"&amp;MID(D1716,7,2)&amp;":"&amp;MID(D1716,9,2)&amp;":"&amp;RIGHT(D1716,2)</f>
        <v/>
      </c>
      <c r="H1716" s="2" t="inlineStr">
        <is>
          <t>62271C583A319ABD</t>
        </is>
      </c>
      <c r="J1716" t="inlineStr">
        <is>
          <t>VIEZO0000000000000538</t>
        </is>
      </c>
    </row>
    <row r="1717">
      <c r="A1717" s="32" t="inlineStr">
        <is>
          <t>TANKWAGON</t>
        </is>
      </c>
      <c r="B1717" s="24">
        <f>IFERROR(INDEX(Companies!$A$3:$A$101,MATCH(A1717,Companies!$B$3:$B$101,0)),"")</f>
        <v/>
      </c>
      <c r="D1717" t="inlineStr">
        <is>
          <t>D3265DF17838</t>
        </is>
      </c>
      <c r="E1717" s="24">
        <f>LEFT(D1717,2)&amp;":"&amp;MID(D1717,3,2)&amp;":"&amp;MID(D1717,5,2)&amp;":"&amp;MID(D1717,7,2)&amp;":"&amp;MID(D1717,9,2)&amp;":"&amp;RIGHT(D1717,2)</f>
        <v/>
      </c>
      <c r="H1717" s="2" t="inlineStr">
        <is>
          <t>1F2E606A9FB3A589</t>
        </is>
      </c>
      <c r="J1717" t="inlineStr">
        <is>
          <t>VIEZO0000000000000539</t>
        </is>
      </c>
    </row>
    <row r="1718">
      <c r="A1718" s="32" t="inlineStr">
        <is>
          <t>TANKWAGON</t>
        </is>
      </c>
      <c r="B1718" s="24">
        <f>IFERROR(INDEX(Companies!$A$3:$A$101,MATCH(A1718,Companies!$B$3:$B$101,0)),"")</f>
        <v/>
      </c>
      <c r="D1718" t="inlineStr">
        <is>
          <t>EC3C96ACFB39</t>
        </is>
      </c>
      <c r="E1718" s="24">
        <f>LEFT(D1718,2)&amp;":"&amp;MID(D1718,3,2)&amp;":"&amp;MID(D1718,5,2)&amp;":"&amp;MID(D1718,7,2)&amp;":"&amp;MID(D1718,9,2)&amp;":"&amp;RIGHT(D1718,2)</f>
        <v/>
      </c>
      <c r="H1718" s="2" t="inlineStr">
        <is>
          <t>9F9330836AEB34B4</t>
        </is>
      </c>
      <c r="J1718" t="inlineStr">
        <is>
          <t>VIEZO0000000000000540</t>
        </is>
      </c>
    </row>
    <row r="1719">
      <c r="A1719" s="32" t="inlineStr">
        <is>
          <t>TANKWAGON</t>
        </is>
      </c>
      <c r="B1719" s="24">
        <f>IFERROR(INDEX(Companies!$A$3:$A$101,MATCH(A1719,Companies!$B$3:$B$101,0)),"")</f>
        <v/>
      </c>
      <c r="D1719" t="inlineStr">
        <is>
          <t>DAA4899F6EDB</t>
        </is>
      </c>
      <c r="E1719" s="24">
        <f>LEFT(D1719,2)&amp;":"&amp;MID(D1719,3,2)&amp;":"&amp;MID(D1719,5,2)&amp;":"&amp;MID(D1719,7,2)&amp;":"&amp;MID(D1719,9,2)&amp;":"&amp;RIGHT(D1719,2)</f>
        <v/>
      </c>
      <c r="H1719" s="2" t="inlineStr">
        <is>
          <t>0CB1B64CDA5A632A</t>
        </is>
      </c>
      <c r="J1719" t="inlineStr">
        <is>
          <t>VIEZO0000000000000541</t>
        </is>
      </c>
    </row>
    <row r="1720">
      <c r="A1720" s="32" t="inlineStr">
        <is>
          <t>TANKWAGON</t>
        </is>
      </c>
      <c r="B1720" s="24">
        <f>IFERROR(INDEX(Companies!$A$3:$A$101,MATCH(A1720,Companies!$B$3:$B$101,0)),"")</f>
        <v/>
      </c>
      <c r="D1720" t="inlineStr">
        <is>
          <t>D2477F0B0D5E</t>
        </is>
      </c>
      <c r="E1720" s="24">
        <f>LEFT(D1720,2)&amp;":"&amp;MID(D1720,3,2)&amp;":"&amp;MID(D1720,5,2)&amp;":"&amp;MID(D1720,7,2)&amp;":"&amp;MID(D1720,9,2)&amp;":"&amp;RIGHT(D1720,2)</f>
        <v/>
      </c>
      <c r="H1720" s="2" t="inlineStr">
        <is>
          <t>8372B474E623FD9A</t>
        </is>
      </c>
      <c r="J1720" t="inlineStr">
        <is>
          <t>VIEZO0000000000000542</t>
        </is>
      </c>
    </row>
    <row r="1721">
      <c r="A1721" s="32" t="inlineStr">
        <is>
          <t>TANKWAGON</t>
        </is>
      </c>
      <c r="B1721" s="24">
        <f>IFERROR(INDEX(Companies!$A$3:$A$101,MATCH(A1721,Companies!$B$3:$B$101,0)),"")</f>
        <v/>
      </c>
      <c r="D1721" t="inlineStr">
        <is>
          <t>FA2FD08FCCEA</t>
        </is>
      </c>
      <c r="E1721" s="24">
        <f>LEFT(D1721,2)&amp;":"&amp;MID(D1721,3,2)&amp;":"&amp;MID(D1721,5,2)&amp;":"&amp;MID(D1721,7,2)&amp;":"&amp;MID(D1721,9,2)&amp;":"&amp;RIGHT(D1721,2)</f>
        <v/>
      </c>
      <c r="H1721" s="2" t="inlineStr">
        <is>
          <t>75433B04D910EA29</t>
        </is>
      </c>
      <c r="J1721" t="inlineStr">
        <is>
          <t>VIEZO0000000000000543</t>
        </is>
      </c>
    </row>
    <row r="1722">
      <c r="A1722" s="32" t="inlineStr">
        <is>
          <t>TANKWAGON</t>
        </is>
      </c>
      <c r="B1722" s="24">
        <f>IFERROR(INDEX(Companies!$A$3:$A$101,MATCH(A1722,Companies!$B$3:$B$101,0)),"")</f>
        <v/>
      </c>
      <c r="D1722" t="inlineStr">
        <is>
          <t>D0CBDA6EBBB7</t>
        </is>
      </c>
      <c r="E1722" s="24">
        <f>LEFT(D1722,2)&amp;":"&amp;MID(D1722,3,2)&amp;":"&amp;MID(D1722,5,2)&amp;":"&amp;MID(D1722,7,2)&amp;":"&amp;MID(D1722,9,2)&amp;":"&amp;RIGHT(D1722,2)</f>
        <v/>
      </c>
      <c r="H1722" s="2" t="inlineStr">
        <is>
          <t>73E573D6E2055279</t>
        </is>
      </c>
      <c r="J1722" t="inlineStr">
        <is>
          <t>VIEZO0000000000000544</t>
        </is>
      </c>
    </row>
    <row r="1723">
      <c r="A1723" s="32" t="inlineStr">
        <is>
          <t>TANKWAGON</t>
        </is>
      </c>
      <c r="B1723" s="24">
        <f>IFERROR(INDEX(Companies!$A$3:$A$101,MATCH(A1723,Companies!$B$3:$B$101,0)),"")</f>
        <v/>
      </c>
      <c r="D1723" t="inlineStr">
        <is>
          <t>DA3B8F2BE49B</t>
        </is>
      </c>
      <c r="E1723" s="24">
        <f>LEFT(D1723,2)&amp;":"&amp;MID(D1723,3,2)&amp;":"&amp;MID(D1723,5,2)&amp;":"&amp;MID(D1723,7,2)&amp;":"&amp;MID(D1723,9,2)&amp;":"&amp;RIGHT(D1723,2)</f>
        <v/>
      </c>
      <c r="H1723" s="2" t="inlineStr">
        <is>
          <t>A355251EF9B87D37</t>
        </is>
      </c>
      <c r="J1723" t="inlineStr">
        <is>
          <t>VIEZO0000000000000545</t>
        </is>
      </c>
    </row>
    <row r="1724">
      <c r="A1724" s="32" t="inlineStr">
        <is>
          <t>TANKWAGON</t>
        </is>
      </c>
      <c r="B1724" s="24">
        <f>IFERROR(INDEX(Companies!$A$3:$A$101,MATCH(A1724,Companies!$B$3:$B$101,0)),"")</f>
        <v/>
      </c>
      <c r="D1724" t="inlineStr">
        <is>
          <t>FDFC81B0514F</t>
        </is>
      </c>
      <c r="E1724" s="24">
        <f>LEFT(D1724,2)&amp;":"&amp;MID(D1724,3,2)&amp;":"&amp;MID(D1724,5,2)&amp;":"&amp;MID(D1724,7,2)&amp;":"&amp;MID(D1724,9,2)&amp;":"&amp;RIGHT(D1724,2)</f>
        <v/>
      </c>
      <c r="H1724" s="2" t="inlineStr">
        <is>
          <t>C869482B86B6D192</t>
        </is>
      </c>
      <c r="J1724" t="inlineStr">
        <is>
          <t>VIEZO0000000000000546</t>
        </is>
      </c>
    </row>
    <row r="1725">
      <c r="A1725" s="32" t="inlineStr">
        <is>
          <t>TANKWAGON</t>
        </is>
      </c>
      <c r="B1725" s="24">
        <f>IFERROR(INDEX(Companies!$A$3:$A$101,MATCH(A1725,Companies!$B$3:$B$101,0)),"")</f>
        <v/>
      </c>
      <c r="D1725" t="inlineStr">
        <is>
          <t>E679742DB166</t>
        </is>
      </c>
      <c r="E1725" s="24">
        <f>LEFT(D1725,2)&amp;":"&amp;MID(D1725,3,2)&amp;":"&amp;MID(D1725,5,2)&amp;":"&amp;MID(D1725,7,2)&amp;":"&amp;MID(D1725,9,2)&amp;":"&amp;RIGHT(D1725,2)</f>
        <v/>
      </c>
      <c r="H1725" s="2" t="inlineStr">
        <is>
          <t>6FAB889FB0CD7466</t>
        </is>
      </c>
      <c r="J1725" t="inlineStr">
        <is>
          <t>VIEZO0000000000000547</t>
        </is>
      </c>
    </row>
    <row r="1726">
      <c r="A1726" s="32" t="inlineStr">
        <is>
          <t>TANKWAGON</t>
        </is>
      </c>
      <c r="B1726" s="24">
        <f>IFERROR(INDEX(Companies!$A$3:$A$101,MATCH(A1726,Companies!$B$3:$B$101,0)),"")</f>
        <v/>
      </c>
      <c r="D1726" t="inlineStr">
        <is>
          <t>FF502FEDDE6A</t>
        </is>
      </c>
      <c r="E1726" s="24">
        <f>LEFT(D1726,2)&amp;":"&amp;MID(D1726,3,2)&amp;":"&amp;MID(D1726,5,2)&amp;":"&amp;MID(D1726,7,2)&amp;":"&amp;MID(D1726,9,2)&amp;":"&amp;RIGHT(D1726,2)</f>
        <v/>
      </c>
      <c r="H1726" s="2" t="inlineStr">
        <is>
          <t>7FA69F967EE25921</t>
        </is>
      </c>
      <c r="J1726" t="inlineStr">
        <is>
          <t>VIEZO0000000000000548</t>
        </is>
      </c>
    </row>
    <row r="1727">
      <c r="A1727" s="32" t="inlineStr">
        <is>
          <t>TANKWAGON</t>
        </is>
      </c>
      <c r="B1727" s="24">
        <f>IFERROR(INDEX(Companies!$A$3:$A$101,MATCH(A1727,Companies!$B$3:$B$101,0)),"")</f>
        <v/>
      </c>
      <c r="D1727" t="inlineStr">
        <is>
          <t>C427E62B2941</t>
        </is>
      </c>
      <c r="E1727" s="24">
        <f>LEFT(D1727,2)&amp;":"&amp;MID(D1727,3,2)&amp;":"&amp;MID(D1727,5,2)&amp;":"&amp;MID(D1727,7,2)&amp;":"&amp;MID(D1727,9,2)&amp;":"&amp;RIGHT(D1727,2)</f>
        <v/>
      </c>
      <c r="H1727" s="2" t="inlineStr">
        <is>
          <t>71D11C47845621A1</t>
        </is>
      </c>
      <c r="J1727" t="inlineStr">
        <is>
          <t>VIEZO0000000000000549</t>
        </is>
      </c>
      <c r="N1727" s="99" t="inlineStr">
        <is>
          <t>Nexxiot</t>
        </is>
      </c>
    </row>
    <row r="1728">
      <c r="A1728" s="32" t="inlineStr">
        <is>
          <t>TANKWAGON</t>
        </is>
      </c>
      <c r="B1728" s="24">
        <f>IFERROR(INDEX(Companies!$A$3:$A$101,MATCH(A1728,Companies!$B$3:$B$101,0)),"")</f>
        <v/>
      </c>
      <c r="D1728" t="inlineStr">
        <is>
          <t>C88652A5325E</t>
        </is>
      </c>
      <c r="E1728" s="24">
        <f>LEFT(D1728,2)&amp;":"&amp;MID(D1728,3,2)&amp;":"&amp;MID(D1728,5,2)&amp;":"&amp;MID(D1728,7,2)&amp;":"&amp;MID(D1728,9,2)&amp;":"&amp;RIGHT(D1728,2)</f>
        <v/>
      </c>
      <c r="H1728" s="2" t="inlineStr">
        <is>
          <t>38FB9156BBB09AFE</t>
        </is>
      </c>
      <c r="J1728" t="inlineStr">
        <is>
          <t>VIEZO0000000000000550</t>
        </is>
      </c>
    </row>
    <row r="1729">
      <c r="A1729" s="32" t="inlineStr">
        <is>
          <t>TANKWAGON</t>
        </is>
      </c>
      <c r="B1729" s="24">
        <f>IFERROR(INDEX(Companies!$A$3:$A$101,MATCH(A1729,Companies!$B$3:$B$101,0)),"")</f>
        <v/>
      </c>
      <c r="D1729" t="inlineStr">
        <is>
          <t>F7ACC7BE1B4B</t>
        </is>
      </c>
      <c r="E1729" s="24">
        <f>LEFT(D1729,2)&amp;":"&amp;MID(D1729,3,2)&amp;":"&amp;MID(D1729,5,2)&amp;":"&amp;MID(D1729,7,2)&amp;":"&amp;MID(D1729,9,2)&amp;":"&amp;RIGHT(D1729,2)</f>
        <v/>
      </c>
      <c r="H1729" s="2" t="inlineStr">
        <is>
          <t>FDE3CA90BDA9CE29</t>
        </is>
      </c>
      <c r="J1729" t="inlineStr">
        <is>
          <t>VIEZO0000000000000551</t>
        </is>
      </c>
    </row>
    <row r="1730">
      <c r="A1730" s="32" t="inlineStr">
        <is>
          <t>TANKWAGON</t>
        </is>
      </c>
      <c r="B1730" s="24">
        <f>IFERROR(INDEX(Companies!$A$3:$A$101,MATCH(A1730,Companies!$B$3:$B$101,0)),"")</f>
        <v/>
      </c>
      <c r="D1730" t="inlineStr">
        <is>
          <t>CB50E4B0B7C3</t>
        </is>
      </c>
      <c r="E1730" s="24">
        <f>LEFT(D1730,2)&amp;":"&amp;MID(D1730,3,2)&amp;":"&amp;MID(D1730,5,2)&amp;":"&amp;MID(D1730,7,2)&amp;":"&amp;MID(D1730,9,2)&amp;":"&amp;RIGHT(D1730,2)</f>
        <v/>
      </c>
      <c r="H1730" s="2" t="inlineStr">
        <is>
          <t>75F42FB0D3695774</t>
        </is>
      </c>
      <c r="J1730" t="inlineStr">
        <is>
          <t>VIEZO0000000000000552</t>
        </is>
      </c>
    </row>
    <row r="1731">
      <c r="A1731" s="32" t="inlineStr">
        <is>
          <t>TANKWAGON</t>
        </is>
      </c>
      <c r="B1731" s="24">
        <f>IFERROR(INDEX(Companies!$A$3:$A$101,MATCH(A1731,Companies!$B$3:$B$101,0)),"")</f>
        <v/>
      </c>
      <c r="D1731" t="inlineStr">
        <is>
          <t>D04954A24475</t>
        </is>
      </c>
      <c r="E1731" s="24">
        <f>LEFT(D1731,2)&amp;":"&amp;MID(D1731,3,2)&amp;":"&amp;MID(D1731,5,2)&amp;":"&amp;MID(D1731,7,2)&amp;":"&amp;MID(D1731,9,2)&amp;":"&amp;RIGHT(D1731,2)</f>
        <v/>
      </c>
      <c r="H1731" s="2" t="inlineStr">
        <is>
          <t>820BF507112D50F2</t>
        </is>
      </c>
      <c r="J1731" t="inlineStr">
        <is>
          <t>VIEZO0000000000000553</t>
        </is>
      </c>
    </row>
    <row r="1732">
      <c r="A1732" s="32" t="inlineStr">
        <is>
          <t>TANKWAGON</t>
        </is>
      </c>
      <c r="B1732" s="24">
        <f>IFERROR(INDEX(Companies!$A$3:$A$101,MATCH(A1732,Companies!$B$3:$B$101,0)),"")</f>
        <v/>
      </c>
      <c r="D1732" t="inlineStr">
        <is>
          <t>D9CA4FFEC391</t>
        </is>
      </c>
      <c r="E1732" s="24">
        <f>LEFT(D1732,2)&amp;":"&amp;MID(D1732,3,2)&amp;":"&amp;MID(D1732,5,2)&amp;":"&amp;MID(D1732,7,2)&amp;":"&amp;MID(D1732,9,2)&amp;":"&amp;RIGHT(D1732,2)</f>
        <v/>
      </c>
      <c r="H1732" s="2" t="inlineStr">
        <is>
          <t>E085F1BF6D55E604</t>
        </is>
      </c>
      <c r="J1732" t="inlineStr">
        <is>
          <t>VIEZO0000000000000554</t>
        </is>
      </c>
    </row>
    <row r="1733">
      <c r="A1733" s="32" t="inlineStr">
        <is>
          <t>TANKWAGON</t>
        </is>
      </c>
      <c r="B1733" s="24">
        <f>IFERROR(INDEX(Companies!$A$3:$A$101,MATCH(A1733,Companies!$B$3:$B$101,0)),"")</f>
        <v/>
      </c>
      <c r="D1733" t="inlineStr">
        <is>
          <t>D446D85301CF</t>
        </is>
      </c>
      <c r="E1733" s="24">
        <f>LEFT(D1733,2)&amp;":"&amp;MID(D1733,3,2)&amp;":"&amp;MID(D1733,5,2)&amp;":"&amp;MID(D1733,7,2)&amp;":"&amp;MID(D1733,9,2)&amp;":"&amp;RIGHT(D1733,2)</f>
        <v/>
      </c>
      <c r="H1733" s="2" t="inlineStr">
        <is>
          <t>6E17054AB1D87A07</t>
        </is>
      </c>
      <c r="J1733" t="inlineStr">
        <is>
          <t>VIEZO0000000000000555</t>
        </is>
      </c>
    </row>
    <row r="1734">
      <c r="A1734" s="32" t="inlineStr">
        <is>
          <t>TANKWAGON</t>
        </is>
      </c>
      <c r="B1734" s="24">
        <f>IFERROR(INDEX(Companies!$A$3:$A$101,MATCH(A1734,Companies!$B$3:$B$101,0)),"")</f>
        <v/>
      </c>
      <c r="D1734" t="inlineStr">
        <is>
          <t>D9707AD4C871</t>
        </is>
      </c>
      <c r="E1734" s="24">
        <f>LEFT(D1734,2)&amp;":"&amp;MID(D1734,3,2)&amp;":"&amp;MID(D1734,5,2)&amp;":"&amp;MID(D1734,7,2)&amp;":"&amp;MID(D1734,9,2)&amp;":"&amp;RIGHT(D1734,2)</f>
        <v/>
      </c>
      <c r="H1734" s="2" t="inlineStr">
        <is>
          <t>F3695D18F0A21186</t>
        </is>
      </c>
      <c r="J1734" t="inlineStr">
        <is>
          <t>VIEZO0000000000000556</t>
        </is>
      </c>
    </row>
    <row r="1735">
      <c r="A1735" s="32" t="inlineStr">
        <is>
          <t>TANKWAGON</t>
        </is>
      </c>
      <c r="B1735" s="24">
        <f>IFERROR(INDEX(Companies!$A$3:$A$101,MATCH(A1735,Companies!$B$3:$B$101,0)),"")</f>
        <v/>
      </c>
      <c r="D1735" t="inlineStr">
        <is>
          <t>D3D7808CBBF6</t>
        </is>
      </c>
      <c r="E1735" s="24">
        <f>LEFT(D1735,2)&amp;":"&amp;MID(D1735,3,2)&amp;":"&amp;MID(D1735,5,2)&amp;":"&amp;MID(D1735,7,2)&amp;":"&amp;MID(D1735,9,2)&amp;":"&amp;RIGHT(D1735,2)</f>
        <v/>
      </c>
      <c r="H1735" s="2" t="inlineStr">
        <is>
          <t>36D48463410106B9</t>
        </is>
      </c>
      <c r="J1735" t="inlineStr">
        <is>
          <t>VIEZO0000000000000557</t>
        </is>
      </c>
    </row>
    <row r="1736">
      <c r="A1736" s="32" t="inlineStr">
        <is>
          <t>TANKWAGON</t>
        </is>
      </c>
      <c r="B1736" s="24">
        <f>IFERROR(INDEX(Companies!$A$3:$A$101,MATCH(A1736,Companies!$B$3:$B$101,0)),"")</f>
        <v/>
      </c>
      <c r="D1736" t="inlineStr">
        <is>
          <t>D716C4AA485A</t>
        </is>
      </c>
      <c r="E1736" s="24">
        <f>LEFT(D1736,2)&amp;":"&amp;MID(D1736,3,2)&amp;":"&amp;MID(D1736,5,2)&amp;":"&amp;MID(D1736,7,2)&amp;":"&amp;MID(D1736,9,2)&amp;":"&amp;RIGHT(D1736,2)</f>
        <v/>
      </c>
      <c r="H1736" s="2" t="inlineStr">
        <is>
          <t>A207384B233CFE88</t>
        </is>
      </c>
      <c r="J1736" t="inlineStr">
        <is>
          <t>VIEZO0000000000000558</t>
        </is>
      </c>
    </row>
    <row r="1737">
      <c r="A1737" s="32" t="inlineStr">
        <is>
          <t>TANKWAGON</t>
        </is>
      </c>
      <c r="B1737" s="24">
        <f>IFERROR(INDEX(Companies!$A$3:$A$101,MATCH(A1737,Companies!$B$3:$B$101,0)),"")</f>
        <v/>
      </c>
      <c r="D1737" t="inlineStr">
        <is>
          <t>EC160B96DDEC</t>
        </is>
      </c>
      <c r="E1737" s="24">
        <f>LEFT(D1737,2)&amp;":"&amp;MID(D1737,3,2)&amp;":"&amp;MID(D1737,5,2)&amp;":"&amp;MID(D1737,7,2)&amp;":"&amp;MID(D1737,9,2)&amp;":"&amp;RIGHT(D1737,2)</f>
        <v/>
      </c>
      <c r="H1737" s="2" t="inlineStr">
        <is>
          <t>71BE660B45DD55E2</t>
        </is>
      </c>
      <c r="J1737" t="inlineStr">
        <is>
          <t>VIEZO0000000000000559</t>
        </is>
      </c>
    </row>
    <row r="1738">
      <c r="A1738" s="32" t="inlineStr">
        <is>
          <t>TANKWAGON</t>
        </is>
      </c>
      <c r="B1738" s="24">
        <f>IFERROR(INDEX(Companies!$A$3:$A$101,MATCH(A1738,Companies!$B$3:$B$101,0)),"")</f>
        <v/>
      </c>
      <c r="D1738" t="inlineStr">
        <is>
          <t>E6599C8F1059</t>
        </is>
      </c>
      <c r="E1738" s="24">
        <f>LEFT(D1738,2)&amp;":"&amp;MID(D1738,3,2)&amp;":"&amp;MID(D1738,5,2)&amp;":"&amp;MID(D1738,7,2)&amp;":"&amp;MID(D1738,9,2)&amp;":"&amp;RIGHT(D1738,2)</f>
        <v/>
      </c>
      <c r="H1738" s="2" t="inlineStr">
        <is>
          <t>5A95EE9C29D29E2D</t>
        </is>
      </c>
      <c r="J1738" t="inlineStr">
        <is>
          <t>VIEZO0000000000000560</t>
        </is>
      </c>
    </row>
    <row r="1739">
      <c r="A1739" s="32" t="inlineStr">
        <is>
          <t>TANKWAGON</t>
        </is>
      </c>
      <c r="B1739" s="24">
        <f>IFERROR(INDEX(Companies!$A$3:$A$101,MATCH(A1739,Companies!$B$3:$B$101,0)),"")</f>
        <v/>
      </c>
      <c r="D1739" t="inlineStr">
        <is>
          <t>C4666499C579</t>
        </is>
      </c>
      <c r="E1739" s="24">
        <f>LEFT(D1739,2)&amp;":"&amp;MID(D1739,3,2)&amp;":"&amp;MID(D1739,5,2)&amp;":"&amp;MID(D1739,7,2)&amp;":"&amp;MID(D1739,9,2)&amp;":"&amp;RIGHT(D1739,2)</f>
        <v/>
      </c>
      <c r="H1739" s="2" t="inlineStr">
        <is>
          <t>A55E68EBA7F101DA</t>
        </is>
      </c>
      <c r="J1739" s="26" t="inlineStr">
        <is>
          <t>VIEZO0000000000000561</t>
        </is>
      </c>
    </row>
    <row r="1740">
      <c r="A1740" s="32" t="inlineStr">
        <is>
          <t>TANKWAGON</t>
        </is>
      </c>
      <c r="B1740" s="24">
        <f>IFERROR(INDEX(Companies!$A$3:$A$101,MATCH(A1740,Companies!$B$3:$B$101,0)),"")</f>
        <v/>
      </c>
      <c r="D1740" t="inlineStr">
        <is>
          <t>F6781D6BCA9F</t>
        </is>
      </c>
      <c r="E1740" s="24">
        <f>LEFT(D1740,2)&amp;":"&amp;MID(D1740,3,2)&amp;":"&amp;MID(D1740,5,2)&amp;":"&amp;MID(D1740,7,2)&amp;":"&amp;MID(D1740,9,2)&amp;":"&amp;RIGHT(D1740,2)</f>
        <v/>
      </c>
      <c r="H1740" s="2" t="inlineStr">
        <is>
          <t>BB99E43DF257E9E8</t>
        </is>
      </c>
      <c r="J1740" t="inlineStr">
        <is>
          <t>VIEZO0000000000000562</t>
        </is>
      </c>
    </row>
    <row r="1741">
      <c r="A1741" s="32" t="inlineStr">
        <is>
          <t>TANKWAGON</t>
        </is>
      </c>
      <c r="B1741" s="24">
        <f>IFERROR(INDEX(Companies!$A$3:$A$101,MATCH(A1741,Companies!$B$3:$B$101,0)),"")</f>
        <v/>
      </c>
      <c r="D1741" t="inlineStr">
        <is>
          <t>C0F02CC8F18D</t>
        </is>
      </c>
      <c r="E1741" s="24">
        <f>LEFT(D1741,2)&amp;":"&amp;MID(D1741,3,2)&amp;":"&amp;MID(D1741,5,2)&amp;":"&amp;MID(D1741,7,2)&amp;":"&amp;MID(D1741,9,2)&amp;":"&amp;RIGHT(D1741,2)</f>
        <v/>
      </c>
      <c r="H1741" s="2" t="inlineStr">
        <is>
          <t>7B19FBCB029F8FA8</t>
        </is>
      </c>
      <c r="J1741" t="inlineStr">
        <is>
          <t>VIEZO0000000000000563</t>
        </is>
      </c>
    </row>
    <row r="1742">
      <c r="A1742" s="32" t="inlineStr">
        <is>
          <t>TANKWAGON</t>
        </is>
      </c>
      <c r="B1742" s="24">
        <f>IFERROR(INDEX(Companies!$A$3:$A$101,MATCH(A1742,Companies!$B$3:$B$101,0)),"")</f>
        <v/>
      </c>
      <c r="D1742" t="inlineStr">
        <is>
          <t>C074304674EB</t>
        </is>
      </c>
      <c r="E1742" s="24">
        <f>LEFT(D1742,2)&amp;":"&amp;MID(D1742,3,2)&amp;":"&amp;MID(D1742,5,2)&amp;":"&amp;MID(D1742,7,2)&amp;":"&amp;MID(D1742,9,2)&amp;":"&amp;RIGHT(D1742,2)</f>
        <v/>
      </c>
      <c r="H1742" s="2" t="inlineStr">
        <is>
          <t>F6CB75E7918C76A9</t>
        </is>
      </c>
      <c r="J1742" t="inlineStr">
        <is>
          <t>VIEZO0000000000000564</t>
        </is>
      </c>
    </row>
    <row r="1743">
      <c r="A1743" s="32" t="inlineStr">
        <is>
          <t>TANKWAGON</t>
        </is>
      </c>
      <c r="B1743" s="24">
        <f>IFERROR(INDEX(Companies!$A$3:$A$101,MATCH(A1743,Companies!$B$3:$B$101,0)),"")</f>
        <v/>
      </c>
      <c r="D1743" t="inlineStr">
        <is>
          <t>C8ECF7138974</t>
        </is>
      </c>
      <c r="E1743" s="24">
        <f>LEFT(D1743,2)&amp;":"&amp;MID(D1743,3,2)&amp;":"&amp;MID(D1743,5,2)&amp;":"&amp;MID(D1743,7,2)&amp;":"&amp;MID(D1743,9,2)&amp;":"&amp;RIGHT(D1743,2)</f>
        <v/>
      </c>
      <c r="H1743" s="2" t="inlineStr">
        <is>
          <t>B1FD8C38022974D5</t>
        </is>
      </c>
      <c r="J1743" t="inlineStr">
        <is>
          <t>VIEZO0000000000000565</t>
        </is>
      </c>
    </row>
    <row r="1744">
      <c r="A1744" s="32" t="inlineStr">
        <is>
          <t>TANKWAGON</t>
        </is>
      </c>
      <c r="B1744" s="24">
        <f>IFERROR(INDEX(Companies!$A$3:$A$101,MATCH(A1744,Companies!$B$3:$B$101,0)),"")</f>
        <v/>
      </c>
      <c r="D1744" t="inlineStr">
        <is>
          <t>C99584F17B8E</t>
        </is>
      </c>
      <c r="E1744" s="24">
        <f>LEFT(D1744,2)&amp;":"&amp;MID(D1744,3,2)&amp;":"&amp;MID(D1744,5,2)&amp;":"&amp;MID(D1744,7,2)&amp;":"&amp;MID(D1744,9,2)&amp;":"&amp;RIGHT(D1744,2)</f>
        <v/>
      </c>
      <c r="H1744" s="2" t="inlineStr">
        <is>
          <t>8D51C19D61571BAF</t>
        </is>
      </c>
      <c r="J1744" t="inlineStr">
        <is>
          <t>VIEZO0000000000000566</t>
        </is>
      </c>
    </row>
    <row r="1745">
      <c r="A1745" s="32" t="inlineStr">
        <is>
          <t>TANKWAGON</t>
        </is>
      </c>
      <c r="B1745" s="24">
        <f>IFERROR(INDEX(Companies!$A$3:$A$101,MATCH(A1745,Companies!$B$3:$B$101,0)),"")</f>
        <v/>
      </c>
      <c r="D1745" t="inlineStr">
        <is>
          <t>F1BF384312FB</t>
        </is>
      </c>
      <c r="E1745" s="24">
        <f>LEFT(D1745,2)&amp;":"&amp;MID(D1745,3,2)&amp;":"&amp;MID(D1745,5,2)&amp;":"&amp;MID(D1745,7,2)&amp;":"&amp;MID(D1745,9,2)&amp;":"&amp;RIGHT(D1745,2)</f>
        <v/>
      </c>
      <c r="H1745" s="2" t="inlineStr">
        <is>
          <t>AF91F98ADB8023BB</t>
        </is>
      </c>
      <c r="J1745" t="inlineStr">
        <is>
          <t>VIEZO0000000000000567</t>
        </is>
      </c>
    </row>
    <row r="1746">
      <c r="A1746" s="32" t="inlineStr">
        <is>
          <t>TANKWAGON</t>
        </is>
      </c>
      <c r="B1746" s="24">
        <f>IFERROR(INDEX(Companies!$A$3:$A$101,MATCH(A1746,Companies!$B$3:$B$101,0)),"")</f>
        <v/>
      </c>
      <c r="D1746" t="inlineStr">
        <is>
          <t>EA52C44368AF</t>
        </is>
      </c>
      <c r="E1746" s="24">
        <f>LEFT(D1746,2)&amp;":"&amp;MID(D1746,3,2)&amp;":"&amp;MID(D1746,5,2)&amp;":"&amp;MID(D1746,7,2)&amp;":"&amp;MID(D1746,9,2)&amp;":"&amp;RIGHT(D1746,2)</f>
        <v/>
      </c>
      <c r="H1746" s="2" t="inlineStr">
        <is>
          <t>A6A8C4F6752C9FEB</t>
        </is>
      </c>
      <c r="J1746" t="inlineStr">
        <is>
          <t>VIEZO0000000000000568</t>
        </is>
      </c>
    </row>
    <row r="1747">
      <c r="A1747" s="32" t="inlineStr">
        <is>
          <t>TANKWAGON</t>
        </is>
      </c>
      <c r="B1747" s="24">
        <f>IFERROR(INDEX(Companies!$A$3:$A$101,MATCH(A1747,Companies!$B$3:$B$101,0)),"")</f>
        <v/>
      </c>
      <c r="D1747" t="inlineStr">
        <is>
          <t>E72A2767B937</t>
        </is>
      </c>
      <c r="E1747" s="24">
        <f>LEFT(D1747,2)&amp;":"&amp;MID(D1747,3,2)&amp;":"&amp;MID(D1747,5,2)&amp;":"&amp;MID(D1747,7,2)&amp;":"&amp;MID(D1747,9,2)&amp;":"&amp;RIGHT(D1747,2)</f>
        <v/>
      </c>
      <c r="H1747" s="2" t="inlineStr">
        <is>
          <t>B12DAC4C31C035C8</t>
        </is>
      </c>
      <c r="J1747" t="inlineStr">
        <is>
          <t>VIEZO0000000000000569</t>
        </is>
      </c>
    </row>
    <row r="1748">
      <c r="A1748" s="32" t="inlineStr">
        <is>
          <t>TANKWAGON</t>
        </is>
      </c>
      <c r="B1748" s="24">
        <f>IFERROR(INDEX(Companies!$A$3:$A$101,MATCH(A1748,Companies!$B$3:$B$101,0)),"")</f>
        <v/>
      </c>
      <c r="D1748" t="inlineStr">
        <is>
          <t>D5AFE6A657B0</t>
        </is>
      </c>
      <c r="E1748" s="24">
        <f>LEFT(D1748,2)&amp;":"&amp;MID(D1748,3,2)&amp;":"&amp;MID(D1748,5,2)&amp;":"&amp;MID(D1748,7,2)&amp;":"&amp;MID(D1748,9,2)&amp;":"&amp;RIGHT(D1748,2)</f>
        <v/>
      </c>
      <c r="H1748" s="2" t="inlineStr">
        <is>
          <t>8EBBAAF26E703EA7</t>
        </is>
      </c>
      <c r="J1748" t="inlineStr">
        <is>
          <t>VIEZO0000000000000570</t>
        </is>
      </c>
      <c r="N1748" s="99" t="inlineStr">
        <is>
          <t>Nexxiot</t>
        </is>
      </c>
    </row>
    <row r="1749">
      <c r="A1749" s="32" t="inlineStr">
        <is>
          <t>TANKWAGON</t>
        </is>
      </c>
      <c r="B1749" s="24">
        <f>IFERROR(INDEX(Companies!$A$3:$A$101,MATCH(A1749,Companies!$B$3:$B$101,0)),"")</f>
        <v/>
      </c>
      <c r="D1749" t="inlineStr">
        <is>
          <t>CFFA3FB42496</t>
        </is>
      </c>
      <c r="E1749" s="24">
        <f>LEFT(D1749,2)&amp;":"&amp;MID(D1749,3,2)&amp;":"&amp;MID(D1749,5,2)&amp;":"&amp;MID(D1749,7,2)&amp;":"&amp;MID(D1749,9,2)&amp;":"&amp;RIGHT(D1749,2)</f>
        <v/>
      </c>
      <c r="H1749" s="2" t="inlineStr">
        <is>
          <t>6CB830C29BAD3542</t>
        </is>
      </c>
      <c r="J1749" t="inlineStr">
        <is>
          <t>VIEZO0000000000000571</t>
        </is>
      </c>
    </row>
    <row r="1750">
      <c r="A1750" s="32" t="inlineStr">
        <is>
          <t>TANKWAGON</t>
        </is>
      </c>
      <c r="B1750" s="24">
        <f>IFERROR(INDEX(Companies!$A$3:$A$101,MATCH(A1750,Companies!$B$3:$B$101,0)),"")</f>
        <v/>
      </c>
      <c r="D1750" t="inlineStr">
        <is>
          <t>E080A0DD9610</t>
        </is>
      </c>
      <c r="E1750" s="24">
        <f>LEFT(D1750,2)&amp;":"&amp;MID(D1750,3,2)&amp;":"&amp;MID(D1750,5,2)&amp;":"&amp;MID(D1750,7,2)&amp;":"&amp;MID(D1750,9,2)&amp;":"&amp;RIGHT(D1750,2)</f>
        <v/>
      </c>
      <c r="H1750" s="2" t="inlineStr">
        <is>
          <t>B730FAB923C22A56</t>
        </is>
      </c>
      <c r="J1750" t="inlineStr">
        <is>
          <t>VIEZO0000000000000572</t>
        </is>
      </c>
    </row>
    <row r="1751">
      <c r="A1751" s="32" t="inlineStr">
        <is>
          <t>TANKWAGON</t>
        </is>
      </c>
      <c r="B1751" s="24">
        <f>IFERROR(INDEX(Companies!$A$3:$A$101,MATCH(A1751,Companies!$B$3:$B$101,0)),"")</f>
        <v/>
      </c>
      <c r="D1751" t="inlineStr">
        <is>
          <t>FE3AFD59DFBE</t>
        </is>
      </c>
      <c r="E1751" s="24">
        <f>LEFT(D1751,2)&amp;":"&amp;MID(D1751,3,2)&amp;":"&amp;MID(D1751,5,2)&amp;":"&amp;MID(D1751,7,2)&amp;":"&amp;MID(D1751,9,2)&amp;":"&amp;RIGHT(D1751,2)</f>
        <v/>
      </c>
      <c r="H1751" s="2" t="inlineStr">
        <is>
          <t>C8ABFB63B4BDF1FB</t>
        </is>
      </c>
      <c r="J1751" t="inlineStr">
        <is>
          <t>VIEZO0000000000000573</t>
        </is>
      </c>
    </row>
    <row r="1752">
      <c r="A1752" s="32" t="inlineStr">
        <is>
          <t>TANKWAGON</t>
        </is>
      </c>
      <c r="B1752" s="24">
        <f>IFERROR(INDEX(Companies!$A$3:$A$101,MATCH(A1752,Companies!$B$3:$B$101,0)),"")</f>
        <v/>
      </c>
      <c r="D1752" t="inlineStr">
        <is>
          <t>F52F87DBA7C9</t>
        </is>
      </c>
      <c r="E1752" s="24">
        <f>LEFT(D1752,2)&amp;":"&amp;MID(D1752,3,2)&amp;":"&amp;MID(D1752,5,2)&amp;":"&amp;MID(D1752,7,2)&amp;":"&amp;MID(D1752,9,2)&amp;":"&amp;RIGHT(D1752,2)</f>
        <v/>
      </c>
      <c r="H1752" s="2" t="inlineStr">
        <is>
          <t>76F2BEBCC4E57465</t>
        </is>
      </c>
      <c r="J1752" t="inlineStr">
        <is>
          <t>VIEZO0000000000000574</t>
        </is>
      </c>
    </row>
    <row r="1753">
      <c r="A1753" s="32" t="inlineStr">
        <is>
          <t>TANKWAGON</t>
        </is>
      </c>
      <c r="B1753" s="24">
        <f>IFERROR(INDEX(Companies!$A$3:$A$101,MATCH(A1753,Companies!$B$3:$B$101,0)),"")</f>
        <v/>
      </c>
      <c r="D1753" t="inlineStr">
        <is>
          <t>D4A8D23EA465</t>
        </is>
      </c>
      <c r="E1753" s="24">
        <f>LEFT(D1753,2)&amp;":"&amp;MID(D1753,3,2)&amp;":"&amp;MID(D1753,5,2)&amp;":"&amp;MID(D1753,7,2)&amp;":"&amp;MID(D1753,9,2)&amp;":"&amp;RIGHT(D1753,2)</f>
        <v/>
      </c>
      <c r="H1753" s="2" t="inlineStr">
        <is>
          <t>BA8F92174639EE2A</t>
        </is>
      </c>
      <c r="J1753" t="inlineStr">
        <is>
          <t>VIEZO0000000000000575</t>
        </is>
      </c>
    </row>
    <row r="1754">
      <c r="A1754" s="32" t="inlineStr">
        <is>
          <t>TANKWAGON</t>
        </is>
      </c>
      <c r="B1754" s="24">
        <f>IFERROR(INDEX(Companies!$A$3:$A$101,MATCH(A1754,Companies!$B$3:$B$101,0)),"")</f>
        <v/>
      </c>
      <c r="D1754" t="inlineStr">
        <is>
          <t>C3144B2DFA05</t>
        </is>
      </c>
      <c r="E1754" s="24">
        <f>LEFT(D1754,2)&amp;":"&amp;MID(D1754,3,2)&amp;":"&amp;MID(D1754,5,2)&amp;":"&amp;MID(D1754,7,2)&amp;":"&amp;MID(D1754,9,2)&amp;":"&amp;RIGHT(D1754,2)</f>
        <v/>
      </c>
      <c r="H1754" s="2" t="inlineStr">
        <is>
          <t>4CBD8F2570AA9395</t>
        </is>
      </c>
      <c r="J1754" t="inlineStr">
        <is>
          <t>VIEZO0000000000000576</t>
        </is>
      </c>
    </row>
    <row r="1755">
      <c r="A1755" s="32" t="inlineStr">
        <is>
          <t>TANKWAGON</t>
        </is>
      </c>
      <c r="B1755" s="24">
        <f>IFERROR(INDEX(Companies!$A$3:$A$101,MATCH(A1755,Companies!$B$3:$B$101,0)),"")</f>
        <v/>
      </c>
      <c r="D1755" t="inlineStr">
        <is>
          <t>F05594C3F413</t>
        </is>
      </c>
      <c r="E1755" s="24">
        <f>LEFT(D1755,2)&amp;":"&amp;MID(D1755,3,2)&amp;":"&amp;MID(D1755,5,2)&amp;":"&amp;MID(D1755,7,2)&amp;":"&amp;MID(D1755,9,2)&amp;":"&amp;RIGHT(D1755,2)</f>
        <v/>
      </c>
      <c r="H1755" s="2" t="inlineStr">
        <is>
          <t>63A352C407C8A50B</t>
        </is>
      </c>
      <c r="J1755" t="inlineStr">
        <is>
          <t>VIEZO0000000000000577</t>
        </is>
      </c>
    </row>
    <row r="1756">
      <c r="A1756" s="32" t="inlineStr">
        <is>
          <t>TANKWAGON</t>
        </is>
      </c>
      <c r="B1756" s="24">
        <f>IFERROR(INDEX(Companies!$A$3:$A$101,MATCH(A1756,Companies!$B$3:$B$101,0)),"")</f>
        <v/>
      </c>
      <c r="D1756" t="inlineStr">
        <is>
          <t>C1EE113394C9</t>
        </is>
      </c>
      <c r="E1756" s="24">
        <f>LEFT(D1756,2)&amp;":"&amp;MID(D1756,3,2)&amp;":"&amp;MID(D1756,5,2)&amp;":"&amp;MID(D1756,7,2)&amp;":"&amp;MID(D1756,9,2)&amp;":"&amp;RIGHT(D1756,2)</f>
        <v/>
      </c>
      <c r="H1756" s="2" t="inlineStr">
        <is>
          <t>EDAA4A07DC987630</t>
        </is>
      </c>
      <c r="J1756" t="inlineStr">
        <is>
          <t>VIEZO0000000000000578</t>
        </is>
      </c>
    </row>
    <row r="1757">
      <c r="A1757" s="32" t="inlineStr">
        <is>
          <t>TANKWAGON</t>
        </is>
      </c>
      <c r="B1757" s="24">
        <f>IFERROR(INDEX(Companies!$A$3:$A$101,MATCH(A1757,Companies!$B$3:$B$101,0)),"")</f>
        <v/>
      </c>
      <c r="D1757" t="inlineStr">
        <is>
          <t>FEC17DCF1890</t>
        </is>
      </c>
      <c r="E1757" s="24">
        <f>LEFT(D1757,2)&amp;":"&amp;MID(D1757,3,2)&amp;":"&amp;MID(D1757,5,2)&amp;":"&amp;MID(D1757,7,2)&amp;":"&amp;MID(D1757,9,2)&amp;":"&amp;RIGHT(D1757,2)</f>
        <v/>
      </c>
      <c r="H1757" s="2" t="inlineStr">
        <is>
          <t>42EEDBE4572145C0</t>
        </is>
      </c>
      <c r="J1757" t="inlineStr">
        <is>
          <t>VIEZO0000000000000579</t>
        </is>
      </c>
      <c r="N1757" s="99" t="inlineStr">
        <is>
          <t>Nexxiot</t>
        </is>
      </c>
    </row>
    <row r="1758">
      <c r="A1758" s="32" t="inlineStr">
        <is>
          <t>TANKWAGON</t>
        </is>
      </c>
      <c r="B1758" s="24">
        <f>IFERROR(INDEX(Companies!$A$3:$A$101,MATCH(A1758,Companies!$B$3:$B$101,0)),"")</f>
        <v/>
      </c>
      <c r="D1758" t="inlineStr">
        <is>
          <t>E2EF2395C6B9</t>
        </is>
      </c>
      <c r="E1758" s="24">
        <f>LEFT(D1758,2)&amp;":"&amp;MID(D1758,3,2)&amp;":"&amp;MID(D1758,5,2)&amp;":"&amp;MID(D1758,7,2)&amp;":"&amp;MID(D1758,9,2)&amp;":"&amp;RIGHT(D1758,2)</f>
        <v/>
      </c>
      <c r="H1758" s="2" t="inlineStr">
        <is>
          <t>9FCF7C2EC01F25B4</t>
        </is>
      </c>
      <c r="J1758" t="inlineStr">
        <is>
          <t>VIEZO0000000000000580</t>
        </is>
      </c>
      <c r="N1758" s="99" t="inlineStr">
        <is>
          <t>Nexxiot</t>
        </is>
      </c>
    </row>
    <row r="1759">
      <c r="A1759" s="32" t="inlineStr">
        <is>
          <t>TANKWAGON</t>
        </is>
      </c>
      <c r="B1759" s="24">
        <f>IFERROR(INDEX(Companies!$A$3:$A$101,MATCH(A1759,Companies!$B$3:$B$101,0)),"")</f>
        <v/>
      </c>
      <c r="D1759" t="inlineStr">
        <is>
          <t>F64DA32BD08C</t>
        </is>
      </c>
      <c r="E1759" s="24">
        <f>LEFT(D1759,2)&amp;":"&amp;MID(D1759,3,2)&amp;":"&amp;MID(D1759,5,2)&amp;":"&amp;MID(D1759,7,2)&amp;":"&amp;MID(D1759,9,2)&amp;":"&amp;RIGHT(D1759,2)</f>
        <v/>
      </c>
      <c r="H1759" s="2" t="inlineStr">
        <is>
          <t>689719E34661B4AE</t>
        </is>
      </c>
      <c r="J1759" t="inlineStr">
        <is>
          <t>VIEZO0000000000000581</t>
        </is>
      </c>
    </row>
    <row r="1760">
      <c r="A1760" s="32" t="inlineStr">
        <is>
          <t>TANKWAGON</t>
        </is>
      </c>
      <c r="B1760" s="24">
        <f>IFERROR(INDEX(Companies!$A$3:$A$101,MATCH(A1760,Companies!$B$3:$B$101,0)),"")</f>
        <v/>
      </c>
      <c r="D1760" t="inlineStr">
        <is>
          <t>DD85AD3F0380</t>
        </is>
      </c>
      <c r="E1760" s="24">
        <f>LEFT(D1760,2)&amp;":"&amp;MID(D1760,3,2)&amp;":"&amp;MID(D1760,5,2)&amp;":"&amp;MID(D1760,7,2)&amp;":"&amp;MID(D1760,9,2)&amp;":"&amp;RIGHT(D1760,2)</f>
        <v/>
      </c>
      <c r="H1760" s="2" t="inlineStr">
        <is>
          <t>9F577AB861085904</t>
        </is>
      </c>
      <c r="J1760" t="inlineStr">
        <is>
          <t>VIEZO0000000000000582</t>
        </is>
      </c>
      <c r="N1760" s="99" t="inlineStr">
        <is>
          <t>Nexxiot</t>
        </is>
      </c>
    </row>
    <row r="1761">
      <c r="A1761" s="32" t="inlineStr">
        <is>
          <t>TANKWAGON</t>
        </is>
      </c>
      <c r="B1761" s="24">
        <f>IFERROR(INDEX(Companies!$A$3:$A$101,MATCH(A1761,Companies!$B$3:$B$101,0)),"")</f>
        <v/>
      </c>
      <c r="D1761" t="inlineStr">
        <is>
          <t>F26773B52536</t>
        </is>
      </c>
      <c r="E1761" s="24">
        <f>LEFT(D1761,2)&amp;":"&amp;MID(D1761,3,2)&amp;":"&amp;MID(D1761,5,2)&amp;":"&amp;MID(D1761,7,2)&amp;":"&amp;MID(D1761,9,2)&amp;":"&amp;RIGHT(D1761,2)</f>
        <v/>
      </c>
      <c r="H1761" s="2" t="inlineStr">
        <is>
          <t>95BBED4D59631F9A</t>
        </is>
      </c>
      <c r="J1761" t="inlineStr">
        <is>
          <t>VIEZO0000000000000583</t>
        </is>
      </c>
      <c r="N1761" s="99" t="inlineStr">
        <is>
          <t>Nexxiot</t>
        </is>
      </c>
    </row>
    <row r="1762">
      <c r="A1762" s="32" t="inlineStr">
        <is>
          <t>TANKWAGON</t>
        </is>
      </c>
      <c r="B1762" s="24">
        <f>IFERROR(INDEX(Companies!$A$3:$A$101,MATCH(A1762,Companies!$B$3:$B$101,0)),"")</f>
        <v/>
      </c>
      <c r="D1762" t="inlineStr">
        <is>
          <t>EA2B04C3CBE6</t>
        </is>
      </c>
      <c r="E1762" s="24">
        <f>LEFT(D1762,2)&amp;":"&amp;MID(D1762,3,2)&amp;":"&amp;MID(D1762,5,2)&amp;":"&amp;MID(D1762,7,2)&amp;":"&amp;MID(D1762,9,2)&amp;":"&amp;RIGHT(D1762,2)</f>
        <v/>
      </c>
      <c r="H1762" s="2" t="inlineStr">
        <is>
          <t>011A762CE60BE7F8</t>
        </is>
      </c>
      <c r="J1762" t="inlineStr">
        <is>
          <t>VIEZO0000000000000584</t>
        </is>
      </c>
      <c r="N1762" s="99" t="inlineStr">
        <is>
          <t>Nexxiot</t>
        </is>
      </c>
    </row>
    <row r="1763">
      <c r="A1763" s="32" t="inlineStr">
        <is>
          <t>TANKWAGON</t>
        </is>
      </c>
      <c r="B1763" s="24">
        <f>IFERROR(INDEX(Companies!$A$3:$A$101,MATCH(A1763,Companies!$B$3:$B$101,0)),"")</f>
        <v/>
      </c>
      <c r="D1763" t="inlineStr">
        <is>
          <t>D76366385262</t>
        </is>
      </c>
      <c r="E1763" s="24">
        <f>LEFT(D1763,2)&amp;":"&amp;MID(D1763,3,2)&amp;":"&amp;MID(D1763,5,2)&amp;":"&amp;MID(D1763,7,2)&amp;":"&amp;MID(D1763,9,2)&amp;":"&amp;RIGHT(D1763,2)</f>
        <v/>
      </c>
      <c r="H1763" s="2" t="inlineStr">
        <is>
          <t>BEF4D9C45DAB5D5F</t>
        </is>
      </c>
      <c r="J1763" t="inlineStr">
        <is>
          <t>VIEZO0000000000000585</t>
        </is>
      </c>
    </row>
    <row r="1764">
      <c r="A1764" s="32" t="inlineStr">
        <is>
          <t>TANKWAGON</t>
        </is>
      </c>
      <c r="B1764" s="24">
        <f>IFERROR(INDEX(Companies!$A$3:$A$101,MATCH(A1764,Companies!$B$3:$B$101,0)),"")</f>
        <v/>
      </c>
      <c r="D1764" t="inlineStr">
        <is>
          <t>C5C87E3735A4</t>
        </is>
      </c>
      <c r="E1764" s="24">
        <f>LEFT(D1764,2)&amp;":"&amp;MID(D1764,3,2)&amp;":"&amp;MID(D1764,5,2)&amp;":"&amp;MID(D1764,7,2)&amp;":"&amp;MID(D1764,9,2)&amp;":"&amp;RIGHT(D1764,2)</f>
        <v/>
      </c>
      <c r="H1764" s="2" t="inlineStr">
        <is>
          <t>A8F486CB1E76231E</t>
        </is>
      </c>
      <c r="J1764" t="inlineStr">
        <is>
          <t>VIEZO0000000000000586</t>
        </is>
      </c>
      <c r="N1764" s="99" t="inlineStr">
        <is>
          <t>Nexxiot</t>
        </is>
      </c>
    </row>
    <row r="1765">
      <c r="A1765" s="32" t="inlineStr">
        <is>
          <t>TANKWAGON</t>
        </is>
      </c>
      <c r="B1765" s="24">
        <f>IFERROR(INDEX(Companies!$A$3:$A$101,MATCH(A1765,Companies!$B$3:$B$101,0)),"")</f>
        <v/>
      </c>
      <c r="D1765" t="inlineStr">
        <is>
          <t>CC59B37E0D2A</t>
        </is>
      </c>
      <c r="E1765" s="24">
        <f>LEFT(D1765,2)&amp;":"&amp;MID(D1765,3,2)&amp;":"&amp;MID(D1765,5,2)&amp;":"&amp;MID(D1765,7,2)&amp;":"&amp;MID(D1765,9,2)&amp;":"&amp;RIGHT(D1765,2)</f>
        <v/>
      </c>
      <c r="H1765" s="2" t="inlineStr">
        <is>
          <t>30161AD27287394C</t>
        </is>
      </c>
      <c r="J1765" t="inlineStr">
        <is>
          <t>VIEZO0000000000000587</t>
        </is>
      </c>
    </row>
    <row r="1766">
      <c r="A1766" s="32" t="inlineStr">
        <is>
          <t>TANKWAGON</t>
        </is>
      </c>
      <c r="B1766" s="24">
        <f>IFERROR(INDEX(Companies!$A$3:$A$101,MATCH(A1766,Companies!$B$3:$B$101,0)),"")</f>
        <v/>
      </c>
      <c r="D1766" t="inlineStr">
        <is>
          <t>F4DCC2B94A0C</t>
        </is>
      </c>
      <c r="E1766" s="24">
        <f>LEFT(D1766,2)&amp;":"&amp;MID(D1766,3,2)&amp;":"&amp;MID(D1766,5,2)&amp;":"&amp;MID(D1766,7,2)&amp;":"&amp;MID(D1766,9,2)&amp;":"&amp;RIGHT(D1766,2)</f>
        <v/>
      </c>
      <c r="H1766" s="2" t="inlineStr">
        <is>
          <t>D03E2F4ED73264EF</t>
        </is>
      </c>
      <c r="J1766" t="inlineStr">
        <is>
          <t>VIEZO0000000000000588</t>
        </is>
      </c>
    </row>
    <row r="1767">
      <c r="A1767" s="32" t="inlineStr">
        <is>
          <t>TANKWAGON</t>
        </is>
      </c>
      <c r="B1767" s="24">
        <f>IFERROR(INDEX(Companies!$A$3:$A$101,MATCH(A1767,Companies!$B$3:$B$101,0)),"")</f>
        <v/>
      </c>
      <c r="D1767" t="inlineStr">
        <is>
          <t>CC66354B98F7</t>
        </is>
      </c>
      <c r="E1767" s="24">
        <f>LEFT(D1767,2)&amp;":"&amp;MID(D1767,3,2)&amp;":"&amp;MID(D1767,5,2)&amp;":"&amp;MID(D1767,7,2)&amp;":"&amp;MID(D1767,9,2)&amp;":"&amp;RIGHT(D1767,2)</f>
        <v/>
      </c>
      <c r="H1767" s="2" t="inlineStr">
        <is>
          <t>F185713295BD4C4B</t>
        </is>
      </c>
      <c r="J1767" t="inlineStr">
        <is>
          <t>VIEZO0000000000000589</t>
        </is>
      </c>
    </row>
    <row r="1768">
      <c r="A1768" s="32" t="inlineStr">
        <is>
          <t>TANKWAGON</t>
        </is>
      </c>
      <c r="B1768" s="24">
        <f>IFERROR(INDEX(Companies!$A$3:$A$101,MATCH(A1768,Companies!$B$3:$B$101,0)),"")</f>
        <v/>
      </c>
      <c r="D1768" t="inlineStr">
        <is>
          <t>DA51477B0B4D</t>
        </is>
      </c>
      <c r="E1768" s="24">
        <f>LEFT(D1768,2)&amp;":"&amp;MID(D1768,3,2)&amp;":"&amp;MID(D1768,5,2)&amp;":"&amp;MID(D1768,7,2)&amp;":"&amp;MID(D1768,9,2)&amp;":"&amp;RIGHT(D1768,2)</f>
        <v/>
      </c>
      <c r="H1768" s="2" t="inlineStr">
        <is>
          <t>986874399C8A7141</t>
        </is>
      </c>
      <c r="J1768" t="inlineStr">
        <is>
          <t>VIEZO0000000000000590</t>
        </is>
      </c>
    </row>
    <row r="1769">
      <c r="A1769" s="32" t="inlineStr">
        <is>
          <t>TANKWAGON</t>
        </is>
      </c>
      <c r="B1769" s="24">
        <f>IFERROR(INDEX(Companies!$A$3:$A$101,MATCH(A1769,Companies!$B$3:$B$101,0)),"")</f>
        <v/>
      </c>
      <c r="D1769" t="inlineStr">
        <is>
          <t>D42720FBAAE2</t>
        </is>
      </c>
      <c r="E1769" s="24">
        <f>LEFT(D1769,2)&amp;":"&amp;MID(D1769,3,2)&amp;":"&amp;MID(D1769,5,2)&amp;":"&amp;MID(D1769,7,2)&amp;":"&amp;MID(D1769,9,2)&amp;":"&amp;RIGHT(D1769,2)</f>
        <v/>
      </c>
      <c r="H1769" s="2" t="inlineStr">
        <is>
          <t>5F28D801D2EEEFF0</t>
        </is>
      </c>
      <c r="J1769" t="inlineStr">
        <is>
          <t>VIEZO0000000000000591</t>
        </is>
      </c>
    </row>
    <row r="1770">
      <c r="A1770" s="32" t="inlineStr">
        <is>
          <t>TANKWAGON</t>
        </is>
      </c>
      <c r="B1770" s="24">
        <f>IFERROR(INDEX(Companies!$A$3:$A$101,MATCH(A1770,Companies!$B$3:$B$101,0)),"")</f>
        <v/>
      </c>
      <c r="D1770" t="inlineStr">
        <is>
          <t>E86B58EAF0C3</t>
        </is>
      </c>
      <c r="E1770" s="24">
        <f>LEFT(D1770,2)&amp;":"&amp;MID(D1770,3,2)&amp;":"&amp;MID(D1770,5,2)&amp;":"&amp;MID(D1770,7,2)&amp;":"&amp;MID(D1770,9,2)&amp;":"&amp;RIGHT(D1770,2)</f>
        <v/>
      </c>
      <c r="H1770" s="2" t="inlineStr">
        <is>
          <t>710AFDD913A5A244</t>
        </is>
      </c>
      <c r="J1770" t="inlineStr">
        <is>
          <t>VIEZO0000000000000592</t>
        </is>
      </c>
    </row>
    <row r="1771">
      <c r="A1771" s="32" t="inlineStr">
        <is>
          <t>TANKWAGON</t>
        </is>
      </c>
      <c r="B1771" s="24">
        <f>IFERROR(INDEX(Companies!$A$3:$A$101,MATCH(A1771,Companies!$B$3:$B$101,0)),"")</f>
        <v/>
      </c>
      <c r="D1771" t="inlineStr">
        <is>
          <t>FE98AB7EC56E</t>
        </is>
      </c>
      <c r="E1771" s="24">
        <f>LEFT(D1771,2)&amp;":"&amp;MID(D1771,3,2)&amp;":"&amp;MID(D1771,5,2)&amp;":"&amp;MID(D1771,7,2)&amp;":"&amp;MID(D1771,9,2)&amp;":"&amp;RIGHT(D1771,2)</f>
        <v/>
      </c>
      <c r="H1771" s="2" t="inlineStr">
        <is>
          <t>3D4D657A0BE39495</t>
        </is>
      </c>
      <c r="J1771" t="inlineStr">
        <is>
          <t>VIEZO0000000000000593</t>
        </is>
      </c>
    </row>
    <row r="1772">
      <c r="A1772" s="32" t="inlineStr">
        <is>
          <t>TANKWAGON</t>
        </is>
      </c>
      <c r="B1772" s="24">
        <f>IFERROR(INDEX(Companies!$A$3:$A$101,MATCH(A1772,Companies!$B$3:$B$101,0)),"")</f>
        <v/>
      </c>
      <c r="D1772" t="inlineStr">
        <is>
          <t>E7305ED15069</t>
        </is>
      </c>
      <c r="E1772" s="24">
        <f>LEFT(D1772,2)&amp;":"&amp;MID(D1772,3,2)&amp;":"&amp;MID(D1772,5,2)&amp;":"&amp;MID(D1772,7,2)&amp;":"&amp;MID(D1772,9,2)&amp;":"&amp;RIGHT(D1772,2)</f>
        <v/>
      </c>
      <c r="H1772" s="2" t="inlineStr">
        <is>
          <t>53D1B581175BD071</t>
        </is>
      </c>
      <c r="J1772" t="inlineStr">
        <is>
          <t>VIEZO0000000000000594</t>
        </is>
      </c>
    </row>
    <row r="1773">
      <c r="A1773" s="32" t="inlineStr">
        <is>
          <t>TANKWAGON</t>
        </is>
      </c>
      <c r="B1773" s="24">
        <f>IFERROR(INDEX(Companies!$A$3:$A$101,MATCH(A1773,Companies!$B$3:$B$101,0)),"")</f>
        <v/>
      </c>
      <c r="D1773" t="inlineStr">
        <is>
          <t>D8D243384F76</t>
        </is>
      </c>
      <c r="E1773" s="24">
        <f>LEFT(D1773,2)&amp;":"&amp;MID(D1773,3,2)&amp;":"&amp;MID(D1773,5,2)&amp;":"&amp;MID(D1773,7,2)&amp;":"&amp;MID(D1773,9,2)&amp;":"&amp;RIGHT(D1773,2)</f>
        <v/>
      </c>
      <c r="H1773" s="2" t="inlineStr">
        <is>
          <t>8A8618AEA9964360</t>
        </is>
      </c>
      <c r="J1773" t="inlineStr">
        <is>
          <t>VIEZO0000000000000595</t>
        </is>
      </c>
    </row>
    <row r="1774">
      <c r="A1774" s="32" t="inlineStr">
        <is>
          <t>TANKWAGON</t>
        </is>
      </c>
      <c r="B1774" s="24">
        <f>IFERROR(INDEX(Companies!$A$3:$A$101,MATCH(A1774,Companies!$B$3:$B$101,0)),"")</f>
        <v/>
      </c>
      <c r="D1774" t="inlineStr">
        <is>
          <t>ED4677FE78B9</t>
        </is>
      </c>
      <c r="E1774" s="24">
        <f>LEFT(D1774,2)&amp;":"&amp;MID(D1774,3,2)&amp;":"&amp;MID(D1774,5,2)&amp;":"&amp;MID(D1774,7,2)&amp;":"&amp;MID(D1774,9,2)&amp;":"&amp;RIGHT(D1774,2)</f>
        <v/>
      </c>
      <c r="H1774" s="2" t="inlineStr">
        <is>
          <t>264BD17A8EA2DD20</t>
        </is>
      </c>
      <c r="J1774" t="inlineStr">
        <is>
          <t>VIEZO0000000000000596</t>
        </is>
      </c>
    </row>
    <row r="1775">
      <c r="A1775" s="32" t="inlineStr">
        <is>
          <t>TANKWAGON</t>
        </is>
      </c>
      <c r="B1775" s="24">
        <f>IFERROR(INDEX(Companies!$A$3:$A$101,MATCH(A1775,Companies!$B$3:$B$101,0)),"")</f>
        <v/>
      </c>
      <c r="D1775" t="inlineStr">
        <is>
          <t>FEBD97B56811</t>
        </is>
      </c>
      <c r="E1775" s="24">
        <f>LEFT(D1775,2)&amp;":"&amp;MID(D1775,3,2)&amp;":"&amp;MID(D1775,5,2)&amp;":"&amp;MID(D1775,7,2)&amp;":"&amp;MID(D1775,9,2)&amp;":"&amp;RIGHT(D1775,2)</f>
        <v/>
      </c>
      <c r="H1775" s="2" t="inlineStr">
        <is>
          <t>2C96827A235402C7</t>
        </is>
      </c>
      <c r="J1775" t="inlineStr">
        <is>
          <t>VIEZO0000000000000597</t>
        </is>
      </c>
    </row>
    <row r="1776">
      <c r="A1776" s="32" t="inlineStr">
        <is>
          <t>TANKWAGON</t>
        </is>
      </c>
      <c r="B1776" s="24">
        <f>IFERROR(INDEX(Companies!$A$3:$A$101,MATCH(A1776,Companies!$B$3:$B$101,0)),"")</f>
        <v/>
      </c>
      <c r="D1776" t="inlineStr">
        <is>
          <t>EA5DE2FA4F60</t>
        </is>
      </c>
      <c r="E1776" s="24">
        <f>LEFT(D1776,2)&amp;":"&amp;MID(D1776,3,2)&amp;":"&amp;MID(D1776,5,2)&amp;":"&amp;MID(D1776,7,2)&amp;":"&amp;MID(D1776,9,2)&amp;":"&amp;RIGHT(D1776,2)</f>
        <v/>
      </c>
      <c r="H1776" s="2" t="inlineStr">
        <is>
          <t>C7ED77B938C46FAC</t>
        </is>
      </c>
      <c r="J1776" t="inlineStr">
        <is>
          <t>VIEZO0000000000000598</t>
        </is>
      </c>
    </row>
    <row r="1777">
      <c r="A1777" s="32" t="inlineStr">
        <is>
          <t>TANKWAGON</t>
        </is>
      </c>
      <c r="B1777" s="24">
        <f>IFERROR(INDEX(Companies!$A$3:$A$101,MATCH(A1777,Companies!$B$3:$B$101,0)),"")</f>
        <v/>
      </c>
      <c r="D1777" t="inlineStr">
        <is>
          <t>E61FF2AD42F4</t>
        </is>
      </c>
      <c r="E1777" s="24">
        <f>LEFT(D1777,2)&amp;":"&amp;MID(D1777,3,2)&amp;":"&amp;MID(D1777,5,2)&amp;":"&amp;MID(D1777,7,2)&amp;":"&amp;MID(D1777,9,2)&amp;":"&amp;RIGHT(D1777,2)</f>
        <v/>
      </c>
      <c r="H1777" s="2" t="inlineStr">
        <is>
          <t>FD8DEA03CC750154</t>
        </is>
      </c>
      <c r="J1777" t="inlineStr">
        <is>
          <t>VIEZO0000000000000599</t>
        </is>
      </c>
    </row>
    <row r="1778">
      <c r="A1778" s="32" t="inlineStr">
        <is>
          <t>TANKWAGON</t>
        </is>
      </c>
      <c r="B1778" s="24">
        <f>IFERROR(INDEX(Companies!$A$3:$A$101,MATCH(A1778,Companies!$B$3:$B$101,0)),"")</f>
        <v/>
      </c>
      <c r="D1778" t="inlineStr">
        <is>
          <t>DC56873F9BDF</t>
        </is>
      </c>
      <c r="E1778" s="24">
        <f>LEFT(D1778,2)&amp;":"&amp;MID(D1778,3,2)&amp;":"&amp;MID(D1778,5,2)&amp;":"&amp;MID(D1778,7,2)&amp;":"&amp;MID(D1778,9,2)&amp;":"&amp;RIGHT(D1778,2)</f>
        <v/>
      </c>
      <c r="H1778" s="2" t="inlineStr">
        <is>
          <t>0B4436C3192EB79B</t>
        </is>
      </c>
      <c r="J1778" t="inlineStr">
        <is>
          <t>VIEZO0000000000000600</t>
        </is>
      </c>
    </row>
    <row r="1779">
      <c r="A1779" s="32" t="inlineStr">
        <is>
          <t>TANKWAGON</t>
        </is>
      </c>
      <c r="B1779" s="24">
        <f>IFERROR(INDEX(Companies!$A$3:$A$101,MATCH(A1779,Companies!$B$3:$B$101,0)),"")</f>
        <v/>
      </c>
      <c r="D1779" t="inlineStr">
        <is>
          <t>CBE4D5B23B25</t>
        </is>
      </c>
      <c r="E1779" s="24">
        <f>LEFT(D1779,2)&amp;":"&amp;MID(D1779,3,2)&amp;":"&amp;MID(D1779,5,2)&amp;":"&amp;MID(D1779,7,2)&amp;":"&amp;MID(D1779,9,2)&amp;":"&amp;RIGHT(D1779,2)</f>
        <v/>
      </c>
      <c r="H1779" s="2" t="inlineStr">
        <is>
          <t>BF55D3E5B44520F9</t>
        </is>
      </c>
      <c r="J1779" t="inlineStr">
        <is>
          <t>VIEZO0000000000000601</t>
        </is>
      </c>
    </row>
    <row r="1780">
      <c r="A1780" s="32" t="inlineStr">
        <is>
          <t>TANKWAGON</t>
        </is>
      </c>
      <c r="B1780" s="24">
        <f>IFERROR(INDEX(Companies!$A$3:$A$101,MATCH(A1780,Companies!$B$3:$B$101,0)),"")</f>
        <v/>
      </c>
      <c r="D1780" t="inlineStr">
        <is>
          <t>ED87D1D23CB2</t>
        </is>
      </c>
      <c r="E1780" s="24">
        <f>LEFT(D1780,2)&amp;":"&amp;MID(D1780,3,2)&amp;":"&amp;MID(D1780,5,2)&amp;":"&amp;MID(D1780,7,2)&amp;":"&amp;MID(D1780,9,2)&amp;":"&amp;RIGHT(D1780,2)</f>
        <v/>
      </c>
      <c r="F1780" s="29" t="n">
        <v>45260</v>
      </c>
      <c r="G1780" s="29" t="inlineStr">
        <is>
          <t>Tankwagon</t>
        </is>
      </c>
      <c r="H1780" s="2" t="inlineStr">
        <is>
          <t>6219D338360EFE74</t>
        </is>
      </c>
      <c r="J1780" t="inlineStr">
        <is>
          <t>VIEZO0000000000000602</t>
        </is>
      </c>
      <c r="K1780" s="27" t="inlineStr">
        <is>
          <t>33747913061-5</t>
        </is>
      </c>
      <c r="L1780" s="27" t="inlineStr">
        <is>
          <t>2L</t>
        </is>
      </c>
    </row>
    <row r="1781">
      <c r="A1781" s="32" t="inlineStr">
        <is>
          <t>TANKWAGON</t>
        </is>
      </c>
      <c r="B1781" s="24">
        <f>IFERROR(INDEX(Companies!$A$3:$A$101,MATCH(A1781,Companies!$B$3:$B$101,0)),"")</f>
        <v/>
      </c>
      <c r="D1781" t="inlineStr">
        <is>
          <t>C4D19608C744</t>
        </is>
      </c>
      <c r="E1781" s="24">
        <f>LEFT(D1781,2)&amp;":"&amp;MID(D1781,3,2)&amp;":"&amp;MID(D1781,5,2)&amp;":"&amp;MID(D1781,7,2)&amp;":"&amp;MID(D1781,9,2)&amp;":"&amp;RIGHT(D1781,2)</f>
        <v/>
      </c>
      <c r="H1781" s="2" t="inlineStr">
        <is>
          <t>3A2B532C7F0773D1</t>
        </is>
      </c>
      <c r="J1781" t="inlineStr">
        <is>
          <t>VIEZO0000000000000603</t>
        </is>
      </c>
    </row>
    <row r="1782">
      <c r="A1782" s="32" t="inlineStr">
        <is>
          <t>TANKWAGON</t>
        </is>
      </c>
      <c r="B1782" s="24">
        <f>IFERROR(INDEX(Companies!$A$3:$A$101,MATCH(A1782,Companies!$B$3:$B$101,0)),"")</f>
        <v/>
      </c>
      <c r="D1782" t="inlineStr">
        <is>
          <t>D317B550DBE3</t>
        </is>
      </c>
      <c r="E1782" s="24">
        <f>LEFT(D1782,2)&amp;":"&amp;MID(D1782,3,2)&amp;":"&amp;MID(D1782,5,2)&amp;":"&amp;MID(D1782,7,2)&amp;":"&amp;MID(D1782,9,2)&amp;":"&amp;RIGHT(D1782,2)</f>
        <v/>
      </c>
      <c r="H1782" s="2" t="inlineStr">
        <is>
          <t>11AAAB7C43AFB1D4</t>
        </is>
      </c>
      <c r="J1782" t="inlineStr">
        <is>
          <t>VIEZO0000000000000604</t>
        </is>
      </c>
    </row>
    <row r="1783">
      <c r="A1783" s="32" t="inlineStr">
        <is>
          <t>TANKWAGON</t>
        </is>
      </c>
      <c r="B1783" s="24">
        <f>IFERROR(INDEX(Companies!$A$3:$A$101,MATCH(A1783,Companies!$B$3:$B$101,0)),"")</f>
        <v/>
      </c>
      <c r="D1783" t="inlineStr">
        <is>
          <t>E7882E85FE36</t>
        </is>
      </c>
      <c r="E1783" s="24">
        <f>LEFT(D1783,2)&amp;":"&amp;MID(D1783,3,2)&amp;":"&amp;MID(D1783,5,2)&amp;":"&amp;MID(D1783,7,2)&amp;":"&amp;MID(D1783,9,2)&amp;":"&amp;RIGHT(D1783,2)</f>
        <v/>
      </c>
      <c r="H1783" s="2" t="inlineStr">
        <is>
          <t>5EFD83115D91AAA1</t>
        </is>
      </c>
      <c r="J1783" t="inlineStr">
        <is>
          <t>VIEZO0000000000000605</t>
        </is>
      </c>
    </row>
    <row r="1784">
      <c r="A1784" s="32" t="inlineStr">
        <is>
          <t>TANKWAGON</t>
        </is>
      </c>
      <c r="B1784" s="24">
        <f>IFERROR(INDEX(Companies!$A$3:$A$101,MATCH(A1784,Companies!$B$3:$B$101,0)),"")</f>
        <v/>
      </c>
      <c r="D1784" t="inlineStr">
        <is>
          <t>FE74750462C0</t>
        </is>
      </c>
      <c r="E1784" s="24">
        <f>LEFT(D1784,2)&amp;":"&amp;MID(D1784,3,2)&amp;":"&amp;MID(D1784,5,2)&amp;":"&amp;MID(D1784,7,2)&amp;":"&amp;MID(D1784,9,2)&amp;":"&amp;RIGHT(D1784,2)</f>
        <v/>
      </c>
      <c r="H1784" s="2" t="inlineStr">
        <is>
          <t>59A684555578A376</t>
        </is>
      </c>
      <c r="J1784" t="inlineStr">
        <is>
          <t>VIEZO0000000000000606</t>
        </is>
      </c>
    </row>
    <row r="1785">
      <c r="A1785" s="32" t="inlineStr">
        <is>
          <t>TANKWAGON</t>
        </is>
      </c>
      <c r="B1785" s="24">
        <f>IFERROR(INDEX(Companies!$A$3:$A$101,MATCH(A1785,Companies!$B$3:$B$101,0)),"")</f>
        <v/>
      </c>
      <c r="D1785" t="inlineStr">
        <is>
          <t>E0B6B59B6423</t>
        </is>
      </c>
      <c r="E1785" s="24">
        <f>LEFT(D1785,2)&amp;":"&amp;MID(D1785,3,2)&amp;":"&amp;MID(D1785,5,2)&amp;":"&amp;MID(D1785,7,2)&amp;":"&amp;MID(D1785,9,2)&amp;":"&amp;RIGHT(D1785,2)</f>
        <v/>
      </c>
      <c r="H1785" s="2" t="inlineStr">
        <is>
          <t>941D21354B9571C3</t>
        </is>
      </c>
      <c r="J1785" t="inlineStr">
        <is>
          <t>VIEZO0000000000000607</t>
        </is>
      </c>
    </row>
    <row r="1786">
      <c r="A1786" s="32" t="inlineStr">
        <is>
          <t>TANKWAGON</t>
        </is>
      </c>
      <c r="B1786" s="24">
        <f>IFERROR(INDEX(Companies!$A$3:$A$101,MATCH(A1786,Companies!$B$3:$B$101,0)),"")</f>
        <v/>
      </c>
      <c r="D1786" t="inlineStr">
        <is>
          <t>D1F90E6E1737</t>
        </is>
      </c>
      <c r="E1786" s="24">
        <f>LEFT(D1786,2)&amp;":"&amp;MID(D1786,3,2)&amp;":"&amp;MID(D1786,5,2)&amp;":"&amp;MID(D1786,7,2)&amp;":"&amp;MID(D1786,9,2)&amp;":"&amp;RIGHT(D1786,2)</f>
        <v/>
      </c>
      <c r="H1786" s="2" t="inlineStr">
        <is>
          <t>356E4A45C3ABF5CD</t>
        </is>
      </c>
      <c r="J1786" t="inlineStr">
        <is>
          <t>VIEZO0000000000000608</t>
        </is>
      </c>
    </row>
    <row r="1787">
      <c r="A1787" s="32" t="inlineStr">
        <is>
          <t>TANKWAGON</t>
        </is>
      </c>
      <c r="B1787" s="24">
        <f>IFERROR(INDEX(Companies!$A$3:$A$101,MATCH(A1787,Companies!$B$3:$B$101,0)),"")</f>
        <v/>
      </c>
      <c r="D1787" t="inlineStr">
        <is>
          <t>D490FDEA4B6E</t>
        </is>
      </c>
      <c r="E1787" s="24">
        <f>LEFT(D1787,2)&amp;":"&amp;MID(D1787,3,2)&amp;":"&amp;MID(D1787,5,2)&amp;":"&amp;MID(D1787,7,2)&amp;":"&amp;MID(D1787,9,2)&amp;":"&amp;RIGHT(D1787,2)</f>
        <v/>
      </c>
      <c r="H1787" s="2" t="inlineStr">
        <is>
          <t>4FAFABE4AA41DF74</t>
        </is>
      </c>
      <c r="J1787" t="inlineStr">
        <is>
          <t>VIEZO0000000000000609</t>
        </is>
      </c>
    </row>
    <row r="1788">
      <c r="A1788" s="32" t="inlineStr">
        <is>
          <t>TANKWAGON</t>
        </is>
      </c>
      <c r="B1788" s="24">
        <f>IFERROR(INDEX(Companies!$A$3:$A$101,MATCH(A1788,Companies!$B$3:$B$101,0)),"")</f>
        <v/>
      </c>
      <c r="D1788" t="inlineStr">
        <is>
          <t>EC2BA56B0A7D</t>
        </is>
      </c>
      <c r="E1788" s="24">
        <f>LEFT(D1788,2)&amp;":"&amp;MID(D1788,3,2)&amp;":"&amp;MID(D1788,5,2)&amp;":"&amp;MID(D1788,7,2)&amp;":"&amp;MID(D1788,9,2)&amp;":"&amp;RIGHT(D1788,2)</f>
        <v/>
      </c>
      <c r="F1788" s="29" t="n">
        <v>45260</v>
      </c>
      <c r="G1788" s="29" t="inlineStr">
        <is>
          <t>Tankwagon</t>
        </is>
      </c>
      <c r="H1788" s="2" t="inlineStr">
        <is>
          <t>B86D1D2535272D8A</t>
        </is>
      </c>
      <c r="J1788" t="inlineStr">
        <is>
          <t>VIEZO0000000000000610</t>
        </is>
      </c>
      <c r="K1788" s="27" t="inlineStr">
        <is>
          <t>33877916636-6</t>
        </is>
      </c>
      <c r="L1788" s="27" t="inlineStr">
        <is>
          <t>1L</t>
        </is>
      </c>
    </row>
    <row r="1789">
      <c r="A1789" s="32" t="inlineStr">
        <is>
          <t>TANKWAGON</t>
        </is>
      </c>
      <c r="B1789" s="24">
        <f>IFERROR(INDEX(Companies!$A$3:$A$101,MATCH(A1789,Companies!$B$3:$B$101,0)),"")</f>
        <v/>
      </c>
      <c r="D1789" t="inlineStr">
        <is>
          <t>C20DF61675AD</t>
        </is>
      </c>
      <c r="E1789" s="24">
        <f>LEFT(D1789,2)&amp;":"&amp;MID(D1789,3,2)&amp;":"&amp;MID(D1789,5,2)&amp;":"&amp;MID(D1789,7,2)&amp;":"&amp;MID(D1789,9,2)&amp;":"&amp;RIGHT(D1789,2)</f>
        <v/>
      </c>
      <c r="F1789" s="29" t="n">
        <v>45260</v>
      </c>
      <c r="G1789" s="29" t="inlineStr">
        <is>
          <t>Tankwagon</t>
        </is>
      </c>
      <c r="H1789" s="2" t="inlineStr">
        <is>
          <t>1EB1B788F9C3DA0D</t>
        </is>
      </c>
      <c r="J1789" t="inlineStr">
        <is>
          <t>VIEZO0000000000000611</t>
        </is>
      </c>
      <c r="K1789" s="27" t="inlineStr">
        <is>
          <t>33807920015-4</t>
        </is>
      </c>
      <c r="L1789" s="27" t="inlineStr">
        <is>
          <t>3L</t>
        </is>
      </c>
    </row>
    <row r="1790">
      <c r="A1790" s="32" t="inlineStr">
        <is>
          <t>TANKWAGON</t>
        </is>
      </c>
      <c r="B1790" s="24">
        <f>IFERROR(INDEX(Companies!$A$3:$A$101,MATCH(A1790,Companies!$B$3:$B$101,0)),"")</f>
        <v/>
      </c>
      <c r="D1790" t="inlineStr">
        <is>
          <t>F2797FC57C1F</t>
        </is>
      </c>
      <c r="E1790" s="24">
        <f>LEFT(D1790,2)&amp;":"&amp;MID(D1790,3,2)&amp;":"&amp;MID(D1790,5,2)&amp;":"&amp;MID(D1790,7,2)&amp;":"&amp;MID(D1790,9,2)&amp;":"&amp;RIGHT(D1790,2)</f>
        <v/>
      </c>
      <c r="H1790" s="2" t="inlineStr">
        <is>
          <t>8DFACA9864908227</t>
        </is>
      </c>
      <c r="J1790" t="inlineStr">
        <is>
          <t>VIEZO0000000000000612</t>
        </is>
      </c>
      <c r="N1790" s="99" t="inlineStr">
        <is>
          <t>Nexxiot</t>
        </is>
      </c>
    </row>
    <row r="1791">
      <c r="A1791" s="32" t="inlineStr">
        <is>
          <t>TANKWAGON</t>
        </is>
      </c>
      <c r="B1791" s="24">
        <f>IFERROR(INDEX(Companies!$A$3:$A$101,MATCH(A1791,Companies!$B$3:$B$101,0)),"")</f>
        <v/>
      </c>
      <c r="D1791" t="inlineStr">
        <is>
          <t>EA0224651413</t>
        </is>
      </c>
      <c r="E1791" s="24">
        <f>LEFT(D1791,2)&amp;":"&amp;MID(D1791,3,2)&amp;":"&amp;MID(D1791,5,2)&amp;":"&amp;MID(D1791,7,2)&amp;":"&amp;MID(D1791,9,2)&amp;":"&amp;RIGHT(D1791,2)</f>
        <v/>
      </c>
      <c r="H1791" s="2" t="inlineStr">
        <is>
          <t>5389D65A4AC4EBB7</t>
        </is>
      </c>
      <c r="J1791" t="inlineStr">
        <is>
          <t>VIEZO0000000000000613</t>
        </is>
      </c>
    </row>
    <row r="1792">
      <c r="A1792" s="32" t="inlineStr">
        <is>
          <t>TANKWAGON</t>
        </is>
      </c>
      <c r="B1792" s="24">
        <f>IFERROR(INDEX(Companies!$A$3:$A$101,MATCH(A1792,Companies!$B$3:$B$101,0)),"")</f>
        <v/>
      </c>
      <c r="D1792" t="inlineStr">
        <is>
          <t>D097292D8F86</t>
        </is>
      </c>
      <c r="E1792" s="24">
        <f>LEFT(D1792,2)&amp;":"&amp;MID(D1792,3,2)&amp;":"&amp;MID(D1792,5,2)&amp;":"&amp;MID(D1792,7,2)&amp;":"&amp;MID(D1792,9,2)&amp;":"&amp;RIGHT(D1792,2)</f>
        <v/>
      </c>
      <c r="F1792" s="29" t="n">
        <v>45260</v>
      </c>
      <c r="G1792" s="29" t="inlineStr">
        <is>
          <t>Tankwagon</t>
        </is>
      </c>
      <c r="H1792" s="2" t="inlineStr">
        <is>
          <t>A9A6273E52B24442</t>
        </is>
      </c>
      <c r="J1792" t="inlineStr">
        <is>
          <t>VIEZO0000000000000614</t>
        </is>
      </c>
      <c r="K1792" s="27" t="inlineStr">
        <is>
          <t>33807920015-4</t>
        </is>
      </c>
      <c r="L1792" s="27" t="inlineStr">
        <is>
          <t>1R</t>
        </is>
      </c>
    </row>
    <row r="1793">
      <c r="A1793" s="32" t="inlineStr">
        <is>
          <t>TANKWAGON</t>
        </is>
      </c>
      <c r="B1793" s="24">
        <f>IFERROR(INDEX(Companies!$A$3:$A$101,MATCH(A1793,Companies!$B$3:$B$101,0)),"")</f>
        <v/>
      </c>
      <c r="D1793" t="inlineStr">
        <is>
          <t>E618CD532C1C</t>
        </is>
      </c>
      <c r="E1793" s="24">
        <f>LEFT(D1793,2)&amp;":"&amp;MID(D1793,3,2)&amp;":"&amp;MID(D1793,5,2)&amp;":"&amp;MID(D1793,7,2)&amp;":"&amp;MID(D1793,9,2)&amp;":"&amp;RIGHT(D1793,2)</f>
        <v/>
      </c>
      <c r="H1793" s="2" t="inlineStr">
        <is>
          <t>1CD795E07DA5C632</t>
        </is>
      </c>
      <c r="J1793" t="inlineStr">
        <is>
          <t>VIEZO0000000000000615</t>
        </is>
      </c>
    </row>
    <row r="1794">
      <c r="A1794" s="32" t="inlineStr">
        <is>
          <t>TANKWAGON</t>
        </is>
      </c>
      <c r="B1794" s="24">
        <f>IFERROR(INDEX(Companies!$A$3:$A$101,MATCH(A1794,Companies!$B$3:$B$101,0)),"")</f>
        <v/>
      </c>
      <c r="D1794" t="inlineStr">
        <is>
          <t>E5F3C6A00475</t>
        </is>
      </c>
      <c r="E1794" s="24">
        <f>LEFT(D1794,2)&amp;":"&amp;MID(D1794,3,2)&amp;":"&amp;MID(D1794,5,2)&amp;":"&amp;MID(D1794,7,2)&amp;":"&amp;MID(D1794,9,2)&amp;":"&amp;RIGHT(D1794,2)</f>
        <v/>
      </c>
      <c r="H1794" s="2" t="inlineStr">
        <is>
          <t>DC5F68FD952E1761</t>
        </is>
      </c>
      <c r="J1794" t="inlineStr">
        <is>
          <t>VIEZO0000000000000616</t>
        </is>
      </c>
      <c r="N1794" s="99" t="inlineStr">
        <is>
          <t>Nexxiot</t>
        </is>
      </c>
    </row>
    <row r="1795">
      <c r="A1795" s="32" t="inlineStr">
        <is>
          <t>TANKWAGON</t>
        </is>
      </c>
      <c r="B1795" s="24">
        <f>IFERROR(INDEX(Companies!$A$3:$A$101,MATCH(A1795,Companies!$B$3:$B$101,0)),"")</f>
        <v/>
      </c>
      <c r="D1795" t="inlineStr">
        <is>
          <t>EE9DF60ECD47</t>
        </is>
      </c>
      <c r="E1795" s="24">
        <f>LEFT(D1795,2)&amp;":"&amp;MID(D1795,3,2)&amp;":"&amp;MID(D1795,5,2)&amp;":"&amp;MID(D1795,7,2)&amp;":"&amp;MID(D1795,9,2)&amp;":"&amp;RIGHT(D1795,2)</f>
        <v/>
      </c>
      <c r="H1795" s="2" t="inlineStr">
        <is>
          <t>71254CB1B4629C4A</t>
        </is>
      </c>
      <c r="J1795" t="inlineStr">
        <is>
          <t>VIEZO0000000000000617</t>
        </is>
      </c>
    </row>
    <row r="1796">
      <c r="A1796" s="32" t="inlineStr">
        <is>
          <t>TANKWAGON</t>
        </is>
      </c>
      <c r="B1796" s="24">
        <f>IFERROR(INDEX(Companies!$A$3:$A$101,MATCH(A1796,Companies!$B$3:$B$101,0)),"")</f>
        <v/>
      </c>
      <c r="D1796" t="inlineStr">
        <is>
          <t>F178707B40EF</t>
        </is>
      </c>
      <c r="E1796" s="24">
        <f>LEFT(D1796,2)&amp;":"&amp;MID(D1796,3,2)&amp;":"&amp;MID(D1796,5,2)&amp;":"&amp;MID(D1796,7,2)&amp;":"&amp;MID(D1796,9,2)&amp;":"&amp;RIGHT(D1796,2)</f>
        <v/>
      </c>
      <c r="H1796" s="2" t="inlineStr">
        <is>
          <t>029B3458C055D6E3</t>
        </is>
      </c>
      <c r="J1796" t="inlineStr">
        <is>
          <t>VIEZO0000000000000618</t>
        </is>
      </c>
    </row>
    <row r="1797">
      <c r="A1797" s="32" t="inlineStr">
        <is>
          <t>TANKWAGON</t>
        </is>
      </c>
      <c r="B1797" s="24">
        <f>IFERROR(INDEX(Companies!$A$3:$A$101,MATCH(A1797,Companies!$B$3:$B$101,0)),"")</f>
        <v/>
      </c>
      <c r="D1797" t="inlineStr">
        <is>
          <t>F3E72D9675AA</t>
        </is>
      </c>
      <c r="E1797" s="24">
        <f>LEFT(D1797,2)&amp;":"&amp;MID(D1797,3,2)&amp;":"&amp;MID(D1797,5,2)&amp;":"&amp;MID(D1797,7,2)&amp;":"&amp;MID(D1797,9,2)&amp;":"&amp;RIGHT(D1797,2)</f>
        <v/>
      </c>
      <c r="H1797" s="2" t="inlineStr">
        <is>
          <t>7B1737DADD3159F7</t>
        </is>
      </c>
      <c r="J1797" t="inlineStr">
        <is>
          <t>VIEZO0000000000000619</t>
        </is>
      </c>
    </row>
    <row r="1798">
      <c r="A1798" s="32" t="inlineStr">
        <is>
          <t>TANKWAGON</t>
        </is>
      </c>
      <c r="B1798" s="24">
        <f>IFERROR(INDEX(Companies!$A$3:$A$101,MATCH(A1798,Companies!$B$3:$B$101,0)),"")</f>
        <v/>
      </c>
      <c r="D1798" t="inlineStr">
        <is>
          <t>FD371BF1F7F7</t>
        </is>
      </c>
      <c r="E1798" s="24">
        <f>LEFT(D1798,2)&amp;":"&amp;MID(D1798,3,2)&amp;":"&amp;MID(D1798,5,2)&amp;":"&amp;MID(D1798,7,2)&amp;":"&amp;MID(D1798,9,2)&amp;":"&amp;RIGHT(D1798,2)</f>
        <v/>
      </c>
      <c r="H1798" s="2" t="inlineStr">
        <is>
          <t>9831672ACFFB2E37</t>
        </is>
      </c>
      <c r="J1798" t="inlineStr">
        <is>
          <t>VIEZO0000000000000620</t>
        </is>
      </c>
      <c r="N1798" s="99" t="inlineStr">
        <is>
          <t>Nexxiot</t>
        </is>
      </c>
    </row>
    <row r="1799">
      <c r="A1799" s="32" t="inlineStr">
        <is>
          <t>TANKWAGON</t>
        </is>
      </c>
      <c r="B1799" s="24">
        <f>IFERROR(INDEX(Companies!$A$3:$A$101,MATCH(A1799,Companies!$B$3:$B$101,0)),"")</f>
        <v/>
      </c>
      <c r="D1799" t="inlineStr">
        <is>
          <t>C1681D711C08</t>
        </is>
      </c>
      <c r="E1799" s="24">
        <f>LEFT(D1799,2)&amp;":"&amp;MID(D1799,3,2)&amp;":"&amp;MID(D1799,5,2)&amp;":"&amp;MID(D1799,7,2)&amp;":"&amp;MID(D1799,9,2)&amp;":"&amp;RIGHT(D1799,2)</f>
        <v/>
      </c>
      <c r="H1799" s="2" t="inlineStr">
        <is>
          <t>F2EFA7F620BBA02B</t>
        </is>
      </c>
      <c r="J1799" t="inlineStr">
        <is>
          <t>VIEZO0000000000000621</t>
        </is>
      </c>
    </row>
    <row r="1800">
      <c r="A1800" s="32" t="inlineStr">
        <is>
          <t>TANKWAGON</t>
        </is>
      </c>
      <c r="B1800" s="24">
        <f>IFERROR(INDEX(Companies!$A$3:$A$101,MATCH(A1800,Companies!$B$3:$B$101,0)),"")</f>
        <v/>
      </c>
      <c r="D1800" t="inlineStr">
        <is>
          <t>EDC8383C7D7A</t>
        </is>
      </c>
      <c r="E1800" s="24">
        <f>LEFT(D1800,2)&amp;":"&amp;MID(D1800,3,2)&amp;":"&amp;MID(D1800,5,2)&amp;":"&amp;MID(D1800,7,2)&amp;":"&amp;MID(D1800,9,2)&amp;":"&amp;RIGHT(D1800,2)</f>
        <v/>
      </c>
      <c r="H1800" s="2" t="inlineStr">
        <is>
          <t>04097323B68A0942</t>
        </is>
      </c>
      <c r="J1800" t="inlineStr">
        <is>
          <t>VIEZO0000000000000622</t>
        </is>
      </c>
    </row>
    <row r="1801">
      <c r="A1801" s="32" t="inlineStr">
        <is>
          <t>TANKWAGON</t>
        </is>
      </c>
      <c r="B1801" s="24">
        <f>IFERROR(INDEX(Companies!$A$3:$A$101,MATCH(A1801,Companies!$B$3:$B$101,0)),"")</f>
        <v/>
      </c>
      <c r="D1801" t="inlineStr">
        <is>
          <t>CAF01E54D777</t>
        </is>
      </c>
      <c r="E1801" s="24">
        <f>LEFT(D1801,2)&amp;":"&amp;MID(D1801,3,2)&amp;":"&amp;MID(D1801,5,2)&amp;":"&amp;MID(D1801,7,2)&amp;":"&amp;MID(D1801,9,2)&amp;":"&amp;RIGHT(D1801,2)</f>
        <v/>
      </c>
      <c r="H1801" s="2" t="inlineStr">
        <is>
          <t>288E446BD0556E2C</t>
        </is>
      </c>
      <c r="J1801" t="inlineStr">
        <is>
          <t>VIEZO0000000000000623</t>
        </is>
      </c>
    </row>
    <row r="1802">
      <c r="A1802" s="32" t="inlineStr">
        <is>
          <t>TANKWAGON</t>
        </is>
      </c>
      <c r="B1802" s="24">
        <f>IFERROR(INDEX(Companies!$A$3:$A$101,MATCH(A1802,Companies!$B$3:$B$101,0)),"")</f>
        <v/>
      </c>
      <c r="D1802" t="inlineStr">
        <is>
          <t>FB568C442948</t>
        </is>
      </c>
      <c r="E1802" s="24">
        <f>LEFT(D1802,2)&amp;":"&amp;MID(D1802,3,2)&amp;":"&amp;MID(D1802,5,2)&amp;":"&amp;MID(D1802,7,2)&amp;":"&amp;MID(D1802,9,2)&amp;":"&amp;RIGHT(D1802,2)</f>
        <v/>
      </c>
      <c r="H1802" s="2" t="inlineStr">
        <is>
          <t>6B4335A0FC96A152</t>
        </is>
      </c>
      <c r="J1802" t="inlineStr">
        <is>
          <t>VIEZO0000000000000624</t>
        </is>
      </c>
    </row>
    <row r="1803">
      <c r="A1803" s="32" t="inlineStr">
        <is>
          <t>TANKWAGON</t>
        </is>
      </c>
      <c r="B1803" s="24">
        <f>IFERROR(INDEX(Companies!$A$3:$A$101,MATCH(A1803,Companies!$B$3:$B$101,0)),"")</f>
        <v/>
      </c>
      <c r="D1803" t="inlineStr">
        <is>
          <t>EA3C37081EDB</t>
        </is>
      </c>
      <c r="E1803" s="24">
        <f>LEFT(D1803,2)&amp;":"&amp;MID(D1803,3,2)&amp;":"&amp;MID(D1803,5,2)&amp;":"&amp;MID(D1803,7,2)&amp;":"&amp;MID(D1803,9,2)&amp;":"&amp;RIGHT(D1803,2)</f>
        <v/>
      </c>
      <c r="H1803" s="2" t="inlineStr">
        <is>
          <t>2B8DB0316435A3DF</t>
        </is>
      </c>
      <c r="J1803" t="inlineStr">
        <is>
          <t>VIEZO0000000000000625</t>
        </is>
      </c>
    </row>
    <row r="1804">
      <c r="A1804" s="32" t="inlineStr">
        <is>
          <t>TANKWAGON</t>
        </is>
      </c>
      <c r="B1804" s="24">
        <f>IFERROR(INDEX(Companies!$A$3:$A$101,MATCH(A1804,Companies!$B$3:$B$101,0)),"")</f>
        <v/>
      </c>
      <c r="D1804" t="inlineStr">
        <is>
          <t>E469E0CA414E</t>
        </is>
      </c>
      <c r="E1804" s="24">
        <f>LEFT(D1804,2)&amp;":"&amp;MID(D1804,3,2)&amp;":"&amp;MID(D1804,5,2)&amp;":"&amp;MID(D1804,7,2)&amp;":"&amp;MID(D1804,9,2)&amp;":"&amp;RIGHT(D1804,2)</f>
        <v/>
      </c>
      <c r="H1804" s="2" t="inlineStr">
        <is>
          <t>1CA45AE859FDC97F</t>
        </is>
      </c>
      <c r="J1804" t="inlineStr">
        <is>
          <t>VIEZO0000000000000626</t>
        </is>
      </c>
    </row>
    <row r="1805">
      <c r="A1805" s="32" t="inlineStr">
        <is>
          <t>TANKWAGON</t>
        </is>
      </c>
      <c r="B1805" s="24">
        <f>IFERROR(INDEX(Companies!$A$3:$A$101,MATCH(A1805,Companies!$B$3:$B$101,0)),"")</f>
        <v/>
      </c>
      <c r="D1805" t="inlineStr">
        <is>
          <t>E041F5833A67</t>
        </is>
      </c>
      <c r="E1805" s="24">
        <f>LEFT(D1805,2)&amp;":"&amp;MID(D1805,3,2)&amp;":"&amp;MID(D1805,5,2)&amp;":"&amp;MID(D1805,7,2)&amp;":"&amp;MID(D1805,9,2)&amp;":"&amp;RIGHT(D1805,2)</f>
        <v/>
      </c>
      <c r="H1805" s="2" t="inlineStr">
        <is>
          <t>37649538707379F8</t>
        </is>
      </c>
      <c r="J1805" t="inlineStr">
        <is>
          <t>VIEZO0000000000000627</t>
        </is>
      </c>
    </row>
    <row r="1806">
      <c r="A1806" s="32" t="inlineStr">
        <is>
          <t>TANKWAGON</t>
        </is>
      </c>
      <c r="B1806" s="24">
        <f>IFERROR(INDEX(Companies!$A$3:$A$101,MATCH(A1806,Companies!$B$3:$B$101,0)),"")</f>
        <v/>
      </c>
      <c r="D1806" t="inlineStr">
        <is>
          <t>FDF20EC3EEA8</t>
        </is>
      </c>
      <c r="E1806" s="24">
        <f>LEFT(D1806,2)&amp;":"&amp;MID(D1806,3,2)&amp;":"&amp;MID(D1806,5,2)&amp;":"&amp;MID(D1806,7,2)&amp;":"&amp;MID(D1806,9,2)&amp;":"&amp;RIGHT(D1806,2)</f>
        <v/>
      </c>
      <c r="H1806" s="2" t="inlineStr">
        <is>
          <t>DA82D30AE3321355</t>
        </is>
      </c>
      <c r="J1806" t="inlineStr">
        <is>
          <t>VIEZO0000000000000628</t>
        </is>
      </c>
    </row>
    <row r="1807">
      <c r="A1807" s="32" t="inlineStr">
        <is>
          <t>TANKWAGON</t>
        </is>
      </c>
      <c r="B1807" s="24">
        <f>IFERROR(INDEX(Companies!$A$3:$A$101,MATCH(A1807,Companies!$B$3:$B$101,0)),"")</f>
        <v/>
      </c>
      <c r="D1807" t="inlineStr">
        <is>
          <t>C566BDF0D09A</t>
        </is>
      </c>
      <c r="E1807" s="24">
        <f>LEFT(D1807,2)&amp;":"&amp;MID(D1807,3,2)&amp;":"&amp;MID(D1807,5,2)&amp;":"&amp;MID(D1807,7,2)&amp;":"&amp;MID(D1807,9,2)&amp;":"&amp;RIGHT(D1807,2)</f>
        <v/>
      </c>
      <c r="H1807" s="2" t="inlineStr">
        <is>
          <t>758DA9499762A4A9</t>
        </is>
      </c>
      <c r="J1807" t="inlineStr">
        <is>
          <t>VIEZO0000000000000629</t>
        </is>
      </c>
    </row>
    <row r="1808">
      <c r="A1808" s="32" t="inlineStr">
        <is>
          <t>TANKWAGON</t>
        </is>
      </c>
      <c r="B1808" s="24">
        <f>IFERROR(INDEX(Companies!$A$3:$A$101,MATCH(A1808,Companies!$B$3:$B$101,0)),"")</f>
        <v/>
      </c>
      <c r="D1808" t="inlineStr">
        <is>
          <t>C692E84BE719</t>
        </is>
      </c>
      <c r="E1808" s="24">
        <f>LEFT(D1808,2)&amp;":"&amp;MID(D1808,3,2)&amp;":"&amp;MID(D1808,5,2)&amp;":"&amp;MID(D1808,7,2)&amp;":"&amp;MID(D1808,9,2)&amp;":"&amp;RIGHT(D1808,2)</f>
        <v/>
      </c>
      <c r="H1808" s="2" t="inlineStr">
        <is>
          <t>A7ED2AF2869E1B10</t>
        </is>
      </c>
      <c r="J1808" t="inlineStr">
        <is>
          <t>VIEZO0000000000000630</t>
        </is>
      </c>
    </row>
    <row r="1809">
      <c r="A1809" s="32" t="inlineStr">
        <is>
          <t>TANKWAGON</t>
        </is>
      </c>
      <c r="B1809" s="24">
        <f>IFERROR(INDEX(Companies!$A$3:$A$101,MATCH(A1809,Companies!$B$3:$B$101,0)),"")</f>
        <v/>
      </c>
      <c r="D1809" t="inlineStr">
        <is>
          <t>E9352DE0ACA1</t>
        </is>
      </c>
      <c r="E1809" s="24">
        <f>LEFT(D1809,2)&amp;":"&amp;MID(D1809,3,2)&amp;":"&amp;MID(D1809,5,2)&amp;":"&amp;MID(D1809,7,2)&amp;":"&amp;MID(D1809,9,2)&amp;":"&amp;RIGHT(D1809,2)</f>
        <v/>
      </c>
      <c r="H1809" s="2" t="inlineStr">
        <is>
          <t>F29C1295632AAB5F</t>
        </is>
      </c>
      <c r="J1809" t="inlineStr">
        <is>
          <t>VIEZO0000000000000631</t>
        </is>
      </c>
    </row>
    <row r="1810">
      <c r="A1810" s="32" t="inlineStr">
        <is>
          <t>TANKWAGON</t>
        </is>
      </c>
      <c r="B1810" s="24">
        <f>IFERROR(INDEX(Companies!$A$3:$A$101,MATCH(A1810,Companies!$B$3:$B$101,0)),"")</f>
        <v/>
      </c>
      <c r="D1810" t="inlineStr">
        <is>
          <t>DE115AB9A7ED</t>
        </is>
      </c>
      <c r="E1810" s="24">
        <f>LEFT(D1810,2)&amp;":"&amp;MID(D1810,3,2)&amp;":"&amp;MID(D1810,5,2)&amp;":"&amp;MID(D1810,7,2)&amp;":"&amp;MID(D1810,9,2)&amp;":"&amp;RIGHT(D1810,2)</f>
        <v/>
      </c>
      <c r="H1810" s="2" t="inlineStr">
        <is>
          <t>450507DE23E2AE56</t>
        </is>
      </c>
      <c r="J1810" t="inlineStr">
        <is>
          <t>VIEZO0000000000000632</t>
        </is>
      </c>
    </row>
    <row r="1811">
      <c r="A1811" s="32" t="inlineStr">
        <is>
          <t>TANKWAGON</t>
        </is>
      </c>
      <c r="B1811" s="24">
        <f>IFERROR(INDEX(Companies!$A$3:$A$101,MATCH(A1811,Companies!$B$3:$B$101,0)),"")</f>
        <v/>
      </c>
      <c r="D1811" t="inlineStr">
        <is>
          <t>F0CCD963A0CE</t>
        </is>
      </c>
      <c r="E1811" s="24">
        <f>LEFT(D1811,2)&amp;":"&amp;MID(D1811,3,2)&amp;":"&amp;MID(D1811,5,2)&amp;":"&amp;MID(D1811,7,2)&amp;":"&amp;MID(D1811,9,2)&amp;":"&amp;RIGHT(D1811,2)</f>
        <v/>
      </c>
      <c r="H1811" s="2" t="inlineStr">
        <is>
          <t>467F4325F41B453F</t>
        </is>
      </c>
      <c r="J1811" t="inlineStr">
        <is>
          <t>VIEZO0000000000000633</t>
        </is>
      </c>
      <c r="N1811" s="99" t="inlineStr">
        <is>
          <t>Nexxiot</t>
        </is>
      </c>
    </row>
    <row r="1812">
      <c r="A1812" s="32" t="inlineStr">
        <is>
          <t>TANKWAGON</t>
        </is>
      </c>
      <c r="B1812" s="24">
        <f>IFERROR(INDEX(Companies!$A$3:$A$101,MATCH(A1812,Companies!$B$3:$B$101,0)),"")</f>
        <v/>
      </c>
      <c r="D1812" t="inlineStr">
        <is>
          <t>D9BB7A6E4165</t>
        </is>
      </c>
      <c r="E1812" s="24">
        <f>LEFT(D1812,2)&amp;":"&amp;MID(D1812,3,2)&amp;":"&amp;MID(D1812,5,2)&amp;":"&amp;MID(D1812,7,2)&amp;":"&amp;MID(D1812,9,2)&amp;":"&amp;RIGHT(D1812,2)</f>
        <v/>
      </c>
      <c r="H1812" s="2" t="inlineStr">
        <is>
          <t>1EC855F12417E706</t>
        </is>
      </c>
      <c r="J1812" t="inlineStr">
        <is>
          <t>VIEZO0000000000000634</t>
        </is>
      </c>
    </row>
    <row r="1813">
      <c r="A1813" s="32" t="inlineStr">
        <is>
          <t>TANKWAGON</t>
        </is>
      </c>
      <c r="B1813" s="24">
        <f>IFERROR(INDEX(Companies!$A$3:$A$101,MATCH(A1813,Companies!$B$3:$B$101,0)),"")</f>
        <v/>
      </c>
      <c r="D1813" t="inlineStr">
        <is>
          <t>D1133214B17E</t>
        </is>
      </c>
      <c r="E1813" s="24">
        <f>LEFT(D1813,2)&amp;":"&amp;MID(D1813,3,2)&amp;":"&amp;MID(D1813,5,2)&amp;":"&amp;MID(D1813,7,2)&amp;":"&amp;MID(D1813,9,2)&amp;":"&amp;RIGHT(D1813,2)</f>
        <v/>
      </c>
      <c r="H1813" s="2" t="inlineStr">
        <is>
          <t>EF09FD47BABB41BF</t>
        </is>
      </c>
      <c r="J1813" t="inlineStr">
        <is>
          <t>VIEZO0000000000000635</t>
        </is>
      </c>
      <c r="N1813" s="99" t="inlineStr">
        <is>
          <t>Nexxiot</t>
        </is>
      </c>
    </row>
    <row r="1814">
      <c r="A1814" s="32" t="inlineStr">
        <is>
          <t>TANKWAGON</t>
        </is>
      </c>
      <c r="B1814" s="24">
        <f>IFERROR(INDEX(Companies!$A$3:$A$101,MATCH(A1814,Companies!$B$3:$B$101,0)),"")</f>
        <v/>
      </c>
      <c r="D1814" t="inlineStr">
        <is>
          <t>FD09755E024D</t>
        </is>
      </c>
      <c r="E1814" s="24">
        <f>LEFT(D1814,2)&amp;":"&amp;MID(D1814,3,2)&amp;":"&amp;MID(D1814,5,2)&amp;":"&amp;MID(D1814,7,2)&amp;":"&amp;MID(D1814,9,2)&amp;":"&amp;RIGHT(D1814,2)</f>
        <v/>
      </c>
      <c r="H1814" s="2" t="inlineStr">
        <is>
          <t>26180CD9AF68D96C</t>
        </is>
      </c>
      <c r="J1814" t="inlineStr">
        <is>
          <t>VIEZO0000000000000636</t>
        </is>
      </c>
    </row>
    <row r="1815">
      <c r="A1815" s="32" t="inlineStr">
        <is>
          <t>TANKWAGON</t>
        </is>
      </c>
      <c r="B1815" s="24">
        <f>IFERROR(INDEX(Companies!$A$3:$A$101,MATCH(A1815,Companies!$B$3:$B$101,0)),"")</f>
        <v/>
      </c>
      <c r="D1815" t="inlineStr">
        <is>
          <t>EADF464A5633</t>
        </is>
      </c>
      <c r="E1815" s="24">
        <f>LEFT(D1815,2)&amp;":"&amp;MID(D1815,3,2)&amp;":"&amp;MID(D1815,5,2)&amp;":"&amp;MID(D1815,7,2)&amp;":"&amp;MID(D1815,9,2)&amp;":"&amp;RIGHT(D1815,2)</f>
        <v/>
      </c>
      <c r="H1815" s="2" t="inlineStr">
        <is>
          <t>0426DA6C13349E64</t>
        </is>
      </c>
      <c r="J1815" t="inlineStr">
        <is>
          <t>VIEZO0000000000000637</t>
        </is>
      </c>
      <c r="N1815" s="99" t="inlineStr">
        <is>
          <t>Nexxiot</t>
        </is>
      </c>
    </row>
    <row r="1816">
      <c r="A1816" s="32" t="inlineStr">
        <is>
          <t>TANKWAGON</t>
        </is>
      </c>
      <c r="B1816" s="24">
        <f>IFERROR(INDEX(Companies!$A$3:$A$101,MATCH(A1816,Companies!$B$3:$B$101,0)),"")</f>
        <v/>
      </c>
      <c r="D1816" t="inlineStr">
        <is>
          <t>D357A1C8C524</t>
        </is>
      </c>
      <c r="E1816" s="24">
        <f>LEFT(D1816,2)&amp;":"&amp;MID(D1816,3,2)&amp;":"&amp;MID(D1816,5,2)&amp;":"&amp;MID(D1816,7,2)&amp;":"&amp;MID(D1816,9,2)&amp;":"&amp;RIGHT(D1816,2)</f>
        <v/>
      </c>
      <c r="H1816" s="2" t="inlineStr">
        <is>
          <t>C462A201C740B6EA</t>
        </is>
      </c>
      <c r="J1816" t="inlineStr">
        <is>
          <t>VIEZO0000000000000638</t>
        </is>
      </c>
    </row>
    <row r="1817">
      <c r="A1817" s="32" t="inlineStr">
        <is>
          <t>TANKWAGON</t>
        </is>
      </c>
      <c r="B1817" s="24">
        <f>IFERROR(INDEX(Companies!$A$3:$A$101,MATCH(A1817,Companies!$B$3:$B$101,0)),"")</f>
        <v/>
      </c>
      <c r="D1817" t="inlineStr">
        <is>
          <t>CD2BE6F27BD0</t>
        </is>
      </c>
      <c r="E1817" s="24">
        <f>LEFT(D1817,2)&amp;":"&amp;MID(D1817,3,2)&amp;":"&amp;MID(D1817,5,2)&amp;":"&amp;MID(D1817,7,2)&amp;":"&amp;MID(D1817,9,2)&amp;":"&amp;RIGHT(D1817,2)</f>
        <v/>
      </c>
      <c r="F1817" s="29" t="n">
        <v>45260</v>
      </c>
      <c r="G1817" s="29" t="inlineStr">
        <is>
          <t>Tankwagon</t>
        </is>
      </c>
      <c r="H1817" s="2" t="inlineStr">
        <is>
          <t>A28770CE73DC8686</t>
        </is>
      </c>
      <c r="J1817" t="inlineStr">
        <is>
          <t>VIEZO0000000000000639</t>
        </is>
      </c>
      <c r="K1817" s="27" t="inlineStr">
        <is>
          <t>33877916666-3</t>
        </is>
      </c>
      <c r="L1817" s="27" t="inlineStr">
        <is>
          <t>4L</t>
        </is>
      </c>
    </row>
    <row r="1818">
      <c r="A1818" s="32" t="inlineStr">
        <is>
          <t>TANKWAGON</t>
        </is>
      </c>
      <c r="B1818" s="24">
        <f>IFERROR(INDEX(Companies!$A$3:$A$101,MATCH(A1818,Companies!$B$3:$B$101,0)),"")</f>
        <v/>
      </c>
      <c r="D1818" t="inlineStr">
        <is>
          <t>FCE481AA80CB</t>
        </is>
      </c>
      <c r="E1818" s="24">
        <f>LEFT(D1818,2)&amp;":"&amp;MID(D1818,3,2)&amp;":"&amp;MID(D1818,5,2)&amp;":"&amp;MID(D1818,7,2)&amp;":"&amp;MID(D1818,9,2)&amp;":"&amp;RIGHT(D1818,2)</f>
        <v/>
      </c>
      <c r="F1818" s="29" t="n">
        <v>45260</v>
      </c>
      <c r="G1818" s="29" t="inlineStr">
        <is>
          <t>Tankwagon</t>
        </is>
      </c>
      <c r="H1818" s="2" t="inlineStr">
        <is>
          <t>982166CE5E81675E</t>
        </is>
      </c>
      <c r="J1818" t="inlineStr">
        <is>
          <t>VIEZO0000000000000640</t>
        </is>
      </c>
      <c r="K1818" s="27" t="inlineStr">
        <is>
          <t>33807920015-4</t>
        </is>
      </c>
      <c r="L1818" s="27" t="inlineStr">
        <is>
          <t>2L</t>
        </is>
      </c>
    </row>
    <row r="1819">
      <c r="A1819" s="32" t="inlineStr">
        <is>
          <t>TANKWAGON</t>
        </is>
      </c>
      <c r="B1819" s="24">
        <f>IFERROR(INDEX(Companies!$A$3:$A$101,MATCH(A1819,Companies!$B$3:$B$101,0)),"")</f>
        <v/>
      </c>
      <c r="D1819" t="inlineStr">
        <is>
          <t>CA9875A486BD</t>
        </is>
      </c>
      <c r="E1819" s="24">
        <f>LEFT(D1819,2)&amp;":"&amp;MID(D1819,3,2)&amp;":"&amp;MID(D1819,5,2)&amp;":"&amp;MID(D1819,7,2)&amp;":"&amp;MID(D1819,9,2)&amp;":"&amp;RIGHT(D1819,2)</f>
        <v/>
      </c>
      <c r="H1819" s="2" t="inlineStr">
        <is>
          <t>A6A65D9BFE7B8F51</t>
        </is>
      </c>
      <c r="J1819" t="inlineStr">
        <is>
          <t>VIEZO0000000000000641</t>
        </is>
      </c>
      <c r="N1819" s="99" t="inlineStr">
        <is>
          <t>Nexxiot</t>
        </is>
      </c>
    </row>
    <row r="1820">
      <c r="A1820" s="32" t="inlineStr">
        <is>
          <t>TANKWAGON</t>
        </is>
      </c>
      <c r="B1820" s="24">
        <f>IFERROR(INDEX(Companies!$A$3:$A$101,MATCH(A1820,Companies!$B$3:$B$101,0)),"")</f>
        <v/>
      </c>
      <c r="D1820" t="inlineStr">
        <is>
          <t>EB2B813654BE</t>
        </is>
      </c>
      <c r="E1820" s="24">
        <f>LEFT(D1820,2)&amp;":"&amp;MID(D1820,3,2)&amp;":"&amp;MID(D1820,5,2)&amp;":"&amp;MID(D1820,7,2)&amp;":"&amp;MID(D1820,9,2)&amp;":"&amp;RIGHT(D1820,2)</f>
        <v/>
      </c>
      <c r="H1820" s="2" t="inlineStr">
        <is>
          <t>D7992779388C8416</t>
        </is>
      </c>
      <c r="J1820" t="inlineStr">
        <is>
          <t>VIEZO0000000000000642</t>
        </is>
      </c>
      <c r="N1820" s="99" t="inlineStr">
        <is>
          <t>Nexxiot</t>
        </is>
      </c>
    </row>
    <row r="1821">
      <c r="A1821" s="32" t="inlineStr">
        <is>
          <t>TANKWAGON</t>
        </is>
      </c>
      <c r="B1821" s="24">
        <f>IFERROR(INDEX(Companies!$A$3:$A$101,MATCH(A1821,Companies!$B$3:$B$101,0)),"")</f>
        <v/>
      </c>
      <c r="D1821" t="inlineStr">
        <is>
          <t>E1F574910B17</t>
        </is>
      </c>
      <c r="E1821" s="24">
        <f>LEFT(D1821,2)&amp;":"&amp;MID(D1821,3,2)&amp;":"&amp;MID(D1821,5,2)&amp;":"&amp;MID(D1821,7,2)&amp;":"&amp;MID(D1821,9,2)&amp;":"&amp;RIGHT(D1821,2)</f>
        <v/>
      </c>
      <c r="F1821" s="29" t="n">
        <v>45260</v>
      </c>
      <c r="G1821" s="29" t="inlineStr">
        <is>
          <t>Tankwagon</t>
        </is>
      </c>
      <c r="H1821" s="2" t="inlineStr">
        <is>
          <t>E35B66070C45BFCC</t>
        </is>
      </c>
      <c r="J1821" t="inlineStr">
        <is>
          <t>VIEZO0000000000000643</t>
        </is>
      </c>
      <c r="K1821" s="27" t="inlineStr">
        <is>
          <t>33877916666-3</t>
        </is>
      </c>
      <c r="L1821" s="27" t="inlineStr">
        <is>
          <t>2R</t>
        </is>
      </c>
      <c r="N1821" s="99" t="inlineStr">
        <is>
          <t>Nexxiot</t>
        </is>
      </c>
    </row>
    <row r="1822">
      <c r="A1822" s="32" t="inlineStr">
        <is>
          <t>TANKWAGON</t>
        </is>
      </c>
      <c r="B1822" s="24">
        <f>IFERROR(INDEX(Companies!$A$3:$A$101,MATCH(A1822,Companies!$B$3:$B$101,0)),"")</f>
        <v/>
      </c>
      <c r="D1822" t="inlineStr">
        <is>
          <t>F19E3ECA473C</t>
        </is>
      </c>
      <c r="E1822" s="24">
        <f>LEFT(D1822,2)&amp;":"&amp;MID(D1822,3,2)&amp;":"&amp;MID(D1822,5,2)&amp;":"&amp;MID(D1822,7,2)&amp;":"&amp;MID(D1822,9,2)&amp;":"&amp;RIGHT(D1822,2)</f>
        <v/>
      </c>
      <c r="H1822" s="2" t="inlineStr">
        <is>
          <t>2E7B889BE8EA38A8</t>
        </is>
      </c>
      <c r="J1822" t="inlineStr">
        <is>
          <t>VIEZO0000000000000644</t>
        </is>
      </c>
    </row>
    <row r="1823">
      <c r="A1823" s="32" t="inlineStr">
        <is>
          <t>TANKWAGON</t>
        </is>
      </c>
      <c r="B1823" s="24">
        <f>IFERROR(INDEX(Companies!$A$3:$A$101,MATCH(A1823,Companies!$B$3:$B$101,0)),"")</f>
        <v/>
      </c>
      <c r="D1823" t="inlineStr">
        <is>
          <t>F580780974BB</t>
        </is>
      </c>
      <c r="E1823" s="24">
        <f>LEFT(D1823,2)&amp;":"&amp;MID(D1823,3,2)&amp;":"&amp;MID(D1823,5,2)&amp;":"&amp;MID(D1823,7,2)&amp;":"&amp;MID(D1823,9,2)&amp;":"&amp;RIGHT(D1823,2)</f>
        <v/>
      </c>
      <c r="H1823" s="2" t="inlineStr">
        <is>
          <t>488490BD648404AF</t>
        </is>
      </c>
      <c r="J1823" t="inlineStr">
        <is>
          <t>VIEZO0000000000000645</t>
        </is>
      </c>
    </row>
    <row r="1824">
      <c r="A1824" s="32" t="inlineStr">
        <is>
          <t>TANKWAGON</t>
        </is>
      </c>
      <c r="B1824" s="24">
        <f>IFERROR(INDEX(Companies!$A$3:$A$101,MATCH(A1824,Companies!$B$3:$B$101,0)),"")</f>
        <v/>
      </c>
      <c r="D1824" t="inlineStr">
        <is>
          <t>DDA37FE8C041</t>
        </is>
      </c>
      <c r="E1824" s="24">
        <f>LEFT(D1824,2)&amp;":"&amp;MID(D1824,3,2)&amp;":"&amp;MID(D1824,5,2)&amp;":"&amp;MID(D1824,7,2)&amp;":"&amp;MID(D1824,9,2)&amp;":"&amp;RIGHT(D1824,2)</f>
        <v/>
      </c>
      <c r="H1824" s="2" t="inlineStr">
        <is>
          <t>BAFE38C633B4B951</t>
        </is>
      </c>
      <c r="J1824" t="inlineStr">
        <is>
          <t>VIEZO0000000000000646</t>
        </is>
      </c>
    </row>
    <row r="1825">
      <c r="A1825" s="32" t="inlineStr">
        <is>
          <t>TANKWAGON</t>
        </is>
      </c>
      <c r="B1825" s="24">
        <f>IFERROR(INDEX(Companies!$A$3:$A$101,MATCH(A1825,Companies!$B$3:$B$101,0)),"")</f>
        <v/>
      </c>
      <c r="D1825" t="inlineStr">
        <is>
          <t>D6360DB79C11</t>
        </is>
      </c>
      <c r="E1825" s="24">
        <f>LEFT(D1825,2)&amp;":"&amp;MID(D1825,3,2)&amp;":"&amp;MID(D1825,5,2)&amp;":"&amp;MID(D1825,7,2)&amp;":"&amp;MID(D1825,9,2)&amp;":"&amp;RIGHT(D1825,2)</f>
        <v/>
      </c>
      <c r="H1825" s="2" t="inlineStr">
        <is>
          <t>19FD86335ACFE9EA</t>
        </is>
      </c>
      <c r="J1825" t="inlineStr">
        <is>
          <t>VIEZO0000000000000647</t>
        </is>
      </c>
    </row>
    <row r="1826">
      <c r="A1826" s="32" t="inlineStr">
        <is>
          <t>TANKWAGON</t>
        </is>
      </c>
      <c r="B1826" s="24">
        <f>IFERROR(INDEX(Companies!$A$3:$A$101,MATCH(A1826,Companies!$B$3:$B$101,0)),"")</f>
        <v/>
      </c>
      <c r="D1826" t="inlineStr">
        <is>
          <t>E0B1C58C9DDA</t>
        </is>
      </c>
      <c r="E1826" s="24">
        <f>LEFT(D1826,2)&amp;":"&amp;MID(D1826,3,2)&amp;":"&amp;MID(D1826,5,2)&amp;":"&amp;MID(D1826,7,2)&amp;":"&amp;MID(D1826,9,2)&amp;":"&amp;RIGHT(D1826,2)</f>
        <v/>
      </c>
      <c r="H1826" s="2" t="inlineStr">
        <is>
          <t>74B27925014532D5</t>
        </is>
      </c>
      <c r="J1826" t="inlineStr">
        <is>
          <t>VIEZO0000000000000648</t>
        </is>
      </c>
    </row>
    <row r="1827">
      <c r="A1827" s="32" t="inlineStr">
        <is>
          <t>TALGO</t>
        </is>
      </c>
      <c r="B1827">
        <f>IFERROR(INDEX(Companies!$A$3:$A$101,MATCH(A1827,Companies!$B$3:$B$101,0)),"")</f>
        <v/>
      </c>
      <c r="D1827" t="inlineStr">
        <is>
          <t>C97B6C85D244</t>
        </is>
      </c>
      <c r="E1827" s="24">
        <f>LEFT(D1827,2)&amp;":"&amp;MID(D1827,3,2)&amp;":"&amp;MID(D1827,5,2)&amp;":"&amp;MID(D1827,7,2)&amp;":"&amp;MID(D1827,9,2)&amp;":"&amp;RIGHT(D1827,2)</f>
        <v/>
      </c>
      <c r="H1827" t="inlineStr">
        <is>
          <t>F9AC0FF6BB2456B0</t>
        </is>
      </c>
      <c r="J1827" s="115" t="inlineStr">
        <is>
          <t>F9AC0FF6BB2456B0</t>
        </is>
      </c>
      <c r="N1827" s="99" t="inlineStr">
        <is>
          <t>recovered-round-1</t>
        </is>
      </c>
    </row>
    <row r="1828">
      <c r="A1828" s="32" t="inlineStr">
        <is>
          <t>TALGO</t>
        </is>
      </c>
      <c r="B1828">
        <f>IFERROR(INDEX(Companies!$A$3:$A$101,MATCH(A1828,Companies!$B$3:$B$101,0)),"")</f>
        <v/>
      </c>
      <c r="D1828" t="inlineStr">
        <is>
          <t>EBAA9422A4A9</t>
        </is>
      </c>
      <c r="E1828" s="24">
        <f>LEFT(D1828,2)&amp;":"&amp;MID(D1828,3,2)&amp;":"&amp;MID(D1828,5,2)&amp;":"&amp;MID(D1828,7,2)&amp;":"&amp;MID(D1828,9,2)&amp;":"&amp;RIGHT(D1828,2)</f>
        <v/>
      </c>
      <c r="H1828" t="inlineStr">
        <is>
          <t>2085F351E85A93D1</t>
        </is>
      </c>
      <c r="J1828" t="inlineStr">
        <is>
          <t>2085F351E85A93D1</t>
        </is>
      </c>
      <c r="N1828" s="99" t="inlineStr">
        <is>
          <t>Nexxiot</t>
        </is>
      </c>
    </row>
    <row r="1829">
      <c r="A1829" s="32" t="inlineStr">
        <is>
          <t>TALGO</t>
        </is>
      </c>
      <c r="B1829">
        <f>IFERROR(INDEX(Companies!$A$3:$A$101,MATCH(A1829,Companies!$B$3:$B$101,0)),"")</f>
        <v/>
      </c>
      <c r="D1829" t="inlineStr">
        <is>
          <t>F3F0ABFDC02C</t>
        </is>
      </c>
      <c r="E1829" s="24">
        <f>LEFT(D1829,2)&amp;":"&amp;MID(D1829,3,2)&amp;":"&amp;MID(D1829,5,2)&amp;":"&amp;MID(D1829,7,2)&amp;":"&amp;MID(D1829,9,2)&amp;":"&amp;RIGHT(D1829,2)</f>
        <v/>
      </c>
      <c r="H1829" t="inlineStr">
        <is>
          <t>62936B2B4F9F3560</t>
        </is>
      </c>
      <c r="J1829" t="inlineStr">
        <is>
          <t>62936B2B4F9F3560</t>
        </is>
      </c>
      <c r="N1829" s="99" t="inlineStr">
        <is>
          <t>Nexxiot</t>
        </is>
      </c>
    </row>
    <row r="1830">
      <c r="A1830" s="32" t="inlineStr">
        <is>
          <t>TALGO</t>
        </is>
      </c>
      <c r="B1830">
        <f>IFERROR(INDEX(Companies!$A$3:$A$101,MATCH(A1830,Companies!$B$3:$B$101,0)),"")</f>
        <v/>
      </c>
      <c r="D1830" t="inlineStr">
        <is>
          <t>DC795956E9B5</t>
        </is>
      </c>
      <c r="E1830" s="24">
        <f>LEFT(D1830,2)&amp;":"&amp;MID(D1830,3,2)&amp;":"&amp;MID(D1830,5,2)&amp;":"&amp;MID(D1830,7,2)&amp;":"&amp;MID(D1830,9,2)&amp;":"&amp;RIGHT(D1830,2)</f>
        <v/>
      </c>
      <c r="H1830" t="inlineStr">
        <is>
          <t>CFB87DDF53D73FBD</t>
        </is>
      </c>
      <c r="J1830" s="115" t="inlineStr">
        <is>
          <t>CFB87DDF53D73FBD</t>
        </is>
      </c>
      <c r="N1830" s="99" t="inlineStr">
        <is>
          <t>recovered-round-1</t>
        </is>
      </c>
    </row>
    <row r="1831">
      <c r="A1831" s="32" t="inlineStr">
        <is>
          <t>TALGO</t>
        </is>
      </c>
      <c r="B1831">
        <f>IFERROR(INDEX(Companies!$A$3:$A$101,MATCH(A1831,Companies!$B$3:$B$101,0)),"")</f>
        <v/>
      </c>
      <c r="D1831" t="inlineStr">
        <is>
          <t>D51D2DB930A4</t>
        </is>
      </c>
      <c r="E1831" s="24">
        <f>LEFT(D1831,2)&amp;":"&amp;MID(D1831,3,2)&amp;":"&amp;MID(D1831,5,2)&amp;":"&amp;MID(D1831,7,2)&amp;":"&amp;MID(D1831,9,2)&amp;":"&amp;RIGHT(D1831,2)</f>
        <v/>
      </c>
      <c r="H1831" t="inlineStr">
        <is>
          <t>C557CF4F48AC725A</t>
        </is>
      </c>
      <c r="J1831" s="115" t="inlineStr">
        <is>
          <t>C557CF4F48AC725A</t>
        </is>
      </c>
      <c r="N1831" s="99" t="inlineStr">
        <is>
          <t>recovered-round-1</t>
        </is>
      </c>
    </row>
    <row r="1832">
      <c r="A1832" s="32" t="inlineStr">
        <is>
          <t>TALGO</t>
        </is>
      </c>
      <c r="B1832">
        <f>IFERROR(INDEX(Companies!$A$3:$A$101,MATCH(A1832,Companies!$B$3:$B$101,0)),"")</f>
        <v/>
      </c>
      <c r="D1832" t="inlineStr">
        <is>
          <t>CA81A0EA1DA4</t>
        </is>
      </c>
      <c r="E1832" s="24">
        <f>LEFT(D1832,2)&amp;":"&amp;MID(D1832,3,2)&amp;":"&amp;MID(D1832,5,2)&amp;":"&amp;MID(D1832,7,2)&amp;":"&amp;MID(D1832,9,2)&amp;":"&amp;RIGHT(D1832,2)</f>
        <v/>
      </c>
      <c r="H1832" t="inlineStr">
        <is>
          <t>18DB135F4DAA3A7C</t>
        </is>
      </c>
      <c r="J1832" t="inlineStr">
        <is>
          <t>18DB135F4DAA3A7C</t>
        </is>
      </c>
      <c r="N1832" s="99" t="inlineStr">
        <is>
          <t>Nexxiot</t>
        </is>
      </c>
    </row>
    <row r="1833">
      <c r="A1833" s="32" t="inlineStr">
        <is>
          <t>SUJAN</t>
        </is>
      </c>
      <c r="B1833">
        <f>IFERROR(INDEX(Companies!$A$3:$A$101,MATCH(A1833,Companies!$B$3:$B$101,0)),"")</f>
        <v/>
      </c>
      <c r="D1833" t="inlineStr">
        <is>
          <t>DE8362622E1D</t>
        </is>
      </c>
      <c r="E1833" s="24">
        <f>LEFT(D1833,2)&amp;":"&amp;MID(D1833,3,2)&amp;":"&amp;MID(D1833,5,2)&amp;":"&amp;MID(D1833,7,2)&amp;":"&amp;MID(D1833,9,2)&amp;":"&amp;RIGHT(D1833,2)</f>
        <v/>
      </c>
      <c r="H1833" t="inlineStr">
        <is>
          <t>A7311051B3256521</t>
        </is>
      </c>
      <c r="J1833" t="inlineStr">
        <is>
          <t>VIEZO0000000000000655</t>
        </is>
      </c>
      <c r="N1833" s="99" t="inlineStr">
        <is>
          <t>Nexxiot</t>
        </is>
      </c>
    </row>
    <row r="1834">
      <c r="A1834" s="32" t="inlineStr">
        <is>
          <t>SUJAN</t>
        </is>
      </c>
      <c r="B1834">
        <f>IFERROR(INDEX(Companies!$A$3:$A$101,MATCH(A1834,Companies!$B$3:$B$101,0)),"")</f>
        <v/>
      </c>
      <c r="D1834" t="inlineStr">
        <is>
          <t>DD51317D19F2</t>
        </is>
      </c>
      <c r="E1834" s="24">
        <f>LEFT(D1834,2)&amp;":"&amp;MID(D1834,3,2)&amp;":"&amp;MID(D1834,5,2)&amp;":"&amp;MID(D1834,7,2)&amp;":"&amp;MID(D1834,9,2)&amp;":"&amp;RIGHT(D1834,2)</f>
        <v/>
      </c>
      <c r="H1834" t="inlineStr">
        <is>
          <t>7F63FA84C10C654E</t>
        </is>
      </c>
      <c r="J1834" t="inlineStr">
        <is>
          <t>VIEZO0000000000000656</t>
        </is>
      </c>
      <c r="N1834" s="99" t="inlineStr">
        <is>
          <t>Nexxiot</t>
        </is>
      </c>
    </row>
    <row r="1835">
      <c r="A1835" s="32" t="inlineStr">
        <is>
          <t>TALGO</t>
        </is>
      </c>
      <c r="B1835">
        <f>IFERROR(INDEX(Companies!$A$3:$A$101,MATCH(A1835,Companies!$B$3:$B$101,0)),"")</f>
        <v/>
      </c>
      <c r="D1835" t="inlineStr">
        <is>
          <t>C83F3AFAE80F</t>
        </is>
      </c>
      <c r="E1835" s="24">
        <f>LEFT(D1835,2)&amp;":"&amp;MID(D1835,3,2)&amp;":"&amp;MID(D1835,5,2)&amp;":"&amp;MID(D1835,7,2)&amp;":"&amp;MID(D1835,9,2)&amp;":"&amp;RIGHT(D1835,2)</f>
        <v/>
      </c>
      <c r="H1835" t="inlineStr">
        <is>
          <t>E74C8DCF147EC6F0</t>
        </is>
      </c>
      <c r="J1835" s="113" t="inlineStr">
        <is>
          <t>E74C8DCF147EC6F0</t>
        </is>
      </c>
      <c r="N1835" s="99" t="inlineStr">
        <is>
          <t>whitelisted-round-1</t>
        </is>
      </c>
    </row>
    <row r="1836">
      <c r="A1836" s="32" t="inlineStr">
        <is>
          <t>TALGO</t>
        </is>
      </c>
      <c r="B1836">
        <f>IFERROR(INDEX(Companies!$A$3:$A$101,MATCH(A1836,Companies!$B$3:$B$101,0)),"")</f>
        <v/>
      </c>
      <c r="D1836" t="inlineStr">
        <is>
          <t>DAD76E4D1677</t>
        </is>
      </c>
      <c r="E1836" s="24">
        <f>LEFT(D1836,2)&amp;":"&amp;MID(D1836,3,2)&amp;":"&amp;MID(D1836,5,2)&amp;":"&amp;MID(D1836,7,2)&amp;":"&amp;MID(D1836,9,2)&amp;":"&amp;RIGHT(D1836,2)</f>
        <v/>
      </c>
      <c r="H1836" t="inlineStr">
        <is>
          <t>5AD2980E69F70839</t>
        </is>
      </c>
      <c r="J1836" s="115" t="inlineStr">
        <is>
          <t>5AD2980E69F70839</t>
        </is>
      </c>
      <c r="N1836" s="99" t="inlineStr">
        <is>
          <t>recovered-round-1</t>
        </is>
      </c>
    </row>
    <row r="1837">
      <c r="A1837" s="32" t="inlineStr">
        <is>
          <t>TALGO</t>
        </is>
      </c>
      <c r="B1837">
        <f>IFERROR(INDEX(Companies!$A$3:$A$101,MATCH(A1837,Companies!$B$3:$B$101,0)),"")</f>
        <v/>
      </c>
      <c r="D1837" t="inlineStr">
        <is>
          <t>F222F7A9394E</t>
        </is>
      </c>
      <c r="E1837" s="24">
        <f>LEFT(D1837,2)&amp;":"&amp;MID(D1837,3,2)&amp;":"&amp;MID(D1837,5,2)&amp;":"&amp;MID(D1837,7,2)&amp;":"&amp;MID(D1837,9,2)&amp;":"&amp;RIGHT(D1837,2)</f>
        <v/>
      </c>
      <c r="H1837" s="18" t="inlineStr">
        <is>
          <t>7E23202CA0F676ED</t>
        </is>
      </c>
      <c r="J1837" t="inlineStr">
        <is>
          <t>7E23202CA0F676ED</t>
        </is>
      </c>
      <c r="N1837" s="99" t="inlineStr">
        <is>
          <t>Nexxiot</t>
        </is>
      </c>
    </row>
    <row r="1838">
      <c r="A1838" s="32" t="inlineStr">
        <is>
          <t>SUJAN</t>
        </is>
      </c>
      <c r="B1838">
        <f>IFERROR(INDEX(Companies!$A$3:$A$101,MATCH(A1838,Companies!$B$3:$B$101,0)),"")</f>
        <v/>
      </c>
      <c r="D1838" t="inlineStr">
        <is>
          <t>C94E22FD7156</t>
        </is>
      </c>
      <c r="E1838" s="24">
        <f>LEFT(D1838,2)&amp;":"&amp;MID(D1838,3,2)&amp;":"&amp;MID(D1838,5,2)&amp;":"&amp;MID(D1838,7,2)&amp;":"&amp;MID(D1838,9,2)&amp;":"&amp;RIGHT(D1838,2)</f>
        <v/>
      </c>
      <c r="H1838" t="inlineStr">
        <is>
          <t>28EECD223430BB82</t>
        </is>
      </c>
      <c r="J1838" t="inlineStr">
        <is>
          <t>VIEZO0000000000000660</t>
        </is>
      </c>
      <c r="N1838" s="99" t="inlineStr">
        <is>
          <t>Nexxiot</t>
        </is>
      </c>
    </row>
    <row r="1839">
      <c r="A1839" s="32" t="inlineStr">
        <is>
          <t>TALGO</t>
        </is>
      </c>
      <c r="B1839">
        <f>IFERROR(INDEX(Companies!$A$3:$A$101,MATCH(A1839,Companies!$B$3:$B$101,0)),"")</f>
        <v/>
      </c>
      <c r="D1839" t="inlineStr">
        <is>
          <t>E96386668DF1</t>
        </is>
      </c>
      <c r="E1839" s="24">
        <f>LEFT(D1839,2)&amp;":"&amp;MID(D1839,3,2)&amp;":"&amp;MID(D1839,5,2)&amp;":"&amp;MID(D1839,7,2)&amp;":"&amp;MID(D1839,9,2)&amp;":"&amp;RIGHT(D1839,2)</f>
        <v/>
      </c>
      <c r="H1839" t="inlineStr">
        <is>
          <t>5A79044A677396A9</t>
        </is>
      </c>
      <c r="J1839" s="115" t="inlineStr">
        <is>
          <t>5A79044A677396A9</t>
        </is>
      </c>
      <c r="N1839" s="99" t="inlineStr">
        <is>
          <t>recovered-round-1</t>
        </is>
      </c>
    </row>
    <row r="1840">
      <c r="A1840" s="32" t="inlineStr">
        <is>
          <t>TALGO</t>
        </is>
      </c>
      <c r="B1840">
        <f>IFERROR(INDEX(Companies!$A$3:$A$101,MATCH(A1840,Companies!$B$3:$B$101,0)),"")</f>
        <v/>
      </c>
      <c r="D1840" t="inlineStr">
        <is>
          <t>EA3AB46D0D93</t>
        </is>
      </c>
      <c r="E1840" s="24">
        <f>LEFT(D1840,2)&amp;":"&amp;MID(D1840,3,2)&amp;":"&amp;MID(D1840,5,2)&amp;":"&amp;MID(D1840,7,2)&amp;":"&amp;MID(D1840,9,2)&amp;":"&amp;RIGHT(D1840,2)</f>
        <v/>
      </c>
      <c r="H1840" t="inlineStr">
        <is>
          <t>EEF249E6FC925341</t>
        </is>
      </c>
      <c r="J1840" s="113" t="inlineStr">
        <is>
          <t>EEF249E6FC925341</t>
        </is>
      </c>
      <c r="N1840" s="99" t="inlineStr">
        <is>
          <t>whitelisted-round-1</t>
        </is>
      </c>
    </row>
    <row r="1841">
      <c r="A1841" s="32" t="inlineStr">
        <is>
          <t>TALGO</t>
        </is>
      </c>
      <c r="B1841">
        <f>IFERROR(INDEX(Companies!$A$3:$A$101,MATCH(A1841,Companies!$B$3:$B$101,0)),"")</f>
        <v/>
      </c>
      <c r="D1841" t="inlineStr">
        <is>
          <t>F07DEC3D0631</t>
        </is>
      </c>
      <c r="E1841" s="24">
        <f>LEFT(D1841,2)&amp;":"&amp;MID(D1841,3,2)&amp;":"&amp;MID(D1841,5,2)&amp;":"&amp;MID(D1841,7,2)&amp;":"&amp;MID(D1841,9,2)&amp;":"&amp;RIGHT(D1841,2)</f>
        <v/>
      </c>
      <c r="H1841" t="inlineStr">
        <is>
          <t>6086D5ECEF93837C</t>
        </is>
      </c>
      <c r="J1841" t="inlineStr">
        <is>
          <t>6086D5ECEF93837C</t>
        </is>
      </c>
      <c r="N1841" s="99" t="inlineStr">
        <is>
          <t>Nexxiot</t>
        </is>
      </c>
    </row>
    <row r="1842">
      <c r="A1842" s="32" t="inlineStr">
        <is>
          <t>TALGO</t>
        </is>
      </c>
      <c r="B1842">
        <f>IFERROR(INDEX(Companies!$A$3:$A$101,MATCH(A1842,Companies!$B$3:$B$101,0)),"")</f>
        <v/>
      </c>
      <c r="D1842" t="inlineStr">
        <is>
          <t>FE60BA55DB48</t>
        </is>
      </c>
      <c r="E1842" s="24">
        <f>LEFT(D1842,2)&amp;":"&amp;MID(D1842,3,2)&amp;":"&amp;MID(D1842,5,2)&amp;":"&amp;MID(D1842,7,2)&amp;":"&amp;MID(D1842,9,2)&amp;":"&amp;RIGHT(D1842,2)</f>
        <v/>
      </c>
      <c r="H1842" t="inlineStr">
        <is>
          <t>DA3B1CBCAE321A9C</t>
        </is>
      </c>
      <c r="J1842" s="115" t="inlineStr">
        <is>
          <t>DA3B1CBCAE321A9C</t>
        </is>
      </c>
      <c r="N1842" s="99" t="inlineStr">
        <is>
          <t>recovered-round-1</t>
        </is>
      </c>
    </row>
    <row r="1843">
      <c r="A1843" s="32" t="inlineStr">
        <is>
          <t>TALGO</t>
        </is>
      </c>
      <c r="B1843">
        <f>IFERROR(INDEX(Companies!$A$3:$A$101,MATCH(A1843,Companies!$B$3:$B$101,0)),"")</f>
        <v/>
      </c>
      <c r="D1843" t="inlineStr">
        <is>
          <t>D6D215BF360E</t>
        </is>
      </c>
      <c r="E1843" s="24">
        <f>LEFT(D1843,2)&amp;":"&amp;MID(D1843,3,2)&amp;":"&amp;MID(D1843,5,2)&amp;":"&amp;MID(D1843,7,2)&amp;":"&amp;MID(D1843,9,2)&amp;":"&amp;RIGHT(D1843,2)</f>
        <v/>
      </c>
      <c r="H1843" t="inlineStr">
        <is>
          <t>1F76B3AE48468E63</t>
        </is>
      </c>
      <c r="J1843" t="inlineStr">
        <is>
          <t>1F76B3AE48468E63</t>
        </is>
      </c>
      <c r="N1843" s="99" t="inlineStr">
        <is>
          <t>Nexxiot</t>
        </is>
      </c>
    </row>
    <row r="1844">
      <c r="A1844" s="32" t="inlineStr">
        <is>
          <t>SUJAN</t>
        </is>
      </c>
      <c r="B1844">
        <f>IFERROR(INDEX(Companies!$A$3:$A$101,MATCH(A1844,Companies!$B$3:$B$101,0)),"")</f>
        <v/>
      </c>
      <c r="D1844" t="inlineStr">
        <is>
          <t>CD89B70C258E</t>
        </is>
      </c>
      <c r="E1844" s="24">
        <f>LEFT(D1844,2)&amp;":"&amp;MID(D1844,3,2)&amp;":"&amp;MID(D1844,5,2)&amp;":"&amp;MID(D1844,7,2)&amp;":"&amp;MID(D1844,9,2)&amp;":"&amp;RIGHT(D1844,2)</f>
        <v/>
      </c>
      <c r="H1844" t="inlineStr">
        <is>
          <t>656F69B88DBB6465</t>
        </is>
      </c>
      <c r="J1844" t="inlineStr">
        <is>
          <t>VIEZO0000000000000666</t>
        </is>
      </c>
      <c r="N1844" s="99" t="inlineStr">
        <is>
          <t>Nexxiot</t>
        </is>
      </c>
    </row>
    <row r="1845">
      <c r="A1845" s="32" t="inlineStr">
        <is>
          <t>TALGO</t>
        </is>
      </c>
      <c r="B1845">
        <f>IFERROR(INDEX(Companies!$A$3:$A$101,MATCH(A1845,Companies!$B$3:$B$101,0)),"")</f>
        <v/>
      </c>
      <c r="D1845" t="inlineStr">
        <is>
          <t>D881ED2908CE</t>
        </is>
      </c>
      <c r="E1845" s="24">
        <f>LEFT(D1845,2)&amp;":"&amp;MID(D1845,3,2)&amp;":"&amp;MID(D1845,5,2)&amp;":"&amp;MID(D1845,7,2)&amp;":"&amp;MID(D1845,9,2)&amp;":"&amp;RIGHT(D1845,2)</f>
        <v/>
      </c>
      <c r="H1845" t="inlineStr">
        <is>
          <t>A935A9BF7AEAAB71</t>
        </is>
      </c>
      <c r="J1845" s="115" t="inlineStr">
        <is>
          <t>A935A9BF7AEAAB71</t>
        </is>
      </c>
      <c r="N1845" s="99" t="inlineStr">
        <is>
          <t>recovered-round-1</t>
        </is>
      </c>
    </row>
    <row r="1846">
      <c r="A1846" s="32" t="inlineStr">
        <is>
          <t>TALGO</t>
        </is>
      </c>
      <c r="B1846">
        <f>IFERROR(INDEX(Companies!$A$3:$A$101,MATCH(A1846,Companies!$B$3:$B$101,0)),"")</f>
        <v/>
      </c>
      <c r="D1846" t="inlineStr">
        <is>
          <t>E14FC81A64F6</t>
        </is>
      </c>
      <c r="E1846" s="24">
        <f>LEFT(D1846,2)&amp;":"&amp;MID(D1846,3,2)&amp;":"&amp;MID(D1846,5,2)&amp;":"&amp;MID(D1846,7,2)&amp;":"&amp;MID(D1846,9,2)&amp;":"&amp;RIGHT(D1846,2)</f>
        <v/>
      </c>
      <c r="H1846" t="inlineStr">
        <is>
          <t>DED2CCD7A81278E2</t>
        </is>
      </c>
      <c r="J1846" t="inlineStr">
        <is>
          <t>DED2CCD7A81278E2</t>
        </is>
      </c>
      <c r="N1846" s="99" t="inlineStr">
        <is>
          <t>Nexxiot</t>
        </is>
      </c>
    </row>
    <row r="1847">
      <c r="A1847" s="32" t="inlineStr">
        <is>
          <t>TALGO</t>
        </is>
      </c>
      <c r="B1847">
        <f>IFERROR(INDEX(Companies!$A$3:$A$101,MATCH(A1847,Companies!$B$3:$B$101,0)),"")</f>
        <v/>
      </c>
      <c r="D1847" t="inlineStr">
        <is>
          <t>F4A37D44E25C</t>
        </is>
      </c>
      <c r="E1847" s="24">
        <f>LEFT(D1847,2)&amp;":"&amp;MID(D1847,3,2)&amp;":"&amp;MID(D1847,5,2)&amp;":"&amp;MID(D1847,7,2)&amp;":"&amp;MID(D1847,9,2)&amp;":"&amp;RIGHT(D1847,2)</f>
        <v/>
      </c>
      <c r="H1847" s="18" t="inlineStr">
        <is>
          <t>12E744527C69A064</t>
        </is>
      </c>
      <c r="J1847" t="inlineStr">
        <is>
          <t>12E744527C69A064</t>
        </is>
      </c>
      <c r="N1847" s="99" t="inlineStr">
        <is>
          <t>Nexxiot</t>
        </is>
      </c>
    </row>
    <row r="1848">
      <c r="A1848" s="32" t="inlineStr">
        <is>
          <t>TALGO</t>
        </is>
      </c>
      <c r="B1848">
        <f>IFERROR(INDEX(Companies!$A$3:$A$101,MATCH(A1848,Companies!$B$3:$B$101,0)),"")</f>
        <v/>
      </c>
      <c r="D1848" t="inlineStr">
        <is>
          <t>EDAFEF35EB42</t>
        </is>
      </c>
      <c r="E1848" s="24">
        <f>LEFT(D1848,2)&amp;":"&amp;MID(D1848,3,2)&amp;":"&amp;MID(D1848,5,2)&amp;":"&amp;MID(D1848,7,2)&amp;":"&amp;MID(D1848,9,2)&amp;":"&amp;RIGHT(D1848,2)</f>
        <v/>
      </c>
      <c r="H1848" t="inlineStr">
        <is>
          <t>46EFD1F620D295E4</t>
        </is>
      </c>
      <c r="J1848" t="inlineStr">
        <is>
          <t>46EFD1F620D295E4</t>
        </is>
      </c>
      <c r="N1848" s="99" t="inlineStr">
        <is>
          <t>Nexxiot</t>
        </is>
      </c>
    </row>
    <row r="1849">
      <c r="A1849" s="32" t="inlineStr">
        <is>
          <t>TALGO</t>
        </is>
      </c>
      <c r="B1849">
        <f>IFERROR(INDEX(Companies!$A$3:$A$101,MATCH(A1849,Companies!$B$3:$B$101,0)),"")</f>
        <v/>
      </c>
      <c r="D1849" t="inlineStr">
        <is>
          <t>DC5DDD506EF3</t>
        </is>
      </c>
      <c r="E1849" s="24">
        <f>LEFT(D1849,2)&amp;":"&amp;MID(D1849,3,2)&amp;":"&amp;MID(D1849,5,2)&amp;":"&amp;MID(D1849,7,2)&amp;":"&amp;MID(D1849,9,2)&amp;":"&amp;RIGHT(D1849,2)</f>
        <v/>
      </c>
      <c r="H1849" t="inlineStr">
        <is>
          <t>E833A002FCE09AB4</t>
        </is>
      </c>
      <c r="J1849" s="115" t="inlineStr">
        <is>
          <t>E833A002FCE09AB4</t>
        </is>
      </c>
      <c r="N1849" s="99" t="inlineStr">
        <is>
          <t>recovered-round-2</t>
        </is>
      </c>
    </row>
    <row r="1850">
      <c r="A1850" s="32" t="inlineStr">
        <is>
          <t>TALGO</t>
        </is>
      </c>
      <c r="B1850">
        <f>IFERROR(INDEX(Companies!$A$3:$A$101,MATCH(A1850,Companies!$B$3:$B$101,0)),"")</f>
        <v/>
      </c>
      <c r="D1850" t="inlineStr">
        <is>
          <t>F40A31E281EB</t>
        </is>
      </c>
      <c r="E1850" s="24">
        <f>LEFT(D1850,2)&amp;":"&amp;MID(D1850,3,2)&amp;":"&amp;MID(D1850,5,2)&amp;":"&amp;MID(D1850,7,2)&amp;":"&amp;MID(D1850,9,2)&amp;":"&amp;RIGHT(D1850,2)</f>
        <v/>
      </c>
      <c r="H1850" t="inlineStr">
        <is>
          <t>A02EB4BFC62B4B64</t>
        </is>
      </c>
      <c r="J1850" t="inlineStr">
        <is>
          <t>A02EB4BFC62B4B64</t>
        </is>
      </c>
      <c r="N1850" s="99" t="inlineStr">
        <is>
          <t>Nexxiot</t>
        </is>
      </c>
    </row>
    <row r="1851">
      <c r="A1851" s="32" t="inlineStr">
        <is>
          <t>TALGO</t>
        </is>
      </c>
      <c r="B1851">
        <f>IFERROR(INDEX(Companies!$A$3:$A$101,MATCH(A1851,Companies!$B$3:$B$101,0)),"")</f>
        <v/>
      </c>
      <c r="D1851" t="inlineStr">
        <is>
          <t>D2AFCE91143B</t>
        </is>
      </c>
      <c r="E1851" s="24">
        <f>LEFT(D1851,2)&amp;":"&amp;MID(D1851,3,2)&amp;":"&amp;MID(D1851,5,2)&amp;":"&amp;MID(D1851,7,2)&amp;":"&amp;MID(D1851,9,2)&amp;":"&amp;RIGHT(D1851,2)</f>
        <v/>
      </c>
      <c r="H1851" t="inlineStr">
        <is>
          <t>98CEB1B90C77B39B</t>
        </is>
      </c>
      <c r="J1851" s="113" t="inlineStr">
        <is>
          <t>98CEB1B90C77B39B</t>
        </is>
      </c>
      <c r="N1851" s="99" t="inlineStr">
        <is>
          <t>whitelisted-round-2</t>
        </is>
      </c>
    </row>
    <row r="1852">
      <c r="A1852" s="32" t="inlineStr">
        <is>
          <t>TALGO</t>
        </is>
      </c>
      <c r="B1852">
        <f>IFERROR(INDEX(Companies!$A$3:$A$101,MATCH(A1852,Companies!$B$3:$B$101,0)),"")</f>
        <v/>
      </c>
      <c r="D1852" t="inlineStr">
        <is>
          <t>E91B285464FD</t>
        </is>
      </c>
      <c r="E1852" s="24">
        <f>LEFT(D1852,2)&amp;":"&amp;MID(D1852,3,2)&amp;":"&amp;MID(D1852,5,2)&amp;":"&amp;MID(D1852,7,2)&amp;":"&amp;MID(D1852,9,2)&amp;":"&amp;RIGHT(D1852,2)</f>
        <v/>
      </c>
      <c r="H1852" t="inlineStr">
        <is>
          <t>26ED5DA9BA5494D8</t>
        </is>
      </c>
      <c r="J1852" s="113" t="inlineStr">
        <is>
          <t>26ED5DA9BA5494D8</t>
        </is>
      </c>
      <c r="N1852" s="99" t="inlineStr">
        <is>
          <t>whitelisted-round-2</t>
        </is>
      </c>
    </row>
    <row r="1853">
      <c r="A1853" s="32" t="inlineStr">
        <is>
          <t>TALGO</t>
        </is>
      </c>
      <c r="B1853">
        <f>IFERROR(INDEX(Companies!$A$3:$A$101,MATCH(A1853,Companies!$B$3:$B$101,0)),"")</f>
        <v/>
      </c>
      <c r="D1853" t="inlineStr">
        <is>
          <t>CC5ADE4B70BF</t>
        </is>
      </c>
      <c r="E1853" s="24">
        <f>LEFT(D1853,2)&amp;":"&amp;MID(D1853,3,2)&amp;":"&amp;MID(D1853,5,2)&amp;":"&amp;MID(D1853,7,2)&amp;":"&amp;MID(D1853,9,2)&amp;":"&amp;RIGHT(D1853,2)</f>
        <v/>
      </c>
      <c r="H1853" s="18" t="inlineStr">
        <is>
          <t>1149E65757DEE2F9</t>
        </is>
      </c>
      <c r="J1853" t="inlineStr">
        <is>
          <t>1149E65757DEE2F9</t>
        </is>
      </c>
      <c r="N1853" s="99" t="inlineStr">
        <is>
          <t>Nexxiot</t>
        </is>
      </c>
    </row>
    <row r="1854">
      <c r="A1854" s="32" t="inlineStr">
        <is>
          <t>TALGO</t>
        </is>
      </c>
      <c r="B1854">
        <f>IFERROR(INDEX(Companies!$A$3:$A$101,MATCH(A1854,Companies!$B$3:$B$101,0)),"")</f>
        <v/>
      </c>
      <c r="D1854" t="inlineStr">
        <is>
          <t>FFE6AEB85322</t>
        </is>
      </c>
      <c r="E1854" s="24">
        <f>LEFT(D1854,2)&amp;":"&amp;MID(D1854,3,2)&amp;":"&amp;MID(D1854,5,2)&amp;":"&amp;MID(D1854,7,2)&amp;":"&amp;MID(D1854,9,2)&amp;":"&amp;RIGHT(D1854,2)</f>
        <v/>
      </c>
      <c r="H1854" t="inlineStr">
        <is>
          <t>FD4A1B3E4F378BA7</t>
        </is>
      </c>
      <c r="J1854" t="inlineStr">
        <is>
          <t>FD4A1B3E4F378BA7</t>
        </is>
      </c>
      <c r="N1854" s="99" t="inlineStr">
        <is>
          <t>Nexxiot</t>
        </is>
      </c>
    </row>
    <row r="1855">
      <c r="A1855" s="32" t="inlineStr">
        <is>
          <t>TALGO</t>
        </is>
      </c>
      <c r="B1855">
        <f>IFERROR(INDEX(Companies!$A$3:$A$101,MATCH(A1855,Companies!$B$3:$B$101,0)),"")</f>
        <v/>
      </c>
      <c r="D1855" t="inlineStr">
        <is>
          <t>EBD1975C8A8F</t>
        </is>
      </c>
      <c r="E1855" s="24">
        <f>LEFT(D1855,2)&amp;":"&amp;MID(D1855,3,2)&amp;":"&amp;MID(D1855,5,2)&amp;":"&amp;MID(D1855,7,2)&amp;":"&amp;MID(D1855,9,2)&amp;":"&amp;RIGHT(D1855,2)</f>
        <v/>
      </c>
      <c r="H1855" s="18" t="inlineStr">
        <is>
          <t>618E2641A61739E7</t>
        </is>
      </c>
      <c r="J1855" t="inlineStr">
        <is>
          <t>618E2641A61739E7</t>
        </is>
      </c>
      <c r="N1855" s="99" t="inlineStr">
        <is>
          <t>Nexxiot</t>
        </is>
      </c>
    </row>
    <row r="1856">
      <c r="B1856">
        <f>IFERROR(INDEX(Companies!$A$3:$A$101,MATCH(A1856,Companies!$B$3:$B$101,0)),"")</f>
        <v/>
      </c>
      <c r="D1856" t="inlineStr">
        <is>
          <t>D0A1ABB3E317</t>
        </is>
      </c>
      <c r="E1856" s="24">
        <f>LEFT(D1856,2)&amp;":"&amp;MID(D1856,3,2)&amp;":"&amp;MID(D1856,5,2)&amp;":"&amp;MID(D1856,7,2)&amp;":"&amp;MID(D1856,9,2)&amp;":"&amp;RIGHT(D1856,2)</f>
        <v/>
      </c>
      <c r="H1856" t="inlineStr">
        <is>
          <t>F969164DE816FE12</t>
        </is>
      </c>
      <c r="J1856" t="inlineStr">
        <is>
          <t>VIEZO0000000000000678</t>
        </is>
      </c>
      <c r="N1856" s="99" t="inlineStr">
        <is>
          <t>Nexxiot</t>
        </is>
      </c>
    </row>
    <row r="1857">
      <c r="A1857" s="32" t="inlineStr">
        <is>
          <t>TALGO</t>
        </is>
      </c>
      <c r="B1857">
        <f>IFERROR(INDEX(Companies!$A$3:$A$101,MATCH(A1857,Companies!$B$3:$B$101,0)),"")</f>
        <v/>
      </c>
      <c r="D1857" t="inlineStr">
        <is>
          <t>C6B99AA439E6</t>
        </is>
      </c>
      <c r="E1857" s="24">
        <f>LEFT(D1857,2)&amp;":"&amp;MID(D1857,3,2)&amp;":"&amp;MID(D1857,5,2)&amp;":"&amp;MID(D1857,7,2)&amp;":"&amp;MID(D1857,9,2)&amp;":"&amp;RIGHT(D1857,2)</f>
        <v/>
      </c>
      <c r="H1857" t="inlineStr">
        <is>
          <t>411A658255F12DA9</t>
        </is>
      </c>
      <c r="J1857" t="inlineStr">
        <is>
          <t>411A658255F12DA9</t>
        </is>
      </c>
      <c r="N1857" s="99" t="inlineStr">
        <is>
          <t>Nexxiot</t>
        </is>
      </c>
    </row>
    <row r="1858">
      <c r="A1858" s="32" t="inlineStr">
        <is>
          <t>TALGO</t>
        </is>
      </c>
      <c r="B1858">
        <f>IFERROR(INDEX(Companies!$A$3:$A$101,MATCH(A1858,Companies!$B$3:$B$101,0)),"")</f>
        <v/>
      </c>
      <c r="D1858" t="inlineStr">
        <is>
          <t>D856155EED09</t>
        </is>
      </c>
      <c r="E1858" s="24">
        <f>LEFT(D1858,2)&amp;":"&amp;MID(D1858,3,2)&amp;":"&amp;MID(D1858,5,2)&amp;":"&amp;MID(D1858,7,2)&amp;":"&amp;MID(D1858,9,2)&amp;":"&amp;RIGHT(D1858,2)</f>
        <v/>
      </c>
      <c r="H1858" t="inlineStr">
        <is>
          <t>77B3B4E10627808B</t>
        </is>
      </c>
      <c r="J1858" t="inlineStr">
        <is>
          <t>77B3B4E10627808B</t>
        </is>
      </c>
      <c r="N1858" s="99" t="inlineStr">
        <is>
          <t>Nexxiot</t>
        </is>
      </c>
    </row>
    <row r="1859">
      <c r="A1859" s="32" t="inlineStr">
        <is>
          <t>TALGO</t>
        </is>
      </c>
      <c r="B1859">
        <f>IFERROR(INDEX(Companies!$A$3:$A$101,MATCH(A1859,Companies!$B$3:$B$101,0)),"")</f>
        <v/>
      </c>
      <c r="D1859" t="inlineStr">
        <is>
          <t>ED3F0649740E</t>
        </is>
      </c>
      <c r="E1859" s="24">
        <f>LEFT(D1859,2)&amp;":"&amp;MID(D1859,3,2)&amp;":"&amp;MID(D1859,5,2)&amp;":"&amp;MID(D1859,7,2)&amp;":"&amp;MID(D1859,9,2)&amp;":"&amp;RIGHT(D1859,2)</f>
        <v/>
      </c>
      <c r="H1859" t="inlineStr">
        <is>
          <t>EFC4F7CD3AA62E2F</t>
        </is>
      </c>
      <c r="J1859" s="113" t="inlineStr">
        <is>
          <t>EFC4F7CD3AA62E2F</t>
        </is>
      </c>
      <c r="N1859" s="99" t="inlineStr">
        <is>
          <t>whitelisted-round-2</t>
        </is>
      </c>
    </row>
    <row r="1860">
      <c r="A1860" s="32" t="inlineStr">
        <is>
          <t>TALGO</t>
        </is>
      </c>
      <c r="B1860">
        <f>IFERROR(INDEX(Companies!$A$3:$A$101,MATCH(A1860,Companies!$B$3:$B$101,0)),"")</f>
        <v/>
      </c>
      <c r="D1860" t="inlineStr">
        <is>
          <t>F6A47B4AB0E3</t>
        </is>
      </c>
      <c r="E1860" s="24">
        <f>LEFT(D1860,2)&amp;":"&amp;MID(D1860,3,2)&amp;":"&amp;MID(D1860,5,2)&amp;":"&amp;MID(D1860,7,2)&amp;":"&amp;MID(D1860,9,2)&amp;":"&amp;RIGHT(D1860,2)</f>
        <v/>
      </c>
      <c r="H1860" t="inlineStr">
        <is>
          <t>65400CD74932359E</t>
        </is>
      </c>
      <c r="J1860" t="inlineStr">
        <is>
          <t>65400CD74932359E</t>
        </is>
      </c>
      <c r="N1860" s="99" t="inlineStr">
        <is>
          <t>Nexxiot</t>
        </is>
      </c>
    </row>
    <row r="1861">
      <c r="A1861" s="32" t="inlineStr">
        <is>
          <t>TALGO</t>
        </is>
      </c>
      <c r="B1861">
        <f>IFERROR(INDEX(Companies!$A$3:$A$101,MATCH(A1861,Companies!$B$3:$B$101,0)),"")</f>
        <v/>
      </c>
      <c r="D1861" t="inlineStr">
        <is>
          <t>F86EC77D5FDC</t>
        </is>
      </c>
      <c r="E1861" s="24">
        <f>LEFT(D1861,2)&amp;":"&amp;MID(D1861,3,2)&amp;":"&amp;MID(D1861,5,2)&amp;":"&amp;MID(D1861,7,2)&amp;":"&amp;MID(D1861,9,2)&amp;":"&amp;RIGHT(D1861,2)</f>
        <v/>
      </c>
      <c r="H1861" t="inlineStr">
        <is>
          <t>B8625D537E9B60B4</t>
        </is>
      </c>
      <c r="J1861" t="inlineStr">
        <is>
          <t>B8625D537E9B60B4</t>
        </is>
      </c>
      <c r="N1861" s="99" t="inlineStr">
        <is>
          <t>Nexxiot</t>
        </is>
      </c>
    </row>
    <row r="1862">
      <c r="A1862" s="32" t="inlineStr">
        <is>
          <t>SUJAN</t>
        </is>
      </c>
      <c r="B1862">
        <f>IFERROR(INDEX(Companies!$A$3:$A$101,MATCH(A1862,Companies!$B$3:$B$101,0)),"")</f>
        <v/>
      </c>
      <c r="D1862" t="inlineStr">
        <is>
          <t>FD6BDC48EC36</t>
        </is>
      </c>
      <c r="E1862" s="24">
        <f>LEFT(D1862,2)&amp;":"&amp;MID(D1862,3,2)&amp;":"&amp;MID(D1862,5,2)&amp;":"&amp;MID(D1862,7,2)&amp;":"&amp;MID(D1862,9,2)&amp;":"&amp;RIGHT(D1862,2)</f>
        <v/>
      </c>
      <c r="H1862" t="inlineStr">
        <is>
          <t>A3C86025CB7DEC72</t>
        </is>
      </c>
      <c r="J1862" t="inlineStr">
        <is>
          <t>VIEZO0000000000000684</t>
        </is>
      </c>
      <c r="N1862" s="99" t="inlineStr">
        <is>
          <t>Nexxiot</t>
        </is>
      </c>
    </row>
    <row r="1863">
      <c r="A1863" s="32" t="inlineStr">
        <is>
          <t>TALGO</t>
        </is>
      </c>
      <c r="B1863">
        <f>IFERROR(INDEX(Companies!$A$3:$A$101,MATCH(A1863,Companies!$B$3:$B$101,0)),"")</f>
        <v/>
      </c>
      <c r="D1863" t="inlineStr">
        <is>
          <t>F4FD2FA8A39B</t>
        </is>
      </c>
      <c r="E1863" s="24">
        <f>LEFT(D1863,2)&amp;":"&amp;MID(D1863,3,2)&amp;":"&amp;MID(D1863,5,2)&amp;":"&amp;MID(D1863,7,2)&amp;":"&amp;MID(D1863,9,2)&amp;":"&amp;RIGHT(D1863,2)</f>
        <v/>
      </c>
      <c r="H1863" t="inlineStr">
        <is>
          <t>BF0E80A53D681C85</t>
        </is>
      </c>
      <c r="J1863" t="inlineStr">
        <is>
          <t>BF0E80A53D681C85</t>
        </is>
      </c>
      <c r="N1863" s="99" t="inlineStr">
        <is>
          <t>Nexxiot</t>
        </is>
      </c>
    </row>
    <row r="1864">
      <c r="A1864" s="32" t="inlineStr">
        <is>
          <t>TALGO</t>
        </is>
      </c>
      <c r="B1864">
        <f>IFERROR(INDEX(Companies!$A$3:$A$101,MATCH(A1864,Companies!$B$3:$B$101,0)),"")</f>
        <v/>
      </c>
      <c r="D1864" t="inlineStr">
        <is>
          <t>E4941F58B7B6</t>
        </is>
      </c>
      <c r="E1864" s="24">
        <f>LEFT(D1864,2)&amp;":"&amp;MID(D1864,3,2)&amp;":"&amp;MID(D1864,5,2)&amp;":"&amp;MID(D1864,7,2)&amp;":"&amp;MID(D1864,9,2)&amp;":"&amp;RIGHT(D1864,2)</f>
        <v/>
      </c>
      <c r="H1864" t="inlineStr">
        <is>
          <t>C408790247670DF5</t>
        </is>
      </c>
      <c r="J1864" s="115" t="inlineStr">
        <is>
          <t>C408790247670DF5</t>
        </is>
      </c>
      <c r="N1864" s="99" t="inlineStr">
        <is>
          <t>recovered-round-2</t>
        </is>
      </c>
    </row>
    <row r="1865">
      <c r="A1865" s="32" t="inlineStr">
        <is>
          <t>TALGO</t>
        </is>
      </c>
      <c r="B1865">
        <f>IFERROR(INDEX(Companies!$A$3:$A$101,MATCH(A1865,Companies!$B$3:$B$101,0)),"")</f>
        <v/>
      </c>
      <c r="D1865" t="inlineStr">
        <is>
          <t>FD071C444C5B</t>
        </is>
      </c>
      <c r="E1865" s="24">
        <f>LEFT(D1865,2)&amp;":"&amp;MID(D1865,3,2)&amp;":"&amp;MID(D1865,5,2)&amp;":"&amp;MID(D1865,7,2)&amp;":"&amp;MID(D1865,9,2)&amp;":"&amp;RIGHT(D1865,2)</f>
        <v/>
      </c>
      <c r="H1865" s="18" t="inlineStr">
        <is>
          <t>06E01440DE3AFCE3</t>
        </is>
      </c>
      <c r="J1865" t="inlineStr">
        <is>
          <t>06E01440DE3AFCE3</t>
        </is>
      </c>
      <c r="N1865" s="99" t="inlineStr">
        <is>
          <t>Nexxiot</t>
        </is>
      </c>
    </row>
    <row r="1866">
      <c r="A1866" s="32" t="inlineStr">
        <is>
          <t>TALGO</t>
        </is>
      </c>
      <c r="B1866">
        <f>IFERROR(INDEX(Companies!$A$3:$A$101,MATCH(A1866,Companies!$B$3:$B$101,0)),"")</f>
        <v/>
      </c>
      <c r="D1866" t="inlineStr">
        <is>
          <t>EFA2FC4CBABD</t>
        </is>
      </c>
      <c r="E1866" s="24">
        <f>LEFT(D1866,2)&amp;":"&amp;MID(D1866,3,2)&amp;":"&amp;MID(D1866,5,2)&amp;":"&amp;MID(D1866,7,2)&amp;":"&amp;MID(D1866,9,2)&amp;":"&amp;RIGHT(D1866,2)</f>
        <v/>
      </c>
      <c r="H1866" t="inlineStr">
        <is>
          <t>7EE9AD18C98B9053</t>
        </is>
      </c>
      <c r="J1866" s="115" t="inlineStr">
        <is>
          <t>7EE9AD18C98B9053</t>
        </is>
      </c>
      <c r="N1866" s="99" t="inlineStr">
        <is>
          <t>recovered-round-2</t>
        </is>
      </c>
    </row>
    <row r="1867">
      <c r="A1867" s="32" t="inlineStr">
        <is>
          <t>TALGO</t>
        </is>
      </c>
      <c r="B1867">
        <f>IFERROR(INDEX(Companies!$A$3:$A$101,MATCH(A1867,Companies!$B$3:$B$101,0)),"")</f>
        <v/>
      </c>
      <c r="D1867" t="inlineStr">
        <is>
          <t>DE597D15ECED</t>
        </is>
      </c>
      <c r="E1867" s="24">
        <f>LEFT(D1867,2)&amp;":"&amp;MID(D1867,3,2)&amp;":"&amp;MID(D1867,5,2)&amp;":"&amp;MID(D1867,7,2)&amp;":"&amp;MID(D1867,9,2)&amp;":"&amp;RIGHT(D1867,2)</f>
        <v/>
      </c>
      <c r="H1867" t="inlineStr">
        <is>
          <t>2CAC219AAE2FA774</t>
        </is>
      </c>
      <c r="J1867" s="113" t="inlineStr">
        <is>
          <t>2CAC219AAE2FA774</t>
        </is>
      </c>
      <c r="N1867" s="99" t="inlineStr">
        <is>
          <t>whitelisted-round-2</t>
        </is>
      </c>
    </row>
    <row r="1868">
      <c r="A1868" s="32" t="inlineStr">
        <is>
          <t>TALGO</t>
        </is>
      </c>
      <c r="B1868">
        <f>IFERROR(INDEX(Companies!$A$3:$A$101,MATCH(A1868,Companies!$B$3:$B$101,0)),"")</f>
        <v/>
      </c>
      <c r="D1868" t="inlineStr">
        <is>
          <t>DD917E8F7FD7</t>
        </is>
      </c>
      <c r="E1868" s="24">
        <f>LEFT(D1868,2)&amp;":"&amp;MID(D1868,3,2)&amp;":"&amp;MID(D1868,5,2)&amp;":"&amp;MID(D1868,7,2)&amp;":"&amp;MID(D1868,9,2)&amp;":"&amp;RIGHT(D1868,2)</f>
        <v/>
      </c>
      <c r="H1868" t="inlineStr">
        <is>
          <t>88A08B69DE8E93A6</t>
        </is>
      </c>
      <c r="J1868" t="inlineStr">
        <is>
          <t>88A08B69DE8E93A6</t>
        </is>
      </c>
      <c r="N1868" s="99" t="inlineStr">
        <is>
          <t>Nexxiot</t>
        </is>
      </c>
    </row>
    <row r="1869">
      <c r="A1869" s="32" t="inlineStr">
        <is>
          <t>TALGO</t>
        </is>
      </c>
      <c r="B1869">
        <f>IFERROR(INDEX(Companies!$A$3:$A$101,MATCH(A1869,Companies!$B$3:$B$101,0)),"")</f>
        <v/>
      </c>
      <c r="D1869" t="inlineStr">
        <is>
          <t>D2C18E3757D1</t>
        </is>
      </c>
      <c r="E1869" s="24">
        <f>LEFT(D1869,2)&amp;":"&amp;MID(D1869,3,2)&amp;":"&amp;MID(D1869,5,2)&amp;":"&amp;MID(D1869,7,2)&amp;":"&amp;MID(D1869,9,2)&amp;":"&amp;RIGHT(D1869,2)</f>
        <v/>
      </c>
      <c r="H1869" t="inlineStr">
        <is>
          <t>4FA5425284846D5F</t>
        </is>
      </c>
      <c r="J1869" s="113" t="inlineStr">
        <is>
          <t>4FA5425284846D5F</t>
        </is>
      </c>
      <c r="N1869" s="99" t="inlineStr">
        <is>
          <t>whitelisted-round-2</t>
        </is>
      </c>
    </row>
    <row r="1870">
      <c r="A1870" s="32" t="inlineStr">
        <is>
          <t>TALGO</t>
        </is>
      </c>
      <c r="B1870">
        <f>IFERROR(INDEX(Companies!$A$3:$A$101,MATCH(A1870,Companies!$B$3:$B$101,0)),"")</f>
        <v/>
      </c>
      <c r="D1870" t="inlineStr">
        <is>
          <t>D4663EB1058C</t>
        </is>
      </c>
      <c r="E1870" s="24">
        <f>LEFT(D1870,2)&amp;":"&amp;MID(D1870,3,2)&amp;":"&amp;MID(D1870,5,2)&amp;":"&amp;MID(D1870,7,2)&amp;":"&amp;MID(D1870,9,2)&amp;":"&amp;RIGHT(D1870,2)</f>
        <v/>
      </c>
      <c r="H1870" t="inlineStr">
        <is>
          <t>BFED8BCB52F97BDB</t>
        </is>
      </c>
      <c r="J1870" s="113" t="inlineStr">
        <is>
          <t>BFED8BCB52F97BDB</t>
        </is>
      </c>
      <c r="N1870" s="99" t="inlineStr">
        <is>
          <t>whitelisted-round-2</t>
        </is>
      </c>
    </row>
    <row r="1871">
      <c r="A1871" s="32" t="inlineStr">
        <is>
          <t>TALGO</t>
        </is>
      </c>
      <c r="B1871">
        <f>IFERROR(INDEX(Companies!$A$3:$A$101,MATCH(A1871,Companies!$B$3:$B$101,0)),"")</f>
        <v/>
      </c>
      <c r="D1871" t="inlineStr">
        <is>
          <t>FEA2D4D335DA</t>
        </is>
      </c>
      <c r="E1871" s="24">
        <f>LEFT(D1871,2)&amp;":"&amp;MID(D1871,3,2)&amp;":"&amp;MID(D1871,5,2)&amp;":"&amp;MID(D1871,7,2)&amp;":"&amp;MID(D1871,9,2)&amp;":"&amp;RIGHT(D1871,2)</f>
        <v/>
      </c>
      <c r="H1871" t="inlineStr">
        <is>
          <t>E81ED84CBC4E0B65</t>
        </is>
      </c>
      <c r="J1871" t="inlineStr">
        <is>
          <t>E81ED84CBC4E0B65</t>
        </is>
      </c>
      <c r="N1871" s="99" t="inlineStr">
        <is>
          <t>Nexxiot</t>
        </is>
      </c>
    </row>
    <row r="1872">
      <c r="A1872" s="32" t="inlineStr">
        <is>
          <t>TALGO</t>
        </is>
      </c>
      <c r="B1872">
        <f>IFERROR(INDEX(Companies!$A$3:$A$101,MATCH(A1872,Companies!$B$3:$B$101,0)),"")</f>
        <v/>
      </c>
      <c r="D1872" t="inlineStr">
        <is>
          <t>D69B24241191</t>
        </is>
      </c>
      <c r="E1872" s="24">
        <f>LEFT(D1872,2)&amp;":"&amp;MID(D1872,3,2)&amp;":"&amp;MID(D1872,5,2)&amp;":"&amp;MID(D1872,7,2)&amp;":"&amp;MID(D1872,9,2)&amp;":"&amp;RIGHT(D1872,2)</f>
        <v/>
      </c>
      <c r="H1872" t="inlineStr">
        <is>
          <t>49EEC3CA5A9D09D9</t>
        </is>
      </c>
      <c r="J1872" t="inlineStr">
        <is>
          <t>49EEC3CA5A9D09D9</t>
        </is>
      </c>
      <c r="N1872" s="99" t="inlineStr">
        <is>
          <t>Nexxiot</t>
        </is>
      </c>
    </row>
    <row r="1873">
      <c r="A1873" s="32" t="inlineStr">
        <is>
          <t>TALGO</t>
        </is>
      </c>
      <c r="B1873">
        <f>IFERROR(INDEX(Companies!$A$3:$A$101,MATCH(A1873,Companies!$B$3:$B$101,0)),"")</f>
        <v/>
      </c>
      <c r="D1873" t="inlineStr">
        <is>
          <t>F36084A865BC</t>
        </is>
      </c>
      <c r="E1873" s="24">
        <f>LEFT(D1873,2)&amp;":"&amp;MID(D1873,3,2)&amp;":"&amp;MID(D1873,5,2)&amp;":"&amp;MID(D1873,7,2)&amp;":"&amp;MID(D1873,9,2)&amp;":"&amp;RIGHT(D1873,2)</f>
        <v/>
      </c>
      <c r="H1873" t="inlineStr">
        <is>
          <t>426C10BA5AAD1D1C</t>
        </is>
      </c>
      <c r="J1873" t="inlineStr">
        <is>
          <t>426C10BA5AAD1D1C</t>
        </is>
      </c>
      <c r="N1873" s="99" t="inlineStr">
        <is>
          <t>Nexxiot</t>
        </is>
      </c>
    </row>
    <row r="1874">
      <c r="A1874" s="32" t="inlineStr">
        <is>
          <t>TALGO</t>
        </is>
      </c>
      <c r="B1874">
        <f>IFERROR(INDEX(Companies!$A$3:$A$101,MATCH(A1874,Companies!$B$3:$B$101,0)),"")</f>
        <v/>
      </c>
      <c r="D1874" t="inlineStr">
        <is>
          <t>E8D255F51E01</t>
        </is>
      </c>
      <c r="E1874" s="24">
        <f>LEFT(D1874,2)&amp;":"&amp;MID(D1874,3,2)&amp;":"&amp;MID(D1874,5,2)&amp;":"&amp;MID(D1874,7,2)&amp;":"&amp;MID(D1874,9,2)&amp;":"&amp;RIGHT(D1874,2)</f>
        <v/>
      </c>
      <c r="H1874" t="inlineStr">
        <is>
          <t>7D63067F109BB3F2</t>
        </is>
      </c>
      <c r="J1874" t="inlineStr">
        <is>
          <t>7D63067F109BB3F2</t>
        </is>
      </c>
      <c r="N1874" s="99" t="inlineStr">
        <is>
          <t>Nexxiot</t>
        </is>
      </c>
    </row>
    <row r="1875">
      <c r="A1875" s="32" t="inlineStr">
        <is>
          <t>TALGO</t>
        </is>
      </c>
      <c r="B1875">
        <f>IFERROR(INDEX(Companies!$A$3:$A$101,MATCH(A1875,Companies!$B$3:$B$101,0)),"")</f>
        <v/>
      </c>
      <c r="D1875" t="inlineStr">
        <is>
          <t>CC3F5D10DB7D</t>
        </is>
      </c>
      <c r="E1875" s="24">
        <f>LEFT(D1875,2)&amp;":"&amp;MID(D1875,3,2)&amp;":"&amp;MID(D1875,5,2)&amp;":"&amp;MID(D1875,7,2)&amp;":"&amp;MID(D1875,9,2)&amp;":"&amp;RIGHT(D1875,2)</f>
        <v/>
      </c>
      <c r="H1875" t="inlineStr">
        <is>
          <t>84AE66233B6C397E</t>
        </is>
      </c>
      <c r="J1875" t="inlineStr">
        <is>
          <t>84AE66233B6C397E</t>
        </is>
      </c>
      <c r="N1875" s="99" t="inlineStr">
        <is>
          <t>Nexxiot</t>
        </is>
      </c>
    </row>
    <row r="1876">
      <c r="A1876" s="32" t="inlineStr">
        <is>
          <t>TALGO</t>
        </is>
      </c>
      <c r="B1876">
        <f>IFERROR(INDEX(Companies!$A$3:$A$101,MATCH(A1876,Companies!$B$3:$B$101,0)),"")</f>
        <v/>
      </c>
      <c r="D1876" t="inlineStr">
        <is>
          <t>CD10CDE5E04A</t>
        </is>
      </c>
      <c r="E1876" s="24">
        <f>LEFT(D1876,2)&amp;":"&amp;MID(D1876,3,2)&amp;":"&amp;MID(D1876,5,2)&amp;":"&amp;MID(D1876,7,2)&amp;":"&amp;MID(D1876,9,2)&amp;":"&amp;RIGHT(D1876,2)</f>
        <v/>
      </c>
      <c r="H1876" t="inlineStr">
        <is>
          <t>FACFC30F46C7CB5B</t>
        </is>
      </c>
      <c r="J1876" t="inlineStr">
        <is>
          <t>FACFC30F46C7CB5B</t>
        </is>
      </c>
      <c r="N1876" s="99" t="inlineStr">
        <is>
          <t>Nexxiot</t>
        </is>
      </c>
    </row>
    <row r="1877">
      <c r="A1877" s="32" t="inlineStr">
        <is>
          <t>TALGO</t>
        </is>
      </c>
      <c r="B1877">
        <f>IFERROR(INDEX(Companies!$A$3:$A$101,MATCH(A1877,Companies!$B$3:$B$101,0)),"")</f>
        <v/>
      </c>
      <c r="D1877" t="inlineStr">
        <is>
          <t>DE9FB838435E</t>
        </is>
      </c>
      <c r="E1877" s="24">
        <f>LEFT(D1877,2)&amp;":"&amp;MID(D1877,3,2)&amp;":"&amp;MID(D1877,5,2)&amp;":"&amp;MID(D1877,7,2)&amp;":"&amp;MID(D1877,9,2)&amp;":"&amp;RIGHT(D1877,2)</f>
        <v/>
      </c>
      <c r="H1877" t="inlineStr">
        <is>
          <t>C4694B1D77F7FE2F</t>
        </is>
      </c>
      <c r="J1877" s="113" t="inlineStr">
        <is>
          <t>C4694B1D77F7FE2F</t>
        </is>
      </c>
      <c r="N1877" s="99" t="inlineStr">
        <is>
          <t>whitelisted-round-2</t>
        </is>
      </c>
    </row>
    <row r="1878">
      <c r="A1878" s="32" t="inlineStr">
        <is>
          <t>TALGO</t>
        </is>
      </c>
      <c r="B1878">
        <f>IFERROR(INDEX(Companies!$A$3:$A$101,MATCH(A1878,Companies!$B$3:$B$101,0)),"")</f>
        <v/>
      </c>
      <c r="D1878" t="inlineStr">
        <is>
          <t>E4C0D21795C0</t>
        </is>
      </c>
      <c r="E1878" s="24">
        <f>LEFT(D1878,2)&amp;":"&amp;MID(D1878,3,2)&amp;":"&amp;MID(D1878,5,2)&amp;":"&amp;MID(D1878,7,2)&amp;":"&amp;MID(D1878,9,2)&amp;":"&amp;RIGHT(D1878,2)</f>
        <v/>
      </c>
      <c r="H1878" t="inlineStr">
        <is>
          <t>5F86D195B2F4BD59</t>
        </is>
      </c>
      <c r="J1878" t="inlineStr">
        <is>
          <t>5F86D195B2F4BD59</t>
        </is>
      </c>
      <c r="N1878" s="99" t="inlineStr">
        <is>
          <t>Nexxiot</t>
        </is>
      </c>
    </row>
    <row r="1879">
      <c r="A1879" s="32" t="inlineStr">
        <is>
          <t>TALGO</t>
        </is>
      </c>
      <c r="B1879">
        <f>IFERROR(INDEX(Companies!$A$3:$A$101,MATCH(A1879,Companies!$B$3:$B$101,0)),"")</f>
        <v/>
      </c>
      <c r="D1879" t="inlineStr">
        <is>
          <t>D9734A2DDA7B</t>
        </is>
      </c>
      <c r="E1879" s="24">
        <f>LEFT(D1879,2)&amp;":"&amp;MID(D1879,3,2)&amp;":"&amp;MID(D1879,5,2)&amp;":"&amp;MID(D1879,7,2)&amp;":"&amp;MID(D1879,9,2)&amp;":"&amp;RIGHT(D1879,2)</f>
        <v/>
      </c>
      <c r="H1879" t="inlineStr">
        <is>
          <t>7F952CD1EEAD49C0</t>
        </is>
      </c>
      <c r="J1879" s="113" t="inlineStr">
        <is>
          <t>7F952CD1EEAD49C0</t>
        </is>
      </c>
      <c r="N1879" s="99" t="inlineStr">
        <is>
          <t>whitelisted-round-3</t>
        </is>
      </c>
    </row>
    <row r="1880">
      <c r="A1880" s="32" t="inlineStr">
        <is>
          <t>TALGO</t>
        </is>
      </c>
      <c r="B1880">
        <f>IFERROR(INDEX(Companies!$A$3:$A$101,MATCH(A1880,Companies!$B$3:$B$101,0)),"")</f>
        <v/>
      </c>
      <c r="D1880" t="inlineStr">
        <is>
          <t>E47A152CF575</t>
        </is>
      </c>
      <c r="E1880" s="24">
        <f>LEFT(D1880,2)&amp;":"&amp;MID(D1880,3,2)&amp;":"&amp;MID(D1880,5,2)&amp;":"&amp;MID(D1880,7,2)&amp;":"&amp;MID(D1880,9,2)&amp;":"&amp;RIGHT(D1880,2)</f>
        <v/>
      </c>
      <c r="H1880" t="inlineStr">
        <is>
          <t>5AE35D0E57EABE35</t>
        </is>
      </c>
      <c r="J1880" s="113" t="inlineStr">
        <is>
          <t>5AE35D0E57EABE35</t>
        </is>
      </c>
      <c r="N1880" s="99" t="inlineStr">
        <is>
          <t>whitelisted-round-3</t>
        </is>
      </c>
    </row>
    <row r="1881">
      <c r="A1881" s="32" t="inlineStr">
        <is>
          <t>TALGO</t>
        </is>
      </c>
      <c r="B1881">
        <f>IFERROR(INDEX(Companies!$A$3:$A$101,MATCH(A1881,Companies!$B$3:$B$101,0)),"")</f>
        <v/>
      </c>
      <c r="D1881" t="inlineStr">
        <is>
          <t>D1E2D0760906</t>
        </is>
      </c>
      <c r="E1881" s="24">
        <f>LEFT(D1881,2)&amp;":"&amp;MID(D1881,3,2)&amp;":"&amp;MID(D1881,5,2)&amp;":"&amp;MID(D1881,7,2)&amp;":"&amp;MID(D1881,9,2)&amp;":"&amp;RIGHT(D1881,2)</f>
        <v/>
      </c>
      <c r="H1881" t="inlineStr">
        <is>
          <t>433C8CA3595ACA3F</t>
        </is>
      </c>
      <c r="J1881" s="113" t="inlineStr">
        <is>
          <t>433C8CA3595ACA3F</t>
        </is>
      </c>
      <c r="N1881" s="99" t="inlineStr">
        <is>
          <t>whitelisted-round-3</t>
        </is>
      </c>
    </row>
    <row r="1882">
      <c r="A1882" s="32" t="inlineStr">
        <is>
          <t>TALGO</t>
        </is>
      </c>
      <c r="B1882">
        <f>IFERROR(INDEX(Companies!$A$3:$A$101,MATCH(A1882,Companies!$B$3:$B$101,0)),"")</f>
        <v/>
      </c>
      <c r="D1882" t="inlineStr">
        <is>
          <t>E6365D0712CF</t>
        </is>
      </c>
      <c r="E1882" s="24">
        <f>LEFT(D1882,2)&amp;":"&amp;MID(D1882,3,2)&amp;":"&amp;MID(D1882,5,2)&amp;":"&amp;MID(D1882,7,2)&amp;":"&amp;MID(D1882,9,2)&amp;":"&amp;RIGHT(D1882,2)</f>
        <v/>
      </c>
      <c r="H1882" t="inlineStr">
        <is>
          <t>9651BAC0010309CA</t>
        </is>
      </c>
      <c r="J1882" t="inlineStr">
        <is>
          <t>9651BAC0010309CA</t>
        </is>
      </c>
      <c r="N1882" s="99" t="inlineStr">
        <is>
          <t>Nexxiot</t>
        </is>
      </c>
    </row>
    <row r="1883">
      <c r="A1883" s="32" t="inlineStr">
        <is>
          <t>TALGO</t>
        </is>
      </c>
      <c r="B1883">
        <f>IFERROR(INDEX(Companies!$A$3:$A$101,MATCH(A1883,Companies!$B$3:$B$101,0)),"")</f>
        <v/>
      </c>
      <c r="D1883" t="inlineStr">
        <is>
          <t>C509E79310C8</t>
        </is>
      </c>
      <c r="E1883" s="24">
        <f>LEFT(D1883,2)&amp;":"&amp;MID(D1883,3,2)&amp;":"&amp;MID(D1883,5,2)&amp;":"&amp;MID(D1883,7,2)&amp;":"&amp;MID(D1883,9,2)&amp;":"&amp;RIGHT(D1883,2)</f>
        <v/>
      </c>
      <c r="H1883" t="inlineStr">
        <is>
          <t>B8CC21EAD675B56E</t>
        </is>
      </c>
      <c r="J1883" t="inlineStr">
        <is>
          <t>B8CC21EAD675B56E</t>
        </is>
      </c>
      <c r="N1883" s="99" t="inlineStr">
        <is>
          <t>Nexxiot</t>
        </is>
      </c>
    </row>
    <row r="1884">
      <c r="A1884" s="32" t="inlineStr">
        <is>
          <t>TALGO</t>
        </is>
      </c>
      <c r="B1884">
        <f>IFERROR(INDEX(Companies!$A$3:$A$101,MATCH(A1884,Companies!$B$3:$B$101,0)),"")</f>
        <v/>
      </c>
      <c r="D1884" t="inlineStr">
        <is>
          <t>E50A2EE9678B</t>
        </is>
      </c>
      <c r="E1884" s="24">
        <f>LEFT(D1884,2)&amp;":"&amp;MID(D1884,3,2)&amp;":"&amp;MID(D1884,5,2)&amp;":"&amp;MID(D1884,7,2)&amp;":"&amp;MID(D1884,9,2)&amp;":"&amp;RIGHT(D1884,2)</f>
        <v/>
      </c>
      <c r="H1884" t="inlineStr">
        <is>
          <t>40B3C78DCBD3DDCB</t>
        </is>
      </c>
      <c r="J1884" t="inlineStr">
        <is>
          <t>40B3C78DCBD3DDCB</t>
        </is>
      </c>
      <c r="N1884" s="99" t="inlineStr">
        <is>
          <t>Nexxiot</t>
        </is>
      </c>
    </row>
    <row r="1885">
      <c r="A1885" s="32" t="inlineStr">
        <is>
          <t>TALGO</t>
        </is>
      </c>
      <c r="B1885">
        <f>IFERROR(INDEX(Companies!$A$3:$A$101,MATCH(A1885,Companies!$B$3:$B$101,0)),"")</f>
        <v/>
      </c>
      <c r="D1885" t="inlineStr">
        <is>
          <t>FD4D2D95C201</t>
        </is>
      </c>
      <c r="E1885" s="24">
        <f>LEFT(D1885,2)&amp;":"&amp;MID(D1885,3,2)&amp;":"&amp;MID(D1885,5,2)&amp;":"&amp;MID(D1885,7,2)&amp;":"&amp;MID(D1885,9,2)&amp;":"&amp;RIGHT(D1885,2)</f>
        <v/>
      </c>
      <c r="H1885" t="inlineStr">
        <is>
          <t>508D496D2D0DE487</t>
        </is>
      </c>
      <c r="J1885" s="115" t="inlineStr">
        <is>
          <t>508D496D2D0DE487</t>
        </is>
      </c>
      <c r="N1885" s="99" t="inlineStr">
        <is>
          <t>recovered-round-3</t>
        </is>
      </c>
    </row>
    <row r="1886">
      <c r="A1886" s="32" t="inlineStr">
        <is>
          <t>TALGO</t>
        </is>
      </c>
      <c r="B1886">
        <f>IFERROR(INDEX(Companies!$A$3:$A$101,MATCH(A1886,Companies!$B$3:$B$101,0)),"")</f>
        <v/>
      </c>
      <c r="D1886" t="inlineStr">
        <is>
          <t>D21F40091D93</t>
        </is>
      </c>
      <c r="E1886" s="24">
        <f>LEFT(D1886,2)&amp;":"&amp;MID(D1886,3,2)&amp;":"&amp;MID(D1886,5,2)&amp;":"&amp;MID(D1886,7,2)&amp;":"&amp;MID(D1886,9,2)&amp;":"&amp;RIGHT(D1886,2)</f>
        <v/>
      </c>
      <c r="H1886" t="inlineStr">
        <is>
          <t>6C0226058F75481C</t>
        </is>
      </c>
      <c r="J1886" t="inlineStr">
        <is>
          <t>6C0226058F75481C</t>
        </is>
      </c>
      <c r="N1886" s="99" t="inlineStr">
        <is>
          <t>Nexxiot</t>
        </is>
      </c>
    </row>
    <row r="1887">
      <c r="A1887" s="32" t="inlineStr">
        <is>
          <t>TALGO</t>
        </is>
      </c>
      <c r="B1887">
        <f>IFERROR(INDEX(Companies!$A$3:$A$101,MATCH(A1887,Companies!$B$3:$B$101,0)),"")</f>
        <v/>
      </c>
      <c r="D1887" t="inlineStr">
        <is>
          <t>E29299C415A6</t>
        </is>
      </c>
      <c r="E1887" s="24">
        <f>LEFT(D1887,2)&amp;":"&amp;MID(D1887,3,2)&amp;":"&amp;MID(D1887,5,2)&amp;":"&amp;MID(D1887,7,2)&amp;":"&amp;MID(D1887,9,2)&amp;":"&amp;RIGHT(D1887,2)</f>
        <v/>
      </c>
      <c r="H1887" t="inlineStr">
        <is>
          <t>96E83C2B88DD84EA</t>
        </is>
      </c>
      <c r="J1887" t="inlineStr">
        <is>
          <t>96E83C2B88DD84EA</t>
        </is>
      </c>
      <c r="N1887" s="99" t="inlineStr">
        <is>
          <t>Nexxiot</t>
        </is>
      </c>
    </row>
    <row r="1888">
      <c r="A1888" s="32" t="inlineStr">
        <is>
          <t>TALGO</t>
        </is>
      </c>
      <c r="B1888">
        <f>IFERROR(INDEX(Companies!$A$3:$A$101,MATCH(A1888,Companies!$B$3:$B$101,0)),"")</f>
        <v/>
      </c>
      <c r="D1888" t="inlineStr">
        <is>
          <t>D2D669B50D7D</t>
        </is>
      </c>
      <c r="E1888" s="24">
        <f>LEFT(D1888,2)&amp;":"&amp;MID(D1888,3,2)&amp;":"&amp;MID(D1888,5,2)&amp;":"&amp;MID(D1888,7,2)&amp;":"&amp;MID(D1888,9,2)&amp;":"&amp;RIGHT(D1888,2)</f>
        <v/>
      </c>
      <c r="H1888" t="inlineStr">
        <is>
          <t>3A4BCCA24AAF50A6</t>
        </is>
      </c>
      <c r="J1888" t="inlineStr">
        <is>
          <t>3A4BCCA24AAF50A6</t>
        </is>
      </c>
      <c r="N1888" s="99" t="inlineStr">
        <is>
          <t>Nexxiot</t>
        </is>
      </c>
    </row>
    <row r="1889">
      <c r="A1889" s="32" t="inlineStr">
        <is>
          <t>TALGO</t>
        </is>
      </c>
      <c r="B1889">
        <f>IFERROR(INDEX(Companies!$A$3:$A$101,MATCH(A1889,Companies!$B$3:$B$101,0)),"")</f>
        <v/>
      </c>
      <c r="D1889" t="inlineStr">
        <is>
          <t>F0D74B5337FB</t>
        </is>
      </c>
      <c r="E1889" s="24">
        <f>LEFT(D1889,2)&amp;":"&amp;MID(D1889,3,2)&amp;":"&amp;MID(D1889,5,2)&amp;":"&amp;MID(D1889,7,2)&amp;":"&amp;MID(D1889,9,2)&amp;":"&amp;RIGHT(D1889,2)</f>
        <v/>
      </c>
      <c r="H1889" t="inlineStr">
        <is>
          <t>E4D6A8A32CCD5854</t>
        </is>
      </c>
      <c r="J1889" t="inlineStr">
        <is>
          <t>E4D6A8A32CCD5854</t>
        </is>
      </c>
      <c r="N1889" s="99" t="inlineStr">
        <is>
          <t>Nexxiot</t>
        </is>
      </c>
    </row>
    <row r="1890">
      <c r="A1890" s="32" t="inlineStr">
        <is>
          <t>TALGO</t>
        </is>
      </c>
      <c r="B1890">
        <f>IFERROR(INDEX(Companies!$A$3:$A$101,MATCH(A1890,Companies!$B$3:$B$101,0)),"")</f>
        <v/>
      </c>
      <c r="D1890" t="inlineStr">
        <is>
          <t>D129D3C9FE2E</t>
        </is>
      </c>
      <c r="E1890" s="24">
        <f>LEFT(D1890,2)&amp;":"&amp;MID(D1890,3,2)&amp;":"&amp;MID(D1890,5,2)&amp;":"&amp;MID(D1890,7,2)&amp;":"&amp;MID(D1890,9,2)&amp;":"&amp;RIGHT(D1890,2)</f>
        <v/>
      </c>
      <c r="H1890" t="inlineStr">
        <is>
          <t>776A2D6E4469C96A</t>
        </is>
      </c>
      <c r="J1890" t="inlineStr">
        <is>
          <t>776A2D6E4469C96A</t>
        </is>
      </c>
      <c r="N1890" s="99" t="inlineStr">
        <is>
          <t>Nexxiot</t>
        </is>
      </c>
    </row>
    <row r="1891">
      <c r="A1891" s="32" t="inlineStr">
        <is>
          <t>TALGO</t>
        </is>
      </c>
      <c r="B1891">
        <f>IFERROR(INDEX(Companies!$A$3:$A$101,MATCH(A1891,Companies!$B$3:$B$101,0)),"")</f>
        <v/>
      </c>
      <c r="D1891" t="inlineStr">
        <is>
          <t>FDD320FABFA8</t>
        </is>
      </c>
      <c r="E1891" s="24">
        <f>LEFT(D1891,2)&amp;":"&amp;MID(D1891,3,2)&amp;":"&amp;MID(D1891,5,2)&amp;":"&amp;MID(D1891,7,2)&amp;":"&amp;MID(D1891,9,2)&amp;":"&amp;RIGHT(D1891,2)</f>
        <v/>
      </c>
      <c r="H1891" t="inlineStr">
        <is>
          <t>5A363234825A283B</t>
        </is>
      </c>
      <c r="J1891" t="inlineStr">
        <is>
          <t>5A363234825A283B</t>
        </is>
      </c>
      <c r="N1891" s="99" t="inlineStr">
        <is>
          <t>Nexxiot</t>
        </is>
      </c>
    </row>
    <row r="1892">
      <c r="B1892">
        <f>IFERROR(INDEX(Companies!$A$3:$A$101,MATCH(A1892,Companies!$B$3:$B$101,0)),"")</f>
        <v/>
      </c>
      <c r="D1892" t="inlineStr">
        <is>
          <t>E7D9310D99AE</t>
        </is>
      </c>
      <c r="E1892" s="24">
        <f>LEFT(D1892,2)&amp;":"&amp;MID(D1892,3,2)&amp;":"&amp;MID(D1892,5,2)&amp;":"&amp;MID(D1892,7,2)&amp;":"&amp;MID(D1892,9,2)&amp;":"&amp;RIGHT(D1892,2)</f>
        <v/>
      </c>
      <c r="H1892" t="inlineStr">
        <is>
          <t>4D14EB953F2B3356</t>
        </is>
      </c>
      <c r="J1892" s="26" t="inlineStr">
        <is>
          <t>VIEZO0000000000000714</t>
        </is>
      </c>
      <c r="N1892" s="99" t="inlineStr">
        <is>
          <t>Nexxiot</t>
        </is>
      </c>
    </row>
    <row r="1893">
      <c r="A1893" s="32" t="inlineStr">
        <is>
          <t>TALGO</t>
        </is>
      </c>
      <c r="B1893">
        <f>IFERROR(INDEX(Companies!$A$3:$A$101,MATCH(A1893,Companies!$B$3:$B$101,0)),"")</f>
        <v/>
      </c>
      <c r="D1893" t="inlineStr">
        <is>
          <t>E81826D5A0DF</t>
        </is>
      </c>
      <c r="E1893" s="24">
        <f>LEFT(D1893,2)&amp;":"&amp;MID(D1893,3,2)&amp;":"&amp;MID(D1893,5,2)&amp;":"&amp;MID(D1893,7,2)&amp;":"&amp;MID(D1893,9,2)&amp;":"&amp;RIGHT(D1893,2)</f>
        <v/>
      </c>
      <c r="H1893" t="inlineStr">
        <is>
          <t>863F012BB821D981</t>
        </is>
      </c>
      <c r="J1893" s="115" t="inlineStr">
        <is>
          <t>863F012BB821D981</t>
        </is>
      </c>
      <c r="N1893" s="99" t="inlineStr">
        <is>
          <t>recovered-round-3</t>
        </is>
      </c>
    </row>
    <row r="1894">
      <c r="A1894" s="32" t="inlineStr">
        <is>
          <t>TALGO</t>
        </is>
      </c>
      <c r="B1894">
        <f>IFERROR(INDEX(Companies!$A$3:$A$101,MATCH(A1894,Companies!$B$3:$B$101,0)),"")</f>
        <v/>
      </c>
      <c r="D1894" t="inlineStr">
        <is>
          <t>DC6532700DD4</t>
        </is>
      </c>
      <c r="E1894" s="24">
        <f>LEFT(D1894,2)&amp;":"&amp;MID(D1894,3,2)&amp;":"&amp;MID(D1894,5,2)&amp;":"&amp;MID(D1894,7,2)&amp;":"&amp;MID(D1894,9,2)&amp;":"&amp;RIGHT(D1894,2)</f>
        <v/>
      </c>
      <c r="H1894" t="inlineStr">
        <is>
          <t>8E2A6755281812ED</t>
        </is>
      </c>
      <c r="J1894" t="inlineStr">
        <is>
          <t>8E2A6755281812ED</t>
        </is>
      </c>
      <c r="N1894" s="99" t="inlineStr">
        <is>
          <t>Nexxiot</t>
        </is>
      </c>
    </row>
    <row r="1895">
      <c r="A1895" s="32" t="inlineStr">
        <is>
          <t>TALGO</t>
        </is>
      </c>
      <c r="B1895">
        <f>IFERROR(INDEX(Companies!$A$3:$A$101,MATCH(A1895,Companies!$B$3:$B$101,0)),"")</f>
        <v/>
      </c>
      <c r="D1895" t="inlineStr">
        <is>
          <t>C6A05C4FF8AF</t>
        </is>
      </c>
      <c r="E1895" s="24">
        <f>LEFT(D1895,2)&amp;":"&amp;MID(D1895,3,2)&amp;":"&amp;MID(D1895,5,2)&amp;":"&amp;MID(D1895,7,2)&amp;":"&amp;MID(D1895,9,2)&amp;":"&amp;RIGHT(D1895,2)</f>
        <v/>
      </c>
      <c r="H1895" t="inlineStr">
        <is>
          <t>549AE6674F912FF1</t>
        </is>
      </c>
      <c r="J1895" s="113" t="inlineStr">
        <is>
          <t>549AE6674F912FF1</t>
        </is>
      </c>
      <c r="N1895" s="99" t="inlineStr">
        <is>
          <t>whitelisted-round-3</t>
        </is>
      </c>
    </row>
    <row r="1896">
      <c r="A1896" s="32" t="inlineStr">
        <is>
          <t>TALGO</t>
        </is>
      </c>
      <c r="B1896">
        <f>IFERROR(INDEX(Companies!$A$3:$A$101,MATCH(A1896,Companies!$B$3:$B$101,0)),"")</f>
        <v/>
      </c>
      <c r="D1896" t="inlineStr">
        <is>
          <t>E9CF153640D9</t>
        </is>
      </c>
      <c r="E1896" s="24">
        <f>LEFT(D1896,2)&amp;":"&amp;MID(D1896,3,2)&amp;":"&amp;MID(D1896,5,2)&amp;":"&amp;MID(D1896,7,2)&amp;":"&amp;MID(D1896,9,2)&amp;":"&amp;RIGHT(D1896,2)</f>
        <v/>
      </c>
      <c r="H1896" t="inlineStr">
        <is>
          <t>FAB8AB0A0458C298</t>
        </is>
      </c>
      <c r="J1896" t="inlineStr">
        <is>
          <t>FAB8AB0A0458C298</t>
        </is>
      </c>
      <c r="N1896" s="99" t="inlineStr">
        <is>
          <t>Nexxiot</t>
        </is>
      </c>
    </row>
    <row r="1897">
      <c r="A1897" s="32" t="inlineStr">
        <is>
          <t>TALGO</t>
        </is>
      </c>
      <c r="B1897">
        <f>IFERROR(INDEX(Companies!$A$3:$A$101,MATCH(A1897,Companies!$B$3:$B$101,0)),"")</f>
        <v/>
      </c>
      <c r="D1897" t="inlineStr">
        <is>
          <t>F0959591D0B5</t>
        </is>
      </c>
      <c r="E1897" s="24">
        <f>LEFT(D1897,2)&amp;":"&amp;MID(D1897,3,2)&amp;":"&amp;MID(D1897,5,2)&amp;":"&amp;MID(D1897,7,2)&amp;":"&amp;MID(D1897,9,2)&amp;":"&amp;RIGHT(D1897,2)</f>
        <v/>
      </c>
      <c r="H1897" t="inlineStr">
        <is>
          <t>58B3370C7D6BFBC1</t>
        </is>
      </c>
      <c r="J1897" t="inlineStr">
        <is>
          <t>58B3370C7D6BFBC1</t>
        </is>
      </c>
      <c r="N1897" s="99" t="inlineStr">
        <is>
          <t>Nexxiot</t>
        </is>
      </c>
    </row>
    <row r="1898">
      <c r="A1898" s="32" t="inlineStr">
        <is>
          <t>TALGO</t>
        </is>
      </c>
      <c r="B1898">
        <f>IFERROR(INDEX(Companies!$A$3:$A$101,MATCH(A1898,Companies!$B$3:$B$101,0)),"")</f>
        <v/>
      </c>
      <c r="D1898" t="inlineStr">
        <is>
          <t>E61DC8891B65</t>
        </is>
      </c>
      <c r="E1898" s="24">
        <f>LEFT(D1898,2)&amp;":"&amp;MID(D1898,3,2)&amp;":"&amp;MID(D1898,5,2)&amp;":"&amp;MID(D1898,7,2)&amp;":"&amp;MID(D1898,9,2)&amp;":"&amp;RIGHT(D1898,2)</f>
        <v/>
      </c>
      <c r="H1898" t="inlineStr">
        <is>
          <t>282C71511A4F4745</t>
        </is>
      </c>
      <c r="J1898" t="inlineStr">
        <is>
          <t>282C71511A4F4745</t>
        </is>
      </c>
      <c r="N1898" s="99" t="inlineStr">
        <is>
          <t>Nexxiot</t>
        </is>
      </c>
    </row>
    <row r="1899">
      <c r="A1899" s="32" t="inlineStr">
        <is>
          <t>SUJAN</t>
        </is>
      </c>
      <c r="B1899">
        <f>IFERROR(INDEX(Companies!$A$3:$A$101,MATCH(A1899,Companies!$B$3:$B$101,0)),"")</f>
        <v/>
      </c>
      <c r="D1899" t="inlineStr">
        <is>
          <t>C84C367A1261</t>
        </is>
      </c>
      <c r="E1899" s="24">
        <f>LEFT(D1899,2)&amp;":"&amp;MID(D1899,3,2)&amp;":"&amp;MID(D1899,5,2)&amp;":"&amp;MID(D1899,7,2)&amp;":"&amp;MID(D1899,9,2)&amp;":"&amp;RIGHT(D1899,2)</f>
        <v/>
      </c>
      <c r="H1899" t="inlineStr">
        <is>
          <t>6CEED9B2473C842A</t>
        </is>
      </c>
      <c r="J1899" t="inlineStr">
        <is>
          <t>VIEZO0000000000000721</t>
        </is>
      </c>
      <c r="N1899" s="99" t="inlineStr">
        <is>
          <t>Nexxiot</t>
        </is>
      </c>
    </row>
    <row r="1900">
      <c r="A1900" s="32" t="inlineStr">
        <is>
          <t>TALGO</t>
        </is>
      </c>
      <c r="B1900">
        <f>IFERROR(INDEX(Companies!$A$3:$A$101,MATCH(A1900,Companies!$B$3:$B$101,0)),"")</f>
        <v/>
      </c>
      <c r="D1900" t="inlineStr">
        <is>
          <t>E4AD23A74FF2</t>
        </is>
      </c>
      <c r="E1900" s="24">
        <f>LEFT(D1900,2)&amp;":"&amp;MID(D1900,3,2)&amp;":"&amp;MID(D1900,5,2)&amp;":"&amp;MID(D1900,7,2)&amp;":"&amp;MID(D1900,9,2)&amp;":"&amp;RIGHT(D1900,2)</f>
        <v/>
      </c>
      <c r="H1900" t="inlineStr">
        <is>
          <t>E0A74D91A1461AF0</t>
        </is>
      </c>
      <c r="J1900" t="inlineStr">
        <is>
          <t>E0A74D91A1461AF0</t>
        </is>
      </c>
      <c r="N1900" s="99" t="inlineStr">
        <is>
          <t>Nexxiot</t>
        </is>
      </c>
    </row>
    <row r="1901">
      <c r="A1901" s="32" t="inlineStr">
        <is>
          <t>SUJAN</t>
        </is>
      </c>
      <c r="B1901">
        <f>IFERROR(INDEX(Companies!$A$3:$A$101,MATCH(A1901,Companies!$B$3:$B$101,0)),"")</f>
        <v/>
      </c>
      <c r="D1901" t="inlineStr">
        <is>
          <t>C0022C633976</t>
        </is>
      </c>
      <c r="E1901" s="24">
        <f>LEFT(D1901,2)&amp;":"&amp;MID(D1901,3,2)&amp;":"&amp;MID(D1901,5,2)&amp;":"&amp;MID(D1901,7,2)&amp;":"&amp;MID(D1901,9,2)&amp;":"&amp;RIGHT(D1901,2)</f>
        <v/>
      </c>
      <c r="H1901" t="inlineStr">
        <is>
          <t>A4D2EE8BE17D51E7</t>
        </is>
      </c>
      <c r="J1901" t="inlineStr">
        <is>
          <t>VIEZO0000000000000723</t>
        </is>
      </c>
      <c r="N1901" s="99" t="inlineStr">
        <is>
          <t>Nexxiot</t>
        </is>
      </c>
    </row>
    <row r="1902">
      <c r="A1902" s="32" t="inlineStr">
        <is>
          <t>TALGO</t>
        </is>
      </c>
      <c r="B1902">
        <f>IFERROR(INDEX(Companies!$A$3:$A$101,MATCH(A1902,Companies!$B$3:$B$101,0)),"")</f>
        <v/>
      </c>
      <c r="D1902" t="inlineStr">
        <is>
          <t>C3100B7D4C16</t>
        </is>
      </c>
      <c r="E1902" s="24">
        <f>LEFT(D1902,2)&amp;":"&amp;MID(D1902,3,2)&amp;":"&amp;MID(D1902,5,2)&amp;":"&amp;MID(D1902,7,2)&amp;":"&amp;MID(D1902,9,2)&amp;":"&amp;RIGHT(D1902,2)</f>
        <v/>
      </c>
      <c r="H1902" t="inlineStr">
        <is>
          <t>C74E81EE3C32232E</t>
        </is>
      </c>
      <c r="J1902" t="inlineStr">
        <is>
          <t>C74E81EE3C32232E</t>
        </is>
      </c>
      <c r="N1902" s="99" t="inlineStr">
        <is>
          <t>Nexxiot</t>
        </is>
      </c>
    </row>
    <row r="1903">
      <c r="A1903" s="32" t="inlineStr">
        <is>
          <t>TALGO</t>
        </is>
      </c>
      <c r="B1903">
        <f>IFERROR(INDEX(Companies!$A$3:$A$101,MATCH(A1903,Companies!$B$3:$B$101,0)),"")</f>
        <v/>
      </c>
      <c r="D1903" t="inlineStr">
        <is>
          <t>EF1EA8880519</t>
        </is>
      </c>
      <c r="E1903" s="24">
        <f>LEFT(D1903,2)&amp;":"&amp;MID(D1903,3,2)&amp;":"&amp;MID(D1903,5,2)&amp;":"&amp;MID(D1903,7,2)&amp;":"&amp;MID(D1903,9,2)&amp;":"&amp;RIGHT(D1903,2)</f>
        <v/>
      </c>
      <c r="H1903" t="inlineStr">
        <is>
          <t>D4A33D5AE40616DE</t>
        </is>
      </c>
      <c r="J1903" s="115" t="inlineStr">
        <is>
          <t>D4A33D5AE40616DE</t>
        </is>
      </c>
      <c r="N1903" s="99" t="inlineStr">
        <is>
          <t>recovered-round-3</t>
        </is>
      </c>
    </row>
    <row r="1904">
      <c r="A1904" s="32" t="inlineStr">
        <is>
          <t>TALGO</t>
        </is>
      </c>
      <c r="B1904">
        <f>IFERROR(INDEX(Companies!$A$3:$A$101,MATCH(A1904,Companies!$B$3:$B$101,0)),"")</f>
        <v/>
      </c>
      <c r="D1904" t="inlineStr">
        <is>
          <t>C7C6D711DFB6</t>
        </is>
      </c>
      <c r="E1904" s="24">
        <f>LEFT(D1904,2)&amp;":"&amp;MID(D1904,3,2)&amp;":"&amp;MID(D1904,5,2)&amp;":"&amp;MID(D1904,7,2)&amp;":"&amp;MID(D1904,9,2)&amp;":"&amp;RIGHT(D1904,2)</f>
        <v/>
      </c>
      <c r="H1904" t="inlineStr">
        <is>
          <t>4182DFA73AA32F6D</t>
        </is>
      </c>
      <c r="J1904" t="inlineStr">
        <is>
          <t>4182DFA73AA32F6D</t>
        </is>
      </c>
      <c r="N1904" s="99" t="inlineStr">
        <is>
          <t>Nexxiot</t>
        </is>
      </c>
    </row>
    <row r="1905">
      <c r="A1905" s="32" t="inlineStr">
        <is>
          <t>TALGO</t>
        </is>
      </c>
      <c r="B1905">
        <f>IFERROR(INDEX(Companies!$A$3:$A$101,MATCH(A1905,Companies!$B$3:$B$101,0)),"")</f>
        <v/>
      </c>
      <c r="D1905" t="inlineStr">
        <is>
          <t>C1936D473659</t>
        </is>
      </c>
      <c r="E1905" s="24">
        <f>LEFT(D1905,2)&amp;":"&amp;MID(D1905,3,2)&amp;":"&amp;MID(D1905,5,2)&amp;":"&amp;MID(D1905,7,2)&amp;":"&amp;MID(D1905,9,2)&amp;":"&amp;RIGHT(D1905,2)</f>
        <v/>
      </c>
      <c r="H1905" t="inlineStr">
        <is>
          <t>2A30F7F2BA8B6D28</t>
        </is>
      </c>
      <c r="J1905" t="inlineStr">
        <is>
          <t>2A30F7F2BA8B6D28</t>
        </is>
      </c>
      <c r="N1905" s="99" t="inlineStr">
        <is>
          <t>Nexxiot</t>
        </is>
      </c>
    </row>
    <row r="1906">
      <c r="A1906" s="32" t="inlineStr">
        <is>
          <t>TALGO</t>
        </is>
      </c>
      <c r="B1906">
        <f>IFERROR(INDEX(Companies!$A$3:$A$101,MATCH(A1906,Companies!$B$3:$B$101,0)),"")</f>
        <v/>
      </c>
      <c r="D1906" t="inlineStr">
        <is>
          <t>D450DC9D0BC9</t>
        </is>
      </c>
      <c r="E1906" s="24">
        <f>LEFT(D1906,2)&amp;":"&amp;MID(D1906,3,2)&amp;":"&amp;MID(D1906,5,2)&amp;":"&amp;MID(D1906,7,2)&amp;":"&amp;MID(D1906,9,2)&amp;":"&amp;RIGHT(D1906,2)</f>
        <v/>
      </c>
      <c r="H1906" t="inlineStr">
        <is>
          <t>24F778F4EA0446CD</t>
        </is>
      </c>
      <c r="J1906" s="115" t="inlineStr">
        <is>
          <t>24F778F4EA0446CD</t>
        </is>
      </c>
      <c r="N1906" s="99" t="inlineStr">
        <is>
          <t>recovered-round-3</t>
        </is>
      </c>
    </row>
    <row r="1907">
      <c r="A1907" s="32" t="inlineStr">
        <is>
          <t>TALGO</t>
        </is>
      </c>
      <c r="B1907">
        <f>IFERROR(INDEX(Companies!$A$3:$A$101,MATCH(A1907,Companies!$B$3:$B$101,0)),"")</f>
        <v/>
      </c>
      <c r="D1907" t="inlineStr">
        <is>
          <t>E12D83CB1D95</t>
        </is>
      </c>
      <c r="E1907" s="24">
        <f>LEFT(D1907,2)&amp;":"&amp;MID(D1907,3,2)&amp;":"&amp;MID(D1907,5,2)&amp;":"&amp;MID(D1907,7,2)&amp;":"&amp;MID(D1907,9,2)&amp;":"&amp;RIGHT(D1907,2)</f>
        <v/>
      </c>
      <c r="H1907" t="inlineStr">
        <is>
          <t>E751D1D6294E5F3C</t>
        </is>
      </c>
      <c r="J1907" s="115" t="inlineStr">
        <is>
          <t>E751D1D6294E5F3C</t>
        </is>
      </c>
      <c r="N1907" s="99" t="inlineStr">
        <is>
          <t>recovered-round-3</t>
        </is>
      </c>
    </row>
    <row r="1908">
      <c r="A1908" s="32" t="inlineStr">
        <is>
          <t>TALGO</t>
        </is>
      </c>
      <c r="B1908">
        <f>IFERROR(INDEX(Companies!$A$3:$A$101,MATCH(A1908,Companies!$B$3:$B$101,0)),"")</f>
        <v/>
      </c>
      <c r="D1908" t="inlineStr">
        <is>
          <t>F6F93C7789F4</t>
        </is>
      </c>
      <c r="E1908" s="24">
        <f>LEFT(D1908,2)&amp;":"&amp;MID(D1908,3,2)&amp;":"&amp;MID(D1908,5,2)&amp;":"&amp;MID(D1908,7,2)&amp;":"&amp;MID(D1908,9,2)&amp;":"&amp;RIGHT(D1908,2)</f>
        <v/>
      </c>
      <c r="H1908" t="inlineStr">
        <is>
          <t>F32E91106FF2868A</t>
        </is>
      </c>
      <c r="J1908" s="113" t="inlineStr">
        <is>
          <t>F32E91106FF2868A</t>
        </is>
      </c>
      <c r="N1908" s="99" t="inlineStr">
        <is>
          <t>whitelisted-round-3</t>
        </is>
      </c>
    </row>
    <row r="1909">
      <c r="A1909" s="32" t="inlineStr">
        <is>
          <t>TALGO</t>
        </is>
      </c>
      <c r="B1909">
        <f>IFERROR(INDEX(Companies!$A$3:$A$101,MATCH(A1909,Companies!$B$3:$B$101,0)),"")</f>
        <v/>
      </c>
      <c r="D1909" t="inlineStr">
        <is>
          <t>E2D1C2A339F3</t>
        </is>
      </c>
      <c r="E1909" s="24">
        <f>LEFT(D1909,2)&amp;":"&amp;MID(D1909,3,2)&amp;":"&amp;MID(D1909,5,2)&amp;":"&amp;MID(D1909,7,2)&amp;":"&amp;MID(D1909,9,2)&amp;":"&amp;RIGHT(D1909,2)</f>
        <v/>
      </c>
      <c r="H1909" t="inlineStr">
        <is>
          <t>A1293193A0276BA2</t>
        </is>
      </c>
      <c r="J1909" t="inlineStr">
        <is>
          <t>A1293193A0276BA2</t>
        </is>
      </c>
      <c r="N1909" s="99" t="inlineStr">
        <is>
          <t>Nexxiot</t>
        </is>
      </c>
    </row>
    <row r="1910">
      <c r="A1910" s="32" t="inlineStr">
        <is>
          <t>TALGO</t>
        </is>
      </c>
      <c r="B1910">
        <f>IFERROR(INDEX(Companies!$A$3:$A$101,MATCH(A1910,Companies!$B$3:$B$101,0)),"")</f>
        <v/>
      </c>
      <c r="D1910" t="inlineStr">
        <is>
          <t>F81FCC1F2B06</t>
        </is>
      </c>
      <c r="E1910" s="24">
        <f>LEFT(D1910,2)&amp;":"&amp;MID(D1910,3,2)&amp;":"&amp;MID(D1910,5,2)&amp;":"&amp;MID(D1910,7,2)&amp;":"&amp;MID(D1910,9,2)&amp;":"&amp;RIGHT(D1910,2)</f>
        <v/>
      </c>
      <c r="H1910" t="inlineStr">
        <is>
          <t>C3F9EFF9896AF3B5</t>
        </is>
      </c>
      <c r="J1910" s="113" t="inlineStr">
        <is>
          <t>C3F9EFF9896AF3B5</t>
        </is>
      </c>
      <c r="N1910" s="99" t="inlineStr">
        <is>
          <t>whitelisted-round-4</t>
        </is>
      </c>
    </row>
    <row r="1911">
      <c r="A1911" s="32" t="inlineStr">
        <is>
          <t>TALGO</t>
        </is>
      </c>
      <c r="B1911">
        <f>IFERROR(INDEX(Companies!$A$3:$A$101,MATCH(A1911,Companies!$B$3:$B$101,0)),"")</f>
        <v/>
      </c>
      <c r="D1911" t="inlineStr">
        <is>
          <t>FFF7F56703F3</t>
        </is>
      </c>
      <c r="E1911" s="24">
        <f>LEFT(D1911,2)&amp;":"&amp;MID(D1911,3,2)&amp;":"&amp;MID(D1911,5,2)&amp;":"&amp;MID(D1911,7,2)&amp;":"&amp;MID(D1911,9,2)&amp;":"&amp;RIGHT(D1911,2)</f>
        <v/>
      </c>
      <c r="H1911" t="inlineStr">
        <is>
          <t>DF8094CDE3B5AE50</t>
        </is>
      </c>
      <c r="J1911" t="inlineStr">
        <is>
          <t>DF8094CDE3B5AE50</t>
        </is>
      </c>
      <c r="N1911" s="99" t="inlineStr">
        <is>
          <t>Nexxiot</t>
        </is>
      </c>
    </row>
    <row r="1912">
      <c r="A1912" s="32" t="inlineStr">
        <is>
          <t>TALGO</t>
        </is>
      </c>
      <c r="B1912">
        <f>IFERROR(INDEX(Companies!$A$3:$A$101,MATCH(A1912,Companies!$B$3:$B$101,0)),"")</f>
        <v/>
      </c>
      <c r="D1912" t="inlineStr">
        <is>
          <t>C63E81134B07</t>
        </is>
      </c>
      <c r="E1912" s="24">
        <f>LEFT(D1912,2)&amp;":"&amp;MID(D1912,3,2)&amp;":"&amp;MID(D1912,5,2)&amp;":"&amp;MID(D1912,7,2)&amp;":"&amp;MID(D1912,9,2)&amp;":"&amp;RIGHT(D1912,2)</f>
        <v/>
      </c>
      <c r="H1912" t="inlineStr">
        <is>
          <t>B3D9E439C827F084</t>
        </is>
      </c>
      <c r="J1912" s="113" t="inlineStr">
        <is>
          <t>B3D9E439C827F084</t>
        </is>
      </c>
      <c r="N1912" s="99" t="inlineStr">
        <is>
          <t>whitelisted-round-4</t>
        </is>
      </c>
    </row>
    <row r="1913">
      <c r="A1913" s="32" t="inlineStr">
        <is>
          <t>SUJAN</t>
        </is>
      </c>
      <c r="B1913">
        <f>IFERROR(INDEX(Companies!$A$3:$A$101,MATCH(A1913,Companies!$B$3:$B$101,0)),"")</f>
        <v/>
      </c>
      <c r="D1913" t="inlineStr">
        <is>
          <t>C47D5D652778</t>
        </is>
      </c>
      <c r="E1913" s="24">
        <f>LEFT(D1913,2)&amp;":"&amp;MID(D1913,3,2)&amp;":"&amp;MID(D1913,5,2)&amp;":"&amp;MID(D1913,7,2)&amp;":"&amp;MID(D1913,9,2)&amp;":"&amp;RIGHT(D1913,2)</f>
        <v/>
      </c>
      <c r="H1913" t="inlineStr">
        <is>
          <t>59C51C866A57F626</t>
        </is>
      </c>
      <c r="J1913" t="inlineStr">
        <is>
          <t>VIEZO0000000000000735</t>
        </is>
      </c>
      <c r="N1913" s="99" t="inlineStr">
        <is>
          <t>Nexxiot</t>
        </is>
      </c>
    </row>
    <row r="1914">
      <c r="A1914" s="32" t="inlineStr">
        <is>
          <t>TALGO</t>
        </is>
      </c>
      <c r="B1914">
        <f>IFERROR(INDEX(Companies!$A$3:$A$101,MATCH(A1914,Companies!$B$3:$B$101,0)),"")</f>
        <v/>
      </c>
      <c r="D1914" t="inlineStr">
        <is>
          <t>E4D5953A0EA1</t>
        </is>
      </c>
      <c r="E1914" s="24">
        <f>LEFT(D1914,2)&amp;":"&amp;MID(D1914,3,2)&amp;":"&amp;MID(D1914,5,2)&amp;":"&amp;MID(D1914,7,2)&amp;":"&amp;MID(D1914,9,2)&amp;":"&amp;RIGHT(D1914,2)</f>
        <v/>
      </c>
      <c r="H1914" t="inlineStr">
        <is>
          <t>766D4F3A54438F58</t>
        </is>
      </c>
      <c r="J1914" t="inlineStr">
        <is>
          <t>766D4F3A54438F58</t>
        </is>
      </c>
      <c r="N1914" s="99" t="inlineStr">
        <is>
          <t>Nexxiot</t>
        </is>
      </c>
    </row>
    <row r="1915">
      <c r="A1915" s="32" t="inlineStr">
        <is>
          <t>TALGO</t>
        </is>
      </c>
      <c r="B1915">
        <f>IFERROR(INDEX(Companies!$A$3:$A$101,MATCH(A1915,Companies!$B$3:$B$101,0)),"")</f>
        <v/>
      </c>
      <c r="D1915" t="inlineStr">
        <is>
          <t>F6BB3151F78C</t>
        </is>
      </c>
      <c r="E1915" s="24">
        <f>LEFT(D1915,2)&amp;":"&amp;MID(D1915,3,2)&amp;":"&amp;MID(D1915,5,2)&amp;":"&amp;MID(D1915,7,2)&amp;":"&amp;MID(D1915,9,2)&amp;":"&amp;RIGHT(D1915,2)</f>
        <v/>
      </c>
      <c r="H1915" t="inlineStr">
        <is>
          <t>F515A54642218FB0</t>
        </is>
      </c>
      <c r="J1915" s="113" t="inlineStr">
        <is>
          <t>F515A54642218FB0</t>
        </is>
      </c>
      <c r="N1915" s="99" t="inlineStr">
        <is>
          <t>whitelisted-round-4</t>
        </is>
      </c>
    </row>
    <row r="1916">
      <c r="A1916" s="32" t="inlineStr">
        <is>
          <t>TALGO</t>
        </is>
      </c>
      <c r="B1916">
        <f>IFERROR(INDEX(Companies!$A$3:$A$101,MATCH(A1916,Companies!$B$3:$B$101,0)),"")</f>
        <v/>
      </c>
      <c r="D1916" t="inlineStr">
        <is>
          <t>C98B8D378D3C</t>
        </is>
      </c>
      <c r="E1916" s="24">
        <f>LEFT(D1916,2)&amp;":"&amp;MID(D1916,3,2)&amp;":"&amp;MID(D1916,5,2)&amp;":"&amp;MID(D1916,7,2)&amp;":"&amp;MID(D1916,9,2)&amp;":"&amp;RIGHT(D1916,2)</f>
        <v/>
      </c>
      <c r="H1916" t="inlineStr">
        <is>
          <t>917E0F118F124A32</t>
        </is>
      </c>
      <c r="J1916" s="113" t="inlineStr">
        <is>
          <t>917E0F118F124A32</t>
        </is>
      </c>
      <c r="N1916" s="99" t="inlineStr">
        <is>
          <t>whitelisted-round-4</t>
        </is>
      </c>
    </row>
    <row r="1917">
      <c r="A1917" s="32" t="inlineStr">
        <is>
          <t>TALGO</t>
        </is>
      </c>
      <c r="B1917">
        <f>IFERROR(INDEX(Companies!$A$3:$A$101,MATCH(A1917,Companies!$B$3:$B$101,0)),"")</f>
        <v/>
      </c>
      <c r="D1917" t="inlineStr">
        <is>
          <t>DBDB21FC984B</t>
        </is>
      </c>
      <c r="E1917" s="24">
        <f>LEFT(D1917,2)&amp;":"&amp;MID(D1917,3,2)&amp;":"&amp;MID(D1917,5,2)&amp;":"&amp;MID(D1917,7,2)&amp;":"&amp;MID(D1917,9,2)&amp;":"&amp;RIGHT(D1917,2)</f>
        <v/>
      </c>
      <c r="H1917" t="inlineStr">
        <is>
          <t>27CD8F2ED93E3DEF</t>
        </is>
      </c>
      <c r="J1917" t="inlineStr">
        <is>
          <t>27CD8F2ED93E3DEF</t>
        </is>
      </c>
      <c r="N1917" s="99" t="inlineStr">
        <is>
          <t>Nexxiot</t>
        </is>
      </c>
    </row>
    <row r="1918">
      <c r="A1918" s="32" t="inlineStr">
        <is>
          <t>TALGO</t>
        </is>
      </c>
      <c r="B1918">
        <f>IFERROR(INDEX(Companies!$A$3:$A$101,MATCH(A1918,Companies!$B$3:$B$101,0)),"")</f>
        <v/>
      </c>
      <c r="D1918" t="inlineStr">
        <is>
          <t>EE4752AA2062</t>
        </is>
      </c>
      <c r="E1918" s="24">
        <f>LEFT(D1918,2)&amp;":"&amp;MID(D1918,3,2)&amp;":"&amp;MID(D1918,5,2)&amp;":"&amp;MID(D1918,7,2)&amp;":"&amp;MID(D1918,9,2)&amp;":"&amp;RIGHT(D1918,2)</f>
        <v/>
      </c>
      <c r="H1918" t="inlineStr">
        <is>
          <t>ECB39925B1432090</t>
        </is>
      </c>
      <c r="J1918" s="113" t="inlineStr">
        <is>
          <t>VIEZO0000000000000744</t>
        </is>
      </c>
      <c r="N1918" s="99" t="inlineStr">
        <is>
          <t>whitelisted-round-4</t>
        </is>
      </c>
    </row>
    <row r="1919">
      <c r="A1919" s="32" t="inlineStr">
        <is>
          <t>TALGO</t>
        </is>
      </c>
      <c r="B1919">
        <f>IFERROR(INDEX(Companies!$A$3:$A$101,MATCH(A1919,Companies!$B$3:$B$101,0)),"")</f>
        <v/>
      </c>
      <c r="D1919" t="inlineStr">
        <is>
          <t>E802276272EC</t>
        </is>
      </c>
      <c r="E1919" s="24">
        <f>LEFT(D1919,2)&amp;":"&amp;MID(D1919,3,2)&amp;":"&amp;MID(D1919,5,2)&amp;":"&amp;MID(D1919,7,2)&amp;":"&amp;MID(D1919,9,2)&amp;":"&amp;RIGHT(D1919,2)</f>
        <v/>
      </c>
      <c r="H1919" t="inlineStr">
        <is>
          <t>A46C89F0C5E346F0</t>
        </is>
      </c>
      <c r="J1919" t="inlineStr">
        <is>
          <t>A46C89F0C5E346F0</t>
        </is>
      </c>
      <c r="N1919" s="99" t="inlineStr">
        <is>
          <t>Nexxiot</t>
        </is>
      </c>
    </row>
    <row r="1920">
      <c r="A1920" s="53" t="inlineStr">
        <is>
          <t>TALGO</t>
        </is>
      </c>
      <c r="B1920">
        <f>IFERROR(INDEX(Companies!$A$3:$A$101,MATCH(A1920,Companies!$B$3:$B$101,0)),"")</f>
        <v/>
      </c>
      <c r="D1920" t="inlineStr">
        <is>
          <t>C218D26B0AFE</t>
        </is>
      </c>
      <c r="E1920" s="24">
        <f>LEFT(D1920,2)&amp;":"&amp;MID(D1920,3,2)&amp;":"&amp;MID(D1920,5,2)&amp;":"&amp;MID(D1920,7,2)&amp;":"&amp;MID(D1920,9,2)&amp;":"&amp;RIGHT(D1920,2)</f>
        <v/>
      </c>
      <c r="H1920" t="inlineStr">
        <is>
          <t>8679A5D78A45242C</t>
        </is>
      </c>
      <c r="J1920" t="inlineStr">
        <is>
          <t>8679A5D78A45242C</t>
        </is>
      </c>
      <c r="N1920" s="99" t="inlineStr">
        <is>
          <t>Nexxiot</t>
        </is>
      </c>
    </row>
    <row r="1921">
      <c r="A1921" s="32" t="inlineStr">
        <is>
          <t>SUJAN</t>
        </is>
      </c>
      <c r="B1921">
        <f>IFERROR(INDEX(Companies!$A$3:$A$101,MATCH(A1921,Companies!$B$3:$B$101,0)),"")</f>
        <v/>
      </c>
      <c r="D1921" t="inlineStr">
        <is>
          <t>D70AFEA995E8</t>
        </is>
      </c>
      <c r="E1921" s="24">
        <f>LEFT(D1921,2)&amp;":"&amp;MID(D1921,3,2)&amp;":"&amp;MID(D1921,5,2)&amp;":"&amp;MID(D1921,7,2)&amp;":"&amp;MID(D1921,9,2)&amp;":"&amp;RIGHT(D1921,2)</f>
        <v/>
      </c>
      <c r="H1921" t="inlineStr">
        <is>
          <t>84E6A00974AA0E90</t>
        </is>
      </c>
      <c r="J1921" t="inlineStr">
        <is>
          <t>VIEZO0000000000000743</t>
        </is>
      </c>
      <c r="N1921" s="99" t="inlineStr">
        <is>
          <t>Nexxiot</t>
        </is>
      </c>
    </row>
    <row r="1922">
      <c r="A1922" s="32" t="inlineStr">
        <is>
          <t>TALGO</t>
        </is>
      </c>
      <c r="B1922">
        <f>IFERROR(INDEX(Companies!$A$3:$A$101,MATCH(A1922,Companies!$B$3:$B$101,0)),"")</f>
        <v/>
      </c>
      <c r="D1922" t="inlineStr">
        <is>
          <t>F7272352DF12</t>
        </is>
      </c>
      <c r="E1922" s="24">
        <f>LEFT(D1922,2)&amp;":"&amp;MID(D1922,3,2)&amp;":"&amp;MID(D1922,5,2)&amp;":"&amp;MID(D1922,7,2)&amp;":"&amp;MID(D1922,9,2)&amp;":"&amp;RIGHT(D1922,2)</f>
        <v/>
      </c>
      <c r="H1922" t="inlineStr">
        <is>
          <t>95AC9D640CBD90D8</t>
        </is>
      </c>
      <c r="J1922" t="inlineStr">
        <is>
          <t>95AC9D640CBD90D8</t>
        </is>
      </c>
      <c r="N1922" s="99" t="inlineStr">
        <is>
          <t>Nexxiot</t>
        </is>
      </c>
    </row>
    <row r="1923">
      <c r="A1923" s="32" t="inlineStr">
        <is>
          <t>TALGO</t>
        </is>
      </c>
      <c r="B1923">
        <f>IFERROR(INDEX(Companies!$A$3:$A$101,MATCH(A1923,Companies!$B$3:$B$101,0)),"")</f>
        <v/>
      </c>
      <c r="D1923" t="inlineStr">
        <is>
          <t>D0F034650887</t>
        </is>
      </c>
      <c r="E1923" s="24">
        <f>LEFT(D1923,2)&amp;":"&amp;MID(D1923,3,2)&amp;":"&amp;MID(D1923,5,2)&amp;":"&amp;MID(D1923,7,2)&amp;":"&amp;MID(D1923,9,2)&amp;":"&amp;RIGHT(D1923,2)</f>
        <v/>
      </c>
      <c r="H1923" t="inlineStr">
        <is>
          <t>40C39166A4B1A0B4</t>
        </is>
      </c>
      <c r="J1923" t="inlineStr">
        <is>
          <t>40C39166A4B1A0B4</t>
        </is>
      </c>
      <c r="N1923" s="99" t="inlineStr">
        <is>
          <t>Nexxiot</t>
        </is>
      </c>
    </row>
    <row r="1924">
      <c r="A1924" s="32" t="inlineStr">
        <is>
          <t>TALGO</t>
        </is>
      </c>
      <c r="B1924">
        <f>IFERROR(INDEX(Companies!$A$3:$A$101,MATCH(A1924,Companies!$B$3:$B$101,0)),"")</f>
        <v/>
      </c>
      <c r="D1924" t="inlineStr">
        <is>
          <t>F4871F1D173F</t>
        </is>
      </c>
      <c r="E1924" s="24">
        <f>LEFT(D1924,2)&amp;":"&amp;MID(D1924,3,2)&amp;":"&amp;MID(D1924,5,2)&amp;":"&amp;MID(D1924,7,2)&amp;":"&amp;MID(D1924,9,2)&amp;":"&amp;RIGHT(D1924,2)</f>
        <v/>
      </c>
      <c r="H1924" t="inlineStr">
        <is>
          <t>65B16519F0DF29EC</t>
        </is>
      </c>
      <c r="J1924" s="113" t="inlineStr">
        <is>
          <t>65B16519F0DF29EC</t>
        </is>
      </c>
      <c r="N1924" s="99" t="inlineStr">
        <is>
          <t>whitelisted-round-4</t>
        </is>
      </c>
    </row>
    <row r="1925">
      <c r="A1925" s="32" t="inlineStr">
        <is>
          <t>TALGO</t>
        </is>
      </c>
      <c r="B1925">
        <f>IFERROR(INDEX(Companies!$A$3:$A$101,MATCH(A1925,Companies!$B$3:$B$101,0)),"")</f>
        <v/>
      </c>
      <c r="D1925" t="inlineStr">
        <is>
          <t>FC50B80A50EB</t>
        </is>
      </c>
      <c r="E1925" s="24">
        <f>LEFT(D1925,2)&amp;":"&amp;MID(D1925,3,2)&amp;":"&amp;MID(D1925,5,2)&amp;":"&amp;MID(D1925,7,2)&amp;":"&amp;MID(D1925,9,2)&amp;":"&amp;RIGHT(D1925,2)</f>
        <v/>
      </c>
      <c r="H1925" t="inlineStr">
        <is>
          <t>E989DE927C8529BA</t>
        </is>
      </c>
      <c r="J1925" t="inlineStr">
        <is>
          <t>E989DE927C8529BA</t>
        </is>
      </c>
      <c r="N1925" s="99" t="inlineStr">
        <is>
          <t>Nexxiot</t>
        </is>
      </c>
    </row>
    <row r="1926">
      <c r="A1926" s="32" t="inlineStr">
        <is>
          <t>TALGO</t>
        </is>
      </c>
      <c r="B1926">
        <f>IFERROR(INDEX(Companies!$A$3:$A$101,MATCH(A1926,Companies!$B$3:$B$101,0)),"")</f>
        <v/>
      </c>
      <c r="D1926" t="inlineStr">
        <is>
          <t>F5885DDE7B13</t>
        </is>
      </c>
      <c r="E1926" s="24">
        <f>LEFT(D1926,2)&amp;":"&amp;MID(D1926,3,2)&amp;":"&amp;MID(D1926,5,2)&amp;":"&amp;MID(D1926,7,2)&amp;":"&amp;MID(D1926,9,2)&amp;":"&amp;RIGHT(D1926,2)</f>
        <v/>
      </c>
      <c r="H1926" t="inlineStr">
        <is>
          <t>D44A4BF990D236F0</t>
        </is>
      </c>
      <c r="J1926" t="inlineStr">
        <is>
          <t>D44A4BF990D236F0</t>
        </is>
      </c>
      <c r="N1926" s="99" t="inlineStr">
        <is>
          <t>Nexxiot</t>
        </is>
      </c>
    </row>
    <row r="1927">
      <c r="A1927" s="32" t="inlineStr">
        <is>
          <t>TALGO</t>
        </is>
      </c>
      <c r="B1927">
        <f>IFERROR(INDEX(Companies!$A$3:$A$101,MATCH(A1927,Companies!$B$3:$B$101,0)),"")</f>
        <v/>
      </c>
      <c r="D1927" t="inlineStr">
        <is>
          <t>C6B4CD6D150F</t>
        </is>
      </c>
      <c r="E1927" s="24">
        <f>LEFT(D1927,2)&amp;":"&amp;MID(D1927,3,2)&amp;":"&amp;MID(D1927,5,2)&amp;":"&amp;MID(D1927,7,2)&amp;":"&amp;MID(D1927,9,2)&amp;":"&amp;RIGHT(D1927,2)</f>
        <v/>
      </c>
      <c r="H1927" t="inlineStr">
        <is>
          <t>1B49469274D7F461</t>
        </is>
      </c>
      <c r="J1927" s="113" t="inlineStr">
        <is>
          <t>1B49469274D7F461</t>
        </is>
      </c>
      <c r="N1927" s="99" t="inlineStr">
        <is>
          <t>whitelisted-round-4</t>
        </is>
      </c>
    </row>
    <row r="1928">
      <c r="A1928" s="32" t="inlineStr">
        <is>
          <t>TALGO</t>
        </is>
      </c>
      <c r="B1928">
        <f>IFERROR(INDEX(Companies!$A$3:$A$101,MATCH(A1928,Companies!$B$3:$B$101,0)),"")</f>
        <v/>
      </c>
      <c r="D1928" t="inlineStr">
        <is>
          <t>D955552AEB6F</t>
        </is>
      </c>
      <c r="E1928" s="24">
        <f>LEFT(D1928,2)&amp;":"&amp;MID(D1928,3,2)&amp;":"&amp;MID(D1928,5,2)&amp;":"&amp;MID(D1928,7,2)&amp;":"&amp;MID(D1928,9,2)&amp;":"&amp;RIGHT(D1928,2)</f>
        <v/>
      </c>
      <c r="H1928" t="inlineStr">
        <is>
          <t>72CF78B18910DB8F</t>
        </is>
      </c>
      <c r="J1928" t="inlineStr">
        <is>
          <t>72CF78B18910DB8F</t>
        </is>
      </c>
      <c r="N1928" s="99" t="inlineStr">
        <is>
          <t>Nexxiot</t>
        </is>
      </c>
    </row>
    <row r="1929">
      <c r="A1929" s="32" t="inlineStr">
        <is>
          <t>SUJAN</t>
        </is>
      </c>
      <c r="B1929">
        <f>IFERROR(INDEX(Companies!$A$3:$A$101,MATCH(A1929,Companies!$B$3:$B$101,0)),"")</f>
        <v/>
      </c>
      <c r="D1929" t="inlineStr">
        <is>
          <t>F49DF7A77101</t>
        </is>
      </c>
      <c r="E1929" s="24">
        <f>LEFT(D1929,2)&amp;":"&amp;MID(D1929,3,2)&amp;":"&amp;MID(D1929,5,2)&amp;":"&amp;MID(D1929,7,2)&amp;":"&amp;MID(D1929,9,2)&amp;":"&amp;RIGHT(D1929,2)</f>
        <v/>
      </c>
      <c r="H1929" t="inlineStr">
        <is>
          <t>DC9A7681AEF5F24F</t>
        </is>
      </c>
      <c r="J1929" t="inlineStr">
        <is>
          <t>VIEZO0000000000000752</t>
        </is>
      </c>
      <c r="N1929" s="99" t="inlineStr">
        <is>
          <t>Nexxiot</t>
        </is>
      </c>
    </row>
    <row r="1930">
      <c r="A1930" s="32" t="inlineStr">
        <is>
          <t>SUJAN</t>
        </is>
      </c>
      <c r="B1930">
        <f>IFERROR(INDEX(Companies!$A$3:$A$101,MATCH(A1930,Companies!$B$3:$B$101,0)),"")</f>
        <v/>
      </c>
      <c r="D1930" t="inlineStr">
        <is>
          <t>C43FEBBD43EC</t>
        </is>
      </c>
      <c r="E1930" s="24">
        <f>LEFT(D1930,2)&amp;":"&amp;MID(D1930,3,2)&amp;":"&amp;MID(D1930,5,2)&amp;":"&amp;MID(D1930,7,2)&amp;":"&amp;MID(D1930,9,2)&amp;":"&amp;RIGHT(D1930,2)</f>
        <v/>
      </c>
      <c r="H1930" t="inlineStr">
        <is>
          <t>EBD14F59918582FB</t>
        </is>
      </c>
      <c r="J1930" t="inlineStr">
        <is>
          <t>VIEZO0000000000000753</t>
        </is>
      </c>
      <c r="N1930" s="99" t="inlineStr">
        <is>
          <t>Nexxiot</t>
        </is>
      </c>
    </row>
    <row r="1931">
      <c r="A1931" s="32" t="inlineStr">
        <is>
          <t>TALGO</t>
        </is>
      </c>
      <c r="B1931">
        <f>IFERROR(INDEX(Companies!$A$3:$A$101,MATCH(A1931,Companies!$B$3:$B$101,0)),"")</f>
        <v/>
      </c>
      <c r="D1931" t="inlineStr">
        <is>
          <t>F71CDF69A8DC</t>
        </is>
      </c>
      <c r="E1931" s="24">
        <f>LEFT(D1931,2)&amp;":"&amp;MID(D1931,3,2)&amp;":"&amp;MID(D1931,5,2)&amp;":"&amp;MID(D1931,7,2)&amp;":"&amp;MID(D1931,9,2)&amp;":"&amp;RIGHT(D1931,2)</f>
        <v/>
      </c>
      <c r="H1931" t="inlineStr">
        <is>
          <t>1F9E7A0BEEC5B98D</t>
        </is>
      </c>
      <c r="J1931" t="inlineStr">
        <is>
          <t>1F9E7A0BEEC5B98D</t>
        </is>
      </c>
      <c r="N1931" s="99" t="inlineStr">
        <is>
          <t>Nexxiot</t>
        </is>
      </c>
    </row>
    <row r="1932">
      <c r="A1932" s="32" t="inlineStr">
        <is>
          <t>TALGO</t>
        </is>
      </c>
      <c r="B1932">
        <f>IFERROR(INDEX(Companies!$A$3:$A$101,MATCH(A1932,Companies!$B$3:$B$101,0)),"")</f>
        <v/>
      </c>
      <c r="D1932" t="inlineStr">
        <is>
          <t>E71BF92AB622</t>
        </is>
      </c>
      <c r="E1932" s="24">
        <f>LEFT(D1932,2)&amp;":"&amp;MID(D1932,3,2)&amp;":"&amp;MID(D1932,5,2)&amp;":"&amp;MID(D1932,7,2)&amp;":"&amp;MID(D1932,9,2)&amp;":"&amp;RIGHT(D1932,2)</f>
        <v/>
      </c>
      <c r="H1932" t="inlineStr">
        <is>
          <t>529ACF519FDAEA34</t>
        </is>
      </c>
      <c r="J1932" t="inlineStr">
        <is>
          <t>529ACF519FDAEA34</t>
        </is>
      </c>
      <c r="N1932" s="99" t="inlineStr">
        <is>
          <t>Nexxiot</t>
        </is>
      </c>
    </row>
    <row r="1933">
      <c r="A1933" s="32" t="inlineStr">
        <is>
          <t>TALGO</t>
        </is>
      </c>
      <c r="B1933">
        <f>IFERROR(INDEX(Companies!$A$3:$A$101,MATCH(A1933,Companies!$B$3:$B$101,0)),"")</f>
        <v/>
      </c>
      <c r="D1933" t="inlineStr">
        <is>
          <t>CE1FBDCECC22</t>
        </is>
      </c>
      <c r="E1933" s="24">
        <f>LEFT(D1933,2)&amp;":"&amp;MID(D1933,3,2)&amp;":"&amp;MID(D1933,5,2)&amp;":"&amp;MID(D1933,7,2)&amp;":"&amp;MID(D1933,9,2)&amp;":"&amp;RIGHT(D1933,2)</f>
        <v/>
      </c>
      <c r="H1933" t="inlineStr">
        <is>
          <t>C9EF24ECFA294637</t>
        </is>
      </c>
      <c r="J1933" t="inlineStr">
        <is>
          <t>C9EF24ECFA294637</t>
        </is>
      </c>
      <c r="N1933" s="99" t="inlineStr">
        <is>
          <t>Nexxiot</t>
        </is>
      </c>
    </row>
    <row r="1934">
      <c r="A1934" s="32" t="inlineStr">
        <is>
          <t>SUJAN</t>
        </is>
      </c>
      <c r="B1934">
        <f>IFERROR(INDEX(Companies!$A$3:$A$101,MATCH(A1934,Companies!$B$3:$B$101,0)),"")</f>
        <v/>
      </c>
      <c r="D1934" t="inlineStr">
        <is>
          <t>C028AE6DE11E</t>
        </is>
      </c>
      <c r="E1934" s="24">
        <f>LEFT(D1934,2)&amp;":"&amp;MID(D1934,3,2)&amp;":"&amp;MID(D1934,5,2)&amp;":"&amp;MID(D1934,7,2)&amp;":"&amp;MID(D1934,9,2)&amp;":"&amp;RIGHT(D1934,2)</f>
        <v/>
      </c>
      <c r="H1934" t="inlineStr">
        <is>
          <t>AEBD2B7BA1F43BE5</t>
        </is>
      </c>
      <c r="J1934" t="inlineStr">
        <is>
          <t>VIEZO0000000000000757</t>
        </is>
      </c>
      <c r="N1934" s="99" t="inlineStr">
        <is>
          <t>Nexxiot</t>
        </is>
      </c>
    </row>
    <row r="1935">
      <c r="A1935" s="32" t="inlineStr">
        <is>
          <t>TALGO</t>
        </is>
      </c>
      <c r="B1935">
        <f>IFERROR(INDEX(Companies!$A$3:$A$101,MATCH(A1935,Companies!$B$3:$B$101,0)),"")</f>
        <v/>
      </c>
      <c r="D1935" t="inlineStr">
        <is>
          <t>EA2A6650A57E</t>
        </is>
      </c>
      <c r="E1935" s="24">
        <f>LEFT(D1935,2)&amp;":"&amp;MID(D1935,3,2)&amp;":"&amp;MID(D1935,5,2)&amp;":"&amp;MID(D1935,7,2)&amp;":"&amp;MID(D1935,9,2)&amp;":"&amp;RIGHT(D1935,2)</f>
        <v/>
      </c>
      <c r="H1935" t="inlineStr">
        <is>
          <t>CEBF4DB98BAECD46</t>
        </is>
      </c>
      <c r="J1935" t="inlineStr">
        <is>
          <t>CEBF4DB98BAECD46</t>
        </is>
      </c>
      <c r="N1935" s="99" t="inlineStr">
        <is>
          <t>Nexxiot</t>
        </is>
      </c>
    </row>
    <row r="1936">
      <c r="A1936" s="32" t="inlineStr">
        <is>
          <t>TALGO</t>
        </is>
      </c>
      <c r="B1936">
        <f>IFERROR(INDEX(Companies!$A$3:$A$101,MATCH(A1936,Companies!$B$3:$B$101,0)),"")</f>
        <v/>
      </c>
      <c r="D1936" t="inlineStr">
        <is>
          <t>EC87E4E01428</t>
        </is>
      </c>
      <c r="E1936" s="24">
        <f>LEFT(D1936,2)&amp;":"&amp;MID(D1936,3,2)&amp;":"&amp;MID(D1936,5,2)&amp;":"&amp;MID(D1936,7,2)&amp;":"&amp;MID(D1936,9,2)&amp;":"&amp;RIGHT(D1936,2)</f>
        <v/>
      </c>
      <c r="H1936" t="inlineStr">
        <is>
          <t>F7925EB2F3E039CA</t>
        </is>
      </c>
      <c r="J1936" s="113" t="inlineStr">
        <is>
          <t>F7925EB2F3E039CA</t>
        </is>
      </c>
      <c r="N1936" s="99" t="inlineStr">
        <is>
          <t>whitelisted-round-4</t>
        </is>
      </c>
    </row>
    <row r="1937">
      <c r="A1937" s="32" t="inlineStr">
        <is>
          <t>TALGO</t>
        </is>
      </c>
      <c r="B1937">
        <f>IFERROR(INDEX(Companies!$A$3:$A$101,MATCH(A1937,Companies!$B$3:$B$101,0)),"")</f>
        <v/>
      </c>
      <c r="D1937" t="inlineStr">
        <is>
          <t>D384E9700F5D</t>
        </is>
      </c>
      <c r="E1937" s="24">
        <f>LEFT(D1937,2)&amp;":"&amp;MID(D1937,3,2)&amp;":"&amp;MID(D1937,5,2)&amp;":"&amp;MID(D1937,7,2)&amp;":"&amp;MID(D1937,9,2)&amp;":"&amp;RIGHT(D1937,2)</f>
        <v/>
      </c>
      <c r="H1937" t="inlineStr">
        <is>
          <t>E86059B17A8F9C10</t>
        </is>
      </c>
      <c r="J1937" t="inlineStr">
        <is>
          <t>E86059B17A8F9C10</t>
        </is>
      </c>
      <c r="N1937" s="99" t="inlineStr">
        <is>
          <t>Nexxiot</t>
        </is>
      </c>
    </row>
    <row r="1938">
      <c r="A1938" s="32" t="inlineStr">
        <is>
          <t>TALGO</t>
        </is>
      </c>
      <c r="B1938">
        <f>IFERROR(INDEX(Companies!$A$3:$A$101,MATCH(A1938,Companies!$B$3:$B$101,0)),"")</f>
        <v/>
      </c>
      <c r="D1938" t="inlineStr">
        <is>
          <t>CDAF3BB2F395</t>
        </is>
      </c>
      <c r="E1938" s="24">
        <f>LEFT(D1938,2)&amp;":"&amp;MID(D1938,3,2)&amp;":"&amp;MID(D1938,5,2)&amp;":"&amp;MID(D1938,7,2)&amp;":"&amp;MID(D1938,9,2)&amp;":"&amp;RIGHT(D1938,2)</f>
        <v/>
      </c>
      <c r="H1938" t="inlineStr">
        <is>
          <t>44C97DA2F3A65B99</t>
        </is>
      </c>
      <c r="J1938" t="inlineStr">
        <is>
          <t>44C97DA2F3A65B99</t>
        </is>
      </c>
      <c r="N1938" s="99" t="inlineStr">
        <is>
          <t>Nexxiot</t>
        </is>
      </c>
    </row>
    <row r="1939">
      <c r="A1939" s="32" t="inlineStr">
        <is>
          <t>TALGO</t>
        </is>
      </c>
      <c r="B1939">
        <f>IFERROR(INDEX(Companies!$A$3:$A$101,MATCH(A1939,Companies!$B$3:$B$101,0)),"")</f>
        <v/>
      </c>
      <c r="D1939" t="inlineStr">
        <is>
          <t>E83A176F7C60</t>
        </is>
      </c>
      <c r="E1939" s="24">
        <f>LEFT(D1939,2)&amp;":"&amp;MID(D1939,3,2)&amp;":"&amp;MID(D1939,5,2)&amp;":"&amp;MID(D1939,7,2)&amp;":"&amp;MID(D1939,9,2)&amp;":"&amp;RIGHT(D1939,2)</f>
        <v/>
      </c>
      <c r="H1939" t="inlineStr">
        <is>
          <t>C019066691A89C12</t>
        </is>
      </c>
      <c r="J1939" s="113" t="inlineStr">
        <is>
          <t>C019066691A89C12</t>
        </is>
      </c>
      <c r="N1939" s="99" t="inlineStr">
        <is>
          <t>whitelisted-round-4</t>
        </is>
      </c>
    </row>
    <row r="1940">
      <c r="A1940" s="32" t="inlineStr">
        <is>
          <t>SUJAN</t>
        </is>
      </c>
      <c r="B1940">
        <f>IFERROR(INDEX(Companies!$A$3:$A$101,MATCH(A1940,Companies!$B$3:$B$101,0)),"")</f>
        <v/>
      </c>
      <c r="D1940" t="inlineStr">
        <is>
          <t>D95496E4E0C8</t>
        </is>
      </c>
      <c r="E1940" s="24">
        <f>LEFT(D1940,2)&amp;":"&amp;MID(D1940,3,2)&amp;":"&amp;MID(D1940,5,2)&amp;":"&amp;MID(D1940,7,2)&amp;":"&amp;MID(D1940,9,2)&amp;":"&amp;RIGHT(D1940,2)</f>
        <v/>
      </c>
      <c r="H1940" t="inlineStr">
        <is>
          <t>153273B746E62D42</t>
        </is>
      </c>
      <c r="J1940" t="inlineStr">
        <is>
          <t>VIEZO0000000000000763</t>
        </is>
      </c>
      <c r="N1940" s="99" t="inlineStr">
        <is>
          <t>Nexxiot</t>
        </is>
      </c>
    </row>
    <row r="1941">
      <c r="B1941">
        <f>IFERROR(INDEX(Companies!$A$3:$A$101,MATCH(A1941,Companies!$B$3:$B$101,0)),"")</f>
        <v/>
      </c>
      <c r="D1941" t="inlineStr">
        <is>
          <t>F7DEC72B4451</t>
        </is>
      </c>
      <c r="E1941" s="24">
        <f>LEFT(D1941,2)&amp;":"&amp;MID(D1941,3,2)&amp;":"&amp;MID(D1941,5,2)&amp;":"&amp;MID(D1941,7,2)&amp;":"&amp;MID(D1941,9,2)&amp;":"&amp;RIGHT(D1941,2)</f>
        <v/>
      </c>
      <c r="H1941" t="inlineStr">
        <is>
          <t>855C3211AE37D4F0</t>
        </is>
      </c>
      <c r="J1941" t="inlineStr">
        <is>
          <t>VIEZO0000000000000764</t>
        </is>
      </c>
      <c r="N1941" s="99" t="inlineStr">
        <is>
          <t>Nexxiot</t>
        </is>
      </c>
    </row>
    <row r="1942">
      <c r="A1942" s="32" t="inlineStr">
        <is>
          <t>TALGO</t>
        </is>
      </c>
      <c r="B1942">
        <f>IFERROR(INDEX(Companies!$A$3:$A$101,MATCH(A1942,Companies!$B$3:$B$101,0)),"")</f>
        <v/>
      </c>
      <c r="D1942" t="inlineStr">
        <is>
          <t>F5C8241666C4</t>
        </is>
      </c>
      <c r="E1942" s="24">
        <f>LEFT(D1942,2)&amp;":"&amp;MID(D1942,3,2)&amp;":"&amp;MID(D1942,5,2)&amp;":"&amp;MID(D1942,7,2)&amp;":"&amp;MID(D1942,9,2)&amp;":"&amp;RIGHT(D1942,2)</f>
        <v/>
      </c>
      <c r="H1942" t="inlineStr">
        <is>
          <t>A0317E367ADE6683</t>
        </is>
      </c>
      <c r="J1942" s="113" t="inlineStr">
        <is>
          <t>A0317E367ADE6683</t>
        </is>
      </c>
      <c r="N1942" s="99" t="inlineStr">
        <is>
          <t>whitelisted-round-1</t>
        </is>
      </c>
    </row>
    <row r="1943">
      <c r="A1943" s="32" t="inlineStr">
        <is>
          <t>TALGO</t>
        </is>
      </c>
      <c r="B1943">
        <f>IFERROR(INDEX(Companies!$A$3:$A$101,MATCH(A1943,Companies!$B$3:$B$101,0)),"")</f>
        <v/>
      </c>
      <c r="D1943" t="inlineStr">
        <is>
          <t>F109C9669C27</t>
        </is>
      </c>
      <c r="E1943" s="24">
        <f>LEFT(D1943,2)&amp;":"&amp;MID(D1943,3,2)&amp;":"&amp;MID(D1943,5,2)&amp;":"&amp;MID(D1943,7,2)&amp;":"&amp;MID(D1943,9,2)&amp;":"&amp;RIGHT(D1943,2)</f>
        <v/>
      </c>
      <c r="H1943" t="inlineStr">
        <is>
          <t>75094397EED13A45</t>
        </is>
      </c>
      <c r="J1943" t="inlineStr">
        <is>
          <t>75094397EED13A45</t>
        </is>
      </c>
      <c r="N1943" s="99" t="inlineStr">
        <is>
          <t>Nexxiot</t>
        </is>
      </c>
    </row>
    <row r="1944">
      <c r="A1944" s="32" t="inlineStr">
        <is>
          <t>SUJAN</t>
        </is>
      </c>
      <c r="B1944">
        <f>IFERROR(INDEX(Companies!$A$3:$A$101,MATCH(A1944,Companies!$B$3:$B$101,0)),"")</f>
        <v/>
      </c>
      <c r="D1944" t="inlineStr">
        <is>
          <t>C44F0D34B787</t>
        </is>
      </c>
      <c r="E1944" s="24">
        <f>LEFT(D1944,2)&amp;":"&amp;MID(D1944,3,2)&amp;":"&amp;MID(D1944,5,2)&amp;":"&amp;MID(D1944,7,2)&amp;":"&amp;MID(D1944,9,2)&amp;":"&amp;RIGHT(D1944,2)</f>
        <v/>
      </c>
      <c r="H1944" t="inlineStr">
        <is>
          <t>6673C868C8945D0C</t>
        </is>
      </c>
      <c r="J1944" t="inlineStr">
        <is>
          <t>VIEZO0000000000000767</t>
        </is>
      </c>
      <c r="N1944" s="99" t="inlineStr">
        <is>
          <t>Nexxiot</t>
        </is>
      </c>
    </row>
    <row r="1945">
      <c r="A1945" s="32" t="inlineStr">
        <is>
          <t>TALGO</t>
        </is>
      </c>
      <c r="B1945">
        <f>IFERROR(INDEX(Companies!$A$3:$A$101,MATCH(A1945,Companies!$B$3:$B$101,0)),"")</f>
        <v/>
      </c>
      <c r="D1945" t="inlineStr">
        <is>
          <t>FFA41C534B4C</t>
        </is>
      </c>
      <c r="E1945" s="24">
        <f>LEFT(D1945,2)&amp;":"&amp;MID(D1945,3,2)&amp;":"&amp;MID(D1945,5,2)&amp;":"&amp;MID(D1945,7,2)&amp;":"&amp;MID(D1945,9,2)&amp;":"&amp;RIGHT(D1945,2)</f>
        <v/>
      </c>
      <c r="H1945" t="inlineStr">
        <is>
          <t>99146EC33722995B</t>
        </is>
      </c>
      <c r="J1945" t="inlineStr">
        <is>
          <t>99146EC33722995B</t>
        </is>
      </c>
      <c r="N1945" s="99" t="inlineStr">
        <is>
          <t>Nexxiot</t>
        </is>
      </c>
    </row>
    <row r="1946">
      <c r="A1946" s="32" t="inlineStr">
        <is>
          <t>TALGO</t>
        </is>
      </c>
      <c r="B1946">
        <f>IFERROR(INDEX(Companies!$A$3:$A$101,MATCH(A1946,Companies!$B$3:$B$101,0)),"")</f>
        <v/>
      </c>
      <c r="D1946" t="inlineStr">
        <is>
          <t>F9244090F332</t>
        </is>
      </c>
      <c r="E1946" s="24">
        <f>LEFT(D1946,2)&amp;":"&amp;MID(D1946,3,2)&amp;":"&amp;MID(D1946,5,2)&amp;":"&amp;MID(D1946,7,2)&amp;":"&amp;MID(D1946,9,2)&amp;":"&amp;RIGHT(D1946,2)</f>
        <v/>
      </c>
      <c r="H1946" t="inlineStr">
        <is>
          <t>65EA6EEBE87113CE</t>
        </is>
      </c>
      <c r="J1946" t="inlineStr">
        <is>
          <t>65EA6EEBE87113CE</t>
        </is>
      </c>
      <c r="N1946" s="99" t="inlineStr">
        <is>
          <t>Nexxiot</t>
        </is>
      </c>
    </row>
    <row r="1947">
      <c r="A1947" s="32" t="inlineStr">
        <is>
          <t>SUJAN</t>
        </is>
      </c>
      <c r="B1947">
        <f>IFERROR(INDEX(Companies!$A$3:$A$101,MATCH(A1947,Companies!$B$3:$B$101,0)),"")</f>
        <v/>
      </c>
      <c r="D1947" t="inlineStr">
        <is>
          <t>DFC487A93276</t>
        </is>
      </c>
      <c r="E1947" s="24">
        <f>LEFT(D1947,2)&amp;":"&amp;MID(D1947,3,2)&amp;":"&amp;MID(D1947,5,2)&amp;":"&amp;MID(D1947,7,2)&amp;":"&amp;MID(D1947,9,2)&amp;":"&amp;RIGHT(D1947,2)</f>
        <v/>
      </c>
      <c r="H1947" t="inlineStr">
        <is>
          <t>F15CA7964BB4B10E</t>
        </is>
      </c>
      <c r="J1947" t="inlineStr">
        <is>
          <t>VIEZO0000000000000771</t>
        </is>
      </c>
      <c r="N1947" s="99" t="inlineStr">
        <is>
          <t>Nexxiot</t>
        </is>
      </c>
    </row>
    <row r="1948">
      <c r="A1948" s="32" t="inlineStr">
        <is>
          <t>SUJAN</t>
        </is>
      </c>
      <c r="B1948">
        <f>IFERROR(INDEX(Companies!$A$3:$A$101,MATCH(A1948,Companies!$B$3:$B$101,0)),"")</f>
        <v/>
      </c>
      <c r="D1948" t="inlineStr">
        <is>
          <t>DCFCABC83CD9</t>
        </is>
      </c>
      <c r="E1948" s="24">
        <f>LEFT(D1948,2)&amp;":"&amp;MID(D1948,3,2)&amp;":"&amp;MID(D1948,5,2)&amp;":"&amp;MID(D1948,7,2)&amp;":"&amp;MID(D1948,9,2)&amp;":"&amp;RIGHT(D1948,2)</f>
        <v/>
      </c>
      <c r="H1948" t="inlineStr">
        <is>
          <t>992B76D3BFBFE134</t>
        </is>
      </c>
      <c r="J1948" t="inlineStr">
        <is>
          <t>VIEZO0000000000000772</t>
        </is>
      </c>
      <c r="N1948" s="99" t="inlineStr">
        <is>
          <t>Nexxiot</t>
        </is>
      </c>
    </row>
    <row r="1949">
      <c r="A1949" s="32" t="inlineStr">
        <is>
          <t>TALGO</t>
        </is>
      </c>
      <c r="B1949">
        <f>IFERROR(INDEX(Companies!$A$3:$A$101,MATCH(A1949,Companies!$B$3:$B$101,0)),"")</f>
        <v/>
      </c>
      <c r="D1949" t="inlineStr">
        <is>
          <t>D56FB0E5D2CE</t>
        </is>
      </c>
      <c r="E1949" s="24">
        <f>LEFT(D1949,2)&amp;":"&amp;MID(D1949,3,2)&amp;":"&amp;MID(D1949,5,2)&amp;":"&amp;MID(D1949,7,2)&amp;":"&amp;MID(D1949,9,2)&amp;":"&amp;RIGHT(D1949,2)</f>
        <v/>
      </c>
      <c r="H1949" t="inlineStr">
        <is>
          <t>707409A56CF128DA</t>
        </is>
      </c>
      <c r="J1949" s="113" t="inlineStr">
        <is>
          <t>707409A56CF128DA</t>
        </is>
      </c>
      <c r="N1949" s="99" t="inlineStr">
        <is>
          <t>whitelisted-round-4</t>
        </is>
      </c>
    </row>
    <row r="1950">
      <c r="B1950">
        <f>IFERROR(INDEX(Companies!$A$3:$A$101,MATCH(A1950,Companies!$B$3:$B$101,0)),"")</f>
        <v/>
      </c>
      <c r="D1950" t="inlineStr">
        <is>
          <t>FD1E44E82735</t>
        </is>
      </c>
      <c r="E1950" s="24">
        <f>LEFT(D1950,2)&amp;":"&amp;MID(D1950,3,2)&amp;":"&amp;MID(D1950,5,2)&amp;":"&amp;MID(D1950,7,2)&amp;":"&amp;MID(D1950,9,2)&amp;":"&amp;RIGHT(D1950,2)</f>
        <v/>
      </c>
      <c r="H1950" t="inlineStr">
        <is>
          <t>6DA1B56F9AD22068</t>
        </is>
      </c>
      <c r="J1950" t="inlineStr">
        <is>
          <t>VIEZO0000000000000774</t>
        </is>
      </c>
      <c r="N1950" s="99" t="inlineStr">
        <is>
          <t>Nexxiot</t>
        </is>
      </c>
    </row>
    <row r="1951">
      <c r="A1951" s="32" t="inlineStr">
        <is>
          <t>SUJAN</t>
        </is>
      </c>
      <c r="B1951">
        <f>IFERROR(INDEX(Companies!$A$3:$A$101,MATCH(A1951,Companies!$B$3:$B$101,0)),"")</f>
        <v/>
      </c>
      <c r="D1951" t="inlineStr">
        <is>
          <t>CE60575A3444</t>
        </is>
      </c>
      <c r="E1951" s="24">
        <f>LEFT(D1951,2)&amp;":"&amp;MID(D1951,3,2)&amp;":"&amp;MID(D1951,5,2)&amp;":"&amp;MID(D1951,7,2)&amp;":"&amp;MID(D1951,9,2)&amp;":"&amp;RIGHT(D1951,2)</f>
        <v/>
      </c>
      <c r="H1951" t="inlineStr">
        <is>
          <t>1BF7654D1B827A94</t>
        </is>
      </c>
      <c r="J1951" t="inlineStr">
        <is>
          <t>VIEZO0000000000000775</t>
        </is>
      </c>
      <c r="N1951" s="99" t="inlineStr">
        <is>
          <t>Nexxiot</t>
        </is>
      </c>
    </row>
    <row r="1952">
      <c r="A1952" s="32" t="inlineStr">
        <is>
          <t>SUJAN</t>
        </is>
      </c>
      <c r="B1952">
        <f>IFERROR(INDEX(Companies!$A$3:$A$101,MATCH(A1952,Companies!$B$3:$B$101,0)),"")</f>
        <v/>
      </c>
      <c r="D1952" t="inlineStr">
        <is>
          <t>E98CF1E25E6C</t>
        </is>
      </c>
      <c r="E1952" s="24">
        <f>LEFT(D1952,2)&amp;":"&amp;MID(D1952,3,2)&amp;":"&amp;MID(D1952,5,2)&amp;":"&amp;MID(D1952,7,2)&amp;":"&amp;MID(D1952,9,2)&amp;":"&amp;RIGHT(D1952,2)</f>
        <v/>
      </c>
      <c r="H1952" t="inlineStr">
        <is>
          <t>C81205845A79354E</t>
        </is>
      </c>
      <c r="J1952" t="inlineStr">
        <is>
          <t>VIEZO0000000000000776</t>
        </is>
      </c>
      <c r="N1952" s="99" t="inlineStr">
        <is>
          <t>Nexxiot</t>
        </is>
      </c>
    </row>
    <row r="1953">
      <c r="B1953">
        <f>IFERROR(INDEX(Companies!$A$3:$A$101,MATCH(A1953,Companies!$B$3:$B$101,0)),"")</f>
        <v/>
      </c>
      <c r="D1953" t="inlineStr">
        <is>
          <t>FB389ADE853D</t>
        </is>
      </c>
      <c r="E1953" s="24">
        <f>LEFT(D1953,2)&amp;":"&amp;MID(D1953,3,2)&amp;":"&amp;MID(D1953,5,2)&amp;":"&amp;MID(D1953,7,2)&amp;":"&amp;MID(D1953,9,2)&amp;":"&amp;RIGHT(D1953,2)</f>
        <v/>
      </c>
      <c r="H1953" t="inlineStr">
        <is>
          <t>3827FED8F82AE214</t>
        </is>
      </c>
      <c r="J1953" t="inlineStr">
        <is>
          <t>VIEZO0000000000000777</t>
        </is>
      </c>
      <c r="N1953" s="99" t="inlineStr">
        <is>
          <t>Nexxiot</t>
        </is>
      </c>
    </row>
    <row r="1954">
      <c r="A1954" s="53" t="inlineStr">
        <is>
          <t>TALGO</t>
        </is>
      </c>
      <c r="B1954">
        <f>IFERROR(INDEX(Companies!$A$3:$A$101,MATCH(A1954,Companies!$B$3:$B$101,0)),"")</f>
        <v/>
      </c>
      <c r="D1954" t="inlineStr">
        <is>
          <t>EB83E472033F</t>
        </is>
      </c>
      <c r="E1954" s="24">
        <f>LEFT(D1954,2)&amp;":"&amp;MID(D1954,3,2)&amp;":"&amp;MID(D1954,5,2)&amp;":"&amp;MID(D1954,7,2)&amp;":"&amp;MID(D1954,9,2)&amp;":"&amp;RIGHT(D1954,2)</f>
        <v/>
      </c>
      <c r="H1954" t="inlineStr">
        <is>
          <t>3EAF144A5ABD54DA</t>
        </is>
      </c>
      <c r="J1954" t="inlineStr">
        <is>
          <t>3EAF144A5ABD54DA</t>
        </is>
      </c>
      <c r="N1954" s="99" t="inlineStr">
        <is>
          <t>Nexxiot</t>
        </is>
      </c>
    </row>
    <row r="1955">
      <c r="B1955">
        <f>IFERROR(INDEX(Companies!$A$3:$A$101,MATCH(A1955,Companies!$B$3:$B$101,0)),"")</f>
        <v/>
      </c>
      <c r="D1955" t="inlineStr">
        <is>
          <t>E6F2EFDB7ABC</t>
        </is>
      </c>
      <c r="E1955" s="24">
        <f>LEFT(D1955,2)&amp;":"&amp;MID(D1955,3,2)&amp;":"&amp;MID(D1955,5,2)&amp;":"&amp;MID(D1955,7,2)&amp;":"&amp;MID(D1955,9,2)&amp;":"&amp;RIGHT(D1955,2)</f>
        <v/>
      </c>
      <c r="H1955" t="inlineStr">
        <is>
          <t>8DDDE2038FA226A8</t>
        </is>
      </c>
      <c r="J1955" t="inlineStr">
        <is>
          <t>VIEZO0000000000000779</t>
        </is>
      </c>
      <c r="N1955" s="99" t="inlineStr">
        <is>
          <t>Nexxiot</t>
        </is>
      </c>
    </row>
    <row r="1956">
      <c r="A1956" s="32" t="inlineStr">
        <is>
          <t>SUJAN</t>
        </is>
      </c>
      <c r="B1956">
        <f>IFERROR(INDEX(Companies!$A$3:$A$101,MATCH(A1956,Companies!$B$3:$B$101,0)),"")</f>
        <v/>
      </c>
      <c r="D1956" t="inlineStr">
        <is>
          <t>FFEE8CD99D08</t>
        </is>
      </c>
      <c r="E1956" s="24">
        <f>LEFT(D1956,2)&amp;":"&amp;MID(D1956,3,2)&amp;":"&amp;MID(D1956,5,2)&amp;":"&amp;MID(D1956,7,2)&amp;":"&amp;MID(D1956,9,2)&amp;":"&amp;RIGHT(D1956,2)</f>
        <v/>
      </c>
      <c r="H1956" t="inlineStr">
        <is>
          <t>BCB7132A4C0C7EC9</t>
        </is>
      </c>
      <c r="J1956" t="inlineStr">
        <is>
          <t>VIEZO0000000000000780</t>
        </is>
      </c>
      <c r="N1956" s="99" t="inlineStr">
        <is>
          <t>Nexxiot</t>
        </is>
      </c>
    </row>
    <row r="1957">
      <c r="A1957" s="32" t="inlineStr">
        <is>
          <t>SUJAN</t>
        </is>
      </c>
      <c r="B1957">
        <f>IFERROR(INDEX(Companies!$A$3:$A$101,MATCH(A1957,Companies!$B$3:$B$101,0)),"")</f>
        <v/>
      </c>
      <c r="D1957" t="inlineStr">
        <is>
          <t>C2C722F374F3</t>
        </is>
      </c>
      <c r="E1957" s="24">
        <f>LEFT(D1957,2)&amp;":"&amp;MID(D1957,3,2)&amp;":"&amp;MID(D1957,5,2)&amp;":"&amp;MID(D1957,7,2)&amp;":"&amp;MID(D1957,9,2)&amp;":"&amp;RIGHT(D1957,2)</f>
        <v/>
      </c>
      <c r="H1957" t="inlineStr">
        <is>
          <t>BDF5127149C67E29</t>
        </is>
      </c>
      <c r="J1957" t="inlineStr">
        <is>
          <t>VIEZO0000000000000781</t>
        </is>
      </c>
      <c r="N1957" s="99" t="inlineStr">
        <is>
          <t>Nexxiot</t>
        </is>
      </c>
    </row>
    <row r="1958">
      <c r="A1958" s="32" t="inlineStr">
        <is>
          <t>SUJAN</t>
        </is>
      </c>
      <c r="B1958">
        <f>IFERROR(INDEX(Companies!$A$3:$A$101,MATCH(A1958,Companies!$B$3:$B$101,0)),"")</f>
        <v/>
      </c>
      <c r="D1958" t="inlineStr">
        <is>
          <t>ED7BCAFA47D8</t>
        </is>
      </c>
      <c r="E1958" s="24">
        <f>LEFT(D1958,2)&amp;":"&amp;MID(D1958,3,2)&amp;":"&amp;MID(D1958,5,2)&amp;":"&amp;MID(D1958,7,2)&amp;":"&amp;MID(D1958,9,2)&amp;":"&amp;RIGHT(D1958,2)</f>
        <v/>
      </c>
      <c r="H1958" t="inlineStr">
        <is>
          <t>27EAC746261C1C0D</t>
        </is>
      </c>
      <c r="J1958" t="inlineStr">
        <is>
          <t>VIEZO0000000000000782</t>
        </is>
      </c>
      <c r="N1958" s="99" t="inlineStr">
        <is>
          <t>Nexxiot</t>
        </is>
      </c>
    </row>
    <row r="1959">
      <c r="A1959" s="32" t="inlineStr">
        <is>
          <t>TALGO</t>
        </is>
      </c>
      <c r="B1959">
        <f>IFERROR(INDEX(Companies!$A$3:$A$101,MATCH(A1959,Companies!$B$3:$B$101,0)),"")</f>
        <v/>
      </c>
      <c r="D1959" t="inlineStr">
        <is>
          <t>E953A76FF597</t>
        </is>
      </c>
      <c r="E1959" s="24">
        <f>LEFT(D1959,2)&amp;":"&amp;MID(D1959,3,2)&amp;":"&amp;MID(D1959,5,2)&amp;":"&amp;MID(D1959,7,2)&amp;":"&amp;MID(D1959,9,2)&amp;":"&amp;RIGHT(D1959,2)</f>
        <v/>
      </c>
      <c r="H1959" t="inlineStr">
        <is>
          <t>2A36988473A5569F</t>
        </is>
      </c>
      <c r="J1959" t="inlineStr">
        <is>
          <t>2A36988473A5569F</t>
        </is>
      </c>
      <c r="N1959" s="99" t="inlineStr">
        <is>
          <t>Nexxiot</t>
        </is>
      </c>
    </row>
    <row r="1960">
      <c r="A1960" s="32" t="inlineStr">
        <is>
          <t>SUJAN</t>
        </is>
      </c>
      <c r="B1960">
        <f>IFERROR(INDEX(Companies!$A$3:$A$101,MATCH(A1960,Companies!$B$3:$B$101,0)),"")</f>
        <v/>
      </c>
      <c r="D1960" t="inlineStr">
        <is>
          <t>EFD23CCCFD11</t>
        </is>
      </c>
      <c r="E1960" s="24">
        <f>LEFT(D1960,2)&amp;":"&amp;MID(D1960,3,2)&amp;":"&amp;MID(D1960,5,2)&amp;":"&amp;MID(D1960,7,2)&amp;":"&amp;MID(D1960,9,2)&amp;":"&amp;RIGHT(D1960,2)</f>
        <v/>
      </c>
      <c r="H1960" t="inlineStr">
        <is>
          <t>A8183FD7FB15EF65</t>
        </is>
      </c>
      <c r="J1960" t="inlineStr">
        <is>
          <t>VIEZO0000000000000785</t>
        </is>
      </c>
      <c r="N1960" s="99" t="inlineStr">
        <is>
          <t>Nexxiot</t>
        </is>
      </c>
    </row>
    <row r="1961">
      <c r="A1961" s="32" t="inlineStr">
        <is>
          <t>SUJAN</t>
        </is>
      </c>
      <c r="B1961">
        <f>IFERROR(INDEX(Companies!$A$3:$A$101,MATCH(A1961,Companies!$B$3:$B$101,0)),"")</f>
        <v/>
      </c>
      <c r="D1961" t="inlineStr">
        <is>
          <t>E4BCAD94B87A</t>
        </is>
      </c>
      <c r="E1961" s="24">
        <f>LEFT(D1961,2)&amp;":"&amp;MID(D1961,3,2)&amp;":"&amp;MID(D1961,5,2)&amp;":"&amp;MID(D1961,7,2)&amp;":"&amp;MID(D1961,9,2)&amp;":"&amp;RIGHT(D1961,2)</f>
        <v/>
      </c>
      <c r="H1961" t="inlineStr">
        <is>
          <t>01D02DB2DA2281DB</t>
        </is>
      </c>
      <c r="J1961" t="inlineStr">
        <is>
          <t>VIEZO0000000000000786</t>
        </is>
      </c>
      <c r="N1961" s="99" t="inlineStr">
        <is>
          <t>Nexxiot</t>
        </is>
      </c>
    </row>
    <row r="1962">
      <c r="A1962" s="32" t="inlineStr">
        <is>
          <t>TALGO</t>
        </is>
      </c>
      <c r="B1962">
        <f>IFERROR(INDEX(Companies!$A$3:$A$101,MATCH(A1962,Companies!$B$3:$B$101,0)),"")</f>
        <v/>
      </c>
      <c r="D1962" t="inlineStr">
        <is>
          <t>E6022B9F1BF1</t>
        </is>
      </c>
      <c r="E1962" s="24">
        <f>LEFT(D1962,2)&amp;":"&amp;MID(D1962,3,2)&amp;":"&amp;MID(D1962,5,2)&amp;":"&amp;MID(D1962,7,2)&amp;":"&amp;MID(D1962,9,2)&amp;":"&amp;RIGHT(D1962,2)</f>
        <v/>
      </c>
      <c r="H1962" t="inlineStr">
        <is>
          <t>BEC8F9989580BB8E</t>
        </is>
      </c>
      <c r="J1962" s="113" t="inlineStr">
        <is>
          <t>BEC8F9989580BB8E</t>
        </is>
      </c>
      <c r="N1962" s="99" t="inlineStr">
        <is>
          <t>whitelisted-round-5</t>
        </is>
      </c>
    </row>
    <row r="1963">
      <c r="A1963" s="32" t="inlineStr">
        <is>
          <t>TALGO</t>
        </is>
      </c>
      <c r="B1963">
        <f>IFERROR(INDEX(Companies!$A$3:$A$101,MATCH(A1963,Companies!$B$3:$B$101,0)),"")</f>
        <v/>
      </c>
      <c r="D1963" t="inlineStr">
        <is>
          <t>DB40853EBE46</t>
        </is>
      </c>
      <c r="E1963" s="24">
        <f>LEFT(D1963,2)&amp;":"&amp;MID(D1963,3,2)&amp;":"&amp;MID(D1963,5,2)&amp;":"&amp;MID(D1963,7,2)&amp;":"&amp;MID(D1963,9,2)&amp;":"&amp;RIGHT(D1963,2)</f>
        <v/>
      </c>
      <c r="H1963" t="inlineStr">
        <is>
          <t>9684FD8FF7DE1BA1</t>
        </is>
      </c>
      <c r="J1963" t="inlineStr">
        <is>
          <t>9684FD8FF7DE1BA1</t>
        </is>
      </c>
      <c r="N1963" s="99" t="inlineStr">
        <is>
          <t>Nexxiot</t>
        </is>
      </c>
    </row>
    <row r="1964">
      <c r="A1964" s="32" t="inlineStr">
        <is>
          <t>TALGO</t>
        </is>
      </c>
      <c r="B1964">
        <f>IFERROR(INDEX(Companies!$A$3:$A$101,MATCH(A1964,Companies!$B$3:$B$101,0)),"")</f>
        <v/>
      </c>
      <c r="D1964" t="inlineStr">
        <is>
          <t>EB2C95A00FA7</t>
        </is>
      </c>
      <c r="E1964" s="24">
        <f>LEFT(D1964,2)&amp;":"&amp;MID(D1964,3,2)&amp;":"&amp;MID(D1964,5,2)&amp;":"&amp;MID(D1964,7,2)&amp;":"&amp;MID(D1964,9,2)&amp;":"&amp;RIGHT(D1964,2)</f>
        <v/>
      </c>
      <c r="H1964" t="inlineStr">
        <is>
          <t>A737CC07BC1B3847</t>
        </is>
      </c>
      <c r="J1964" t="inlineStr">
        <is>
          <t>A737CC07BC1B3847</t>
        </is>
      </c>
      <c r="N1964" s="99" t="inlineStr">
        <is>
          <t>Nexxiot</t>
        </is>
      </c>
    </row>
    <row r="1965">
      <c r="A1965" s="32" t="inlineStr">
        <is>
          <t>SUJAN</t>
        </is>
      </c>
      <c r="B1965">
        <f>IFERROR(INDEX(Companies!$A$3:$A$101,MATCH(A1965,Companies!$B$3:$B$101,0)),"")</f>
        <v/>
      </c>
      <c r="D1965" t="inlineStr">
        <is>
          <t>F89EF3FBCB01</t>
        </is>
      </c>
      <c r="E1965" s="24">
        <f>LEFT(D1965,2)&amp;":"&amp;MID(D1965,3,2)&amp;":"&amp;MID(D1965,5,2)&amp;":"&amp;MID(D1965,7,2)&amp;":"&amp;MID(D1965,9,2)&amp;":"&amp;RIGHT(D1965,2)</f>
        <v/>
      </c>
      <c r="H1965" t="inlineStr">
        <is>
          <t>F5E29C48541E67B4</t>
        </is>
      </c>
      <c r="J1965" t="inlineStr">
        <is>
          <t>VIEZO0000000000000790</t>
        </is>
      </c>
      <c r="N1965" s="99" t="inlineStr">
        <is>
          <t>Nexxiot</t>
        </is>
      </c>
    </row>
    <row r="1966">
      <c r="A1966" s="32" t="inlineStr">
        <is>
          <t>TALGO</t>
        </is>
      </c>
      <c r="B1966">
        <f>IFERROR(INDEX(Companies!$A$3:$A$101,MATCH(A1966,Companies!$B$3:$B$101,0)),"")</f>
        <v/>
      </c>
      <c r="C1966">
        <f>IFERROR(INDEX(Companies!$A$3:$A$101,MATCH(B1966,Companies!$B$3:$B$101,0)),"")</f>
        <v/>
      </c>
      <c r="D1966" t="inlineStr">
        <is>
          <t>F4C33A5942A5</t>
        </is>
      </c>
      <c r="E1966" s="24">
        <f>LEFT(D1966,2)&amp;":"&amp;MID(D1966,3,2)&amp;":"&amp;MID(D1966,5,2)&amp;":"&amp;MID(D1966,7,2)&amp;":"&amp;MID(D1966,9,2)&amp;":"&amp;RIGHT(D1966,2)</f>
        <v/>
      </c>
      <c r="H1966" t="inlineStr">
        <is>
          <t>FCA4BE35A065BD16</t>
        </is>
      </c>
      <c r="J1966" s="113" t="inlineStr">
        <is>
          <t>FCA4BE35A065BD16</t>
        </is>
      </c>
      <c r="N1966" s="99" t="inlineStr">
        <is>
          <t>whitelisted-round-5</t>
        </is>
      </c>
    </row>
    <row r="1967">
      <c r="A1967" s="32">
        <f>IFERROR(_xlfn.IFNA(INDEX(Sensors_MANU!$E$2:$E$4692,MATCH($D1967,Sensors_MANU!$B$2:$B$4692,0)),INDEX(Sensors_MANU!$E$2:$E$4692,MATCH($P1967,Sensors_MANU!$A$2:$A$4692,0))),"")</f>
        <v/>
      </c>
      <c r="B1967">
        <f>IFERROR(INDEX(Companies!$A$3:$A$101,MATCH(A1967,Companies!$B$3:$B$101,0)),"")</f>
        <v/>
      </c>
      <c r="D1967" t="inlineStr">
        <is>
          <t>ECFA203AAACD</t>
        </is>
      </c>
      <c r="E1967" s="24">
        <f>LEFT(D1967,2)&amp;":"&amp;MID(D1967,3,2)&amp;":"&amp;MID(D1967,5,2)&amp;":"&amp;MID(D1967,7,2)&amp;":"&amp;MID(D1967,9,2)&amp;":"&amp;RIGHT(D1967,2)</f>
        <v/>
      </c>
      <c r="H1967" s="18" t="inlineStr">
        <is>
          <t>59E23765626DB97D</t>
        </is>
      </c>
      <c r="J1967" t="inlineStr">
        <is>
          <t>59E23765626DB97D</t>
        </is>
      </c>
      <c r="N1967" s="99" t="inlineStr">
        <is>
          <t>Nexxiot</t>
        </is>
      </c>
    </row>
    <row r="1968">
      <c r="B1968">
        <f>IFERROR(INDEX(Companies!$A$3:$A$101,MATCH(A1968,Companies!$B$3:$B$101,0)),"")</f>
        <v/>
      </c>
      <c r="D1968" t="inlineStr">
        <is>
          <t>FBB9DF0C947F</t>
        </is>
      </c>
      <c r="E1968" s="24">
        <f>LEFT(D1968,2)&amp;":"&amp;MID(D1968,3,2)&amp;":"&amp;MID(D1968,5,2)&amp;":"&amp;MID(D1968,7,2)&amp;":"&amp;MID(D1968,9,2)&amp;":"&amp;RIGHT(D1968,2)</f>
        <v/>
      </c>
      <c r="H1968" t="inlineStr">
        <is>
          <t>F5B08123209F9B5A</t>
        </is>
      </c>
      <c r="J1968" t="inlineStr">
        <is>
          <t>F5B08123209F9B5A</t>
        </is>
      </c>
    </row>
    <row r="1969">
      <c r="B1969">
        <f>IFERROR(INDEX(Companies!$A$3:$A$101,MATCH(A1969,Companies!$B$3:$B$101,0)),"")</f>
        <v/>
      </c>
      <c r="D1969" t="inlineStr">
        <is>
          <t>CB11014F8BDC</t>
        </is>
      </c>
      <c r="E1969" s="24">
        <f>LEFT(D1969,2)&amp;":"&amp;MID(D1969,3,2)&amp;":"&amp;MID(D1969,5,2)&amp;":"&amp;MID(D1969,7,2)&amp;":"&amp;MID(D1969,9,2)&amp;":"&amp;RIGHT(D1969,2)</f>
        <v/>
      </c>
      <c r="H1969" t="inlineStr">
        <is>
          <t>E9D7CE5061CEA875</t>
        </is>
      </c>
      <c r="J1969" t="inlineStr">
        <is>
          <t>E9D7CE5061CEA875</t>
        </is>
      </c>
    </row>
    <row r="1970">
      <c r="B1970">
        <f>IFERROR(INDEX(Companies!$A$3:$A$101,MATCH(A1970,Companies!$B$3:$B$101,0)),"")</f>
        <v/>
      </c>
      <c r="D1970" t="inlineStr">
        <is>
          <t>D7132CDD3821</t>
        </is>
      </c>
      <c r="E1970" s="24">
        <f>LEFT(D1970,2)&amp;":"&amp;MID(D1970,3,2)&amp;":"&amp;MID(D1970,5,2)&amp;":"&amp;MID(D1970,7,2)&amp;":"&amp;MID(D1970,9,2)&amp;":"&amp;RIGHT(D1970,2)</f>
        <v/>
      </c>
      <c r="H1970" t="inlineStr">
        <is>
          <t>1C29A1C1ACBB7B48</t>
        </is>
      </c>
    </row>
    <row r="1971">
      <c r="B1971">
        <f>IFERROR(INDEX(Companies!$A$3:$A$101,MATCH(A1971,Companies!$B$3:$B$101,0)),"")</f>
        <v/>
      </c>
      <c r="D1971" t="inlineStr">
        <is>
          <t>C2FACC584EE7</t>
        </is>
      </c>
      <c r="E1971" s="24">
        <f>LEFT(D1971,2)&amp;":"&amp;MID(D1971,3,2)&amp;":"&amp;MID(D1971,5,2)&amp;":"&amp;MID(D1971,7,2)&amp;":"&amp;MID(D1971,9,2)&amp;":"&amp;RIGHT(D1971,2)</f>
        <v/>
      </c>
      <c r="H1971" t="inlineStr">
        <is>
          <t>7329037DEFBFADA9</t>
        </is>
      </c>
      <c r="J1971" t="inlineStr">
        <is>
          <t>7329037DEFBFADA9</t>
        </is>
      </c>
    </row>
    <row r="1972">
      <c r="B1972">
        <f>IFERROR(INDEX(Companies!$A$3:$A$101,MATCH(A1972,Companies!$B$3:$B$101,0)),"")</f>
        <v/>
      </c>
      <c r="D1972" t="inlineStr">
        <is>
          <t>CE6A717D1F77</t>
        </is>
      </c>
      <c r="E1972" s="24">
        <f>LEFT(D1972,2)&amp;":"&amp;MID(D1972,3,2)&amp;":"&amp;MID(D1972,5,2)&amp;":"&amp;MID(D1972,7,2)&amp;":"&amp;MID(D1972,9,2)&amp;":"&amp;RIGHT(D1972,2)</f>
        <v/>
      </c>
      <c r="H1972" t="inlineStr">
        <is>
          <t>40F3D4C98B4B54A9</t>
        </is>
      </c>
    </row>
    <row r="1973">
      <c r="B1973">
        <f>IFERROR(INDEX(Companies!$A$3:$A$101,MATCH(A1973,Companies!$B$3:$B$101,0)),"")</f>
        <v/>
      </c>
      <c r="D1973" t="inlineStr">
        <is>
          <t>C61F82E0A612</t>
        </is>
      </c>
      <c r="E1973" s="24">
        <f>LEFT(D1973,2)&amp;":"&amp;MID(D1973,3,2)&amp;":"&amp;MID(D1973,5,2)&amp;":"&amp;MID(D1973,7,2)&amp;":"&amp;MID(D1973,9,2)&amp;":"&amp;RIGHT(D1973,2)</f>
        <v/>
      </c>
      <c r="H1973" t="inlineStr">
        <is>
          <t>BC566CE46E9EDEF7</t>
        </is>
      </c>
      <c r="J1973" t="inlineStr">
        <is>
          <t>BC566CE46E9EDEF7</t>
        </is>
      </c>
    </row>
    <row r="1974">
      <c r="B1974">
        <f>IFERROR(INDEX(Companies!$A$3:$A$101,MATCH(A1974,Companies!$B$3:$B$101,0)),"")</f>
        <v/>
      </c>
      <c r="D1974" t="inlineStr">
        <is>
          <t>F7BEAF232399</t>
        </is>
      </c>
      <c r="E1974" s="24">
        <f>LEFT(D1974,2)&amp;":"&amp;MID(D1974,3,2)&amp;":"&amp;MID(D1974,5,2)&amp;":"&amp;MID(D1974,7,2)&amp;":"&amp;MID(D1974,9,2)&amp;":"&amp;RIGHT(D1974,2)</f>
        <v/>
      </c>
      <c r="H1974" t="inlineStr">
        <is>
          <t>04DDE73E3178F2A0</t>
        </is>
      </c>
      <c r="J1974" s="26" t="inlineStr">
        <is>
          <t>VIEZO0000000000000407</t>
        </is>
      </c>
    </row>
    <row r="1975">
      <c r="B1975">
        <f>IFERROR(INDEX(Companies!$A$3:$A$101,MATCH(A1975,Companies!$B$3:$B$101,0)),"")</f>
        <v/>
      </c>
      <c r="D1975" t="inlineStr">
        <is>
          <t>FE1E4C7B622A</t>
        </is>
      </c>
      <c r="E1975" s="24">
        <f>LEFT(D1975,2)&amp;":"&amp;MID(D1975,3,2)&amp;":"&amp;MID(D1975,5,2)&amp;":"&amp;MID(D1975,7,2)&amp;":"&amp;MID(D1975,9,2)&amp;":"&amp;RIGHT(D1975,2)</f>
        <v/>
      </c>
      <c r="H1975" t="inlineStr">
        <is>
          <t>9F584297FE2CE594</t>
        </is>
      </c>
      <c r="J1975" t="inlineStr">
        <is>
          <t>9F584297FE2CE594</t>
        </is>
      </c>
    </row>
    <row r="1976">
      <c r="B1976">
        <f>IFERROR(INDEX(Companies!$A$3:$A$101,MATCH(A1976,Companies!$B$3:$B$101,0)),"")</f>
        <v/>
      </c>
      <c r="D1976" t="inlineStr">
        <is>
          <t>E0181093393B</t>
        </is>
      </c>
      <c r="E1976" s="24">
        <f>LEFT(D1976,2)&amp;":"&amp;MID(D1976,3,2)&amp;":"&amp;MID(D1976,5,2)&amp;":"&amp;MID(D1976,7,2)&amp;":"&amp;MID(D1976,9,2)&amp;":"&amp;RIGHT(D1976,2)</f>
        <v/>
      </c>
      <c r="H1976" t="inlineStr">
        <is>
          <t>10908B361EAC89AA</t>
        </is>
      </c>
      <c r="J1976" t="inlineStr">
        <is>
          <t>10908B361EAC89AA</t>
        </is>
      </c>
    </row>
    <row r="1977">
      <c r="B1977">
        <f>IFERROR(INDEX(Companies!$A$3:$A$101,MATCH(A1977,Companies!$B$3:$B$101,0)),"")</f>
        <v/>
      </c>
      <c r="D1977" t="inlineStr">
        <is>
          <t>D1450A7FB859</t>
        </is>
      </c>
      <c r="E1977" s="24">
        <f>LEFT(D1977,2)&amp;":"&amp;MID(D1977,3,2)&amp;":"&amp;MID(D1977,5,2)&amp;":"&amp;MID(D1977,7,2)&amp;":"&amp;MID(D1977,9,2)&amp;":"&amp;RIGHT(D1977,2)</f>
        <v/>
      </c>
      <c r="H1977" t="inlineStr">
        <is>
          <t>1EBC52255AA5D9E5</t>
        </is>
      </c>
      <c r="J1977" t="inlineStr">
        <is>
          <t>LabTest-1</t>
        </is>
      </c>
    </row>
    <row r="1978">
      <c r="B1978">
        <f>IFERROR(INDEX(Companies!$A$3:$A$101,MATCH(A1978,Companies!$B$3:$B$101,0)),"")</f>
        <v/>
      </c>
      <c r="D1978" t="inlineStr">
        <is>
          <t>C0584A61C731</t>
        </is>
      </c>
      <c r="E1978" s="24">
        <f>LEFT(D1978,2)&amp;":"&amp;MID(D1978,3,2)&amp;":"&amp;MID(D1978,5,2)&amp;":"&amp;MID(D1978,7,2)&amp;":"&amp;MID(D1978,9,2)&amp;":"&amp;RIGHT(D1978,2)</f>
        <v/>
      </c>
      <c r="H1978" t="inlineStr">
        <is>
          <t>954739DC7682EF6A</t>
        </is>
      </c>
      <c r="J1978" t="inlineStr">
        <is>
          <t>954739DC7682EF6A</t>
        </is>
      </c>
    </row>
    <row r="1979">
      <c r="B1979">
        <f>IFERROR(INDEX(Companies!$A$3:$A$101,MATCH(A1979,Companies!$B$3:$B$101,0)),"")</f>
        <v/>
      </c>
      <c r="D1979" t="inlineStr">
        <is>
          <t>C7F9AEDE6771</t>
        </is>
      </c>
      <c r="E1979" s="24">
        <f>LEFT(D1979,2)&amp;":"&amp;MID(D1979,3,2)&amp;":"&amp;MID(D1979,5,2)&amp;":"&amp;MID(D1979,7,2)&amp;":"&amp;MID(D1979,9,2)&amp;":"&amp;RIGHT(D1979,2)</f>
        <v/>
      </c>
      <c r="H1979" t="inlineStr">
        <is>
          <t>26D8C0407D4BBB33</t>
        </is>
      </c>
      <c r="J1979" t="inlineStr">
        <is>
          <t>26D8C0407D4BBB33</t>
        </is>
      </c>
    </row>
    <row r="1980">
      <c r="B1980">
        <f>IFERROR(INDEX(Companies!$A$3:$A$101,MATCH(A1980,Companies!$B$3:$B$101,0)),"")</f>
        <v/>
      </c>
      <c r="D1980" t="inlineStr">
        <is>
          <t>D1F8C65EEC55</t>
        </is>
      </c>
      <c r="E1980" s="24">
        <f>LEFT(D1980,2)&amp;":"&amp;MID(D1980,3,2)&amp;":"&amp;MID(D1980,5,2)&amp;":"&amp;MID(D1980,7,2)&amp;":"&amp;MID(D1980,9,2)&amp;":"&amp;RIGHT(D1980,2)</f>
        <v/>
      </c>
      <c r="H1980" t="inlineStr">
        <is>
          <t>F64834AAB69D64D2</t>
        </is>
      </c>
      <c r="J1980" t="inlineStr">
        <is>
          <t>F64834AAB69D64D2</t>
        </is>
      </c>
    </row>
    <row r="1981">
      <c r="B1981">
        <f>IFERROR(INDEX(Companies!$A$3:$A$101,MATCH(A1981,Companies!$B$3:$B$101,0)),"")</f>
        <v/>
      </c>
      <c r="D1981" t="inlineStr">
        <is>
          <t>ECD802E8B306</t>
        </is>
      </c>
      <c r="E1981" s="24">
        <f>LEFT(D1981,2)&amp;":"&amp;MID(D1981,3,2)&amp;":"&amp;MID(D1981,5,2)&amp;":"&amp;MID(D1981,7,2)&amp;":"&amp;MID(D1981,9,2)&amp;":"&amp;RIGHT(D1981,2)</f>
        <v/>
      </c>
      <c r="H1981" t="inlineStr">
        <is>
          <t>125F38E002D32A97</t>
        </is>
      </c>
      <c r="J1981" t="inlineStr">
        <is>
          <t>125F38E002D32A97</t>
        </is>
      </c>
    </row>
    <row r="1982">
      <c r="B1982">
        <f>IFERROR(INDEX(Companies!$A$3:$A$101,MATCH(A1982,Companies!$B$3:$B$101,0)),"")</f>
        <v/>
      </c>
      <c r="D1982" t="inlineStr">
        <is>
          <t>FBC1B8A3CFA3</t>
        </is>
      </c>
      <c r="E1982" s="24">
        <f>LEFT(D1982,2)&amp;":"&amp;MID(D1982,3,2)&amp;":"&amp;MID(D1982,5,2)&amp;":"&amp;MID(D1982,7,2)&amp;":"&amp;MID(D1982,9,2)&amp;":"&amp;RIGHT(D1982,2)</f>
        <v/>
      </c>
      <c r="H1982" t="inlineStr">
        <is>
          <t>FC62E9060D688909</t>
        </is>
      </c>
    </row>
    <row r="1983">
      <c r="B1983">
        <f>IFERROR(INDEX(Companies!$A$3:$A$101,MATCH(A1983,Companies!$B$3:$B$101,0)),"")</f>
        <v/>
      </c>
      <c r="D1983" t="inlineStr">
        <is>
          <t>DB0C26769AD2</t>
        </is>
      </c>
      <c r="E1983" s="24">
        <f>LEFT(D1983,2)&amp;":"&amp;MID(D1983,3,2)&amp;":"&amp;MID(D1983,5,2)&amp;":"&amp;MID(D1983,7,2)&amp;":"&amp;MID(D1983,9,2)&amp;":"&amp;RIGHT(D1983,2)</f>
        <v/>
      </c>
      <c r="H1983" t="inlineStr">
        <is>
          <t>DF9E7B6EEFFB7CAE</t>
        </is>
      </c>
      <c r="J1983" t="inlineStr">
        <is>
          <t>DF9E7B6EEFFB7CAE</t>
        </is>
      </c>
    </row>
    <row r="1984">
      <c r="B1984">
        <f>IFERROR(INDEX(Companies!$A$3:$A$101,MATCH(A1984,Companies!$B$3:$B$101,0)),"")</f>
        <v/>
      </c>
      <c r="D1984" t="inlineStr">
        <is>
          <t>FDB0D05E09BE</t>
        </is>
      </c>
      <c r="E1984" s="24">
        <f>LEFT(D1984,2)&amp;":"&amp;MID(D1984,3,2)&amp;":"&amp;MID(D1984,5,2)&amp;":"&amp;MID(D1984,7,2)&amp;":"&amp;MID(D1984,9,2)&amp;":"&amp;RIGHT(D1984,2)</f>
        <v/>
      </c>
      <c r="H1984" s="18" t="inlineStr">
        <is>
          <t>645E5399B80BA5AB</t>
        </is>
      </c>
    </row>
    <row r="1985">
      <c r="B1985">
        <f>IFERROR(INDEX(Companies!$A$3:$A$101,MATCH(A1985,Companies!$B$3:$B$101,0)),"")</f>
        <v/>
      </c>
      <c r="D1985" t="inlineStr">
        <is>
          <t>F081C8C13A45</t>
        </is>
      </c>
      <c r="E1985" s="24">
        <f>LEFT(D1985,2)&amp;":"&amp;MID(D1985,3,2)&amp;":"&amp;MID(D1985,5,2)&amp;":"&amp;MID(D1985,7,2)&amp;":"&amp;MID(D1985,9,2)&amp;":"&amp;RIGHT(D1985,2)</f>
        <v/>
      </c>
      <c r="H1985" t="inlineStr">
        <is>
          <t>6AAE307179E5F0E3</t>
        </is>
      </c>
      <c r="J1985" t="inlineStr">
        <is>
          <t>6AAE307179E5F0E3</t>
        </is>
      </c>
    </row>
    <row r="1986">
      <c r="B1986">
        <f>IFERROR(INDEX(Companies!$A$3:$A$101,MATCH(A1986,Companies!$B$3:$B$101,0)),"")</f>
        <v/>
      </c>
      <c r="D1986" t="inlineStr">
        <is>
          <t>CB518365FAAE</t>
        </is>
      </c>
      <c r="E1986" s="24">
        <f>LEFT(D1986,2)&amp;":"&amp;MID(D1986,3,2)&amp;":"&amp;MID(D1986,5,2)&amp;":"&amp;MID(D1986,7,2)&amp;":"&amp;MID(D1986,9,2)&amp;":"&amp;RIGHT(D1986,2)</f>
        <v/>
      </c>
      <c r="H1986" t="inlineStr">
        <is>
          <t>EFBDB7860F77D8B2</t>
        </is>
      </c>
      <c r="J1986" t="inlineStr">
        <is>
          <t>EFBDB7860F77D8B2</t>
        </is>
      </c>
    </row>
    <row r="1987">
      <c r="B1987">
        <f>IFERROR(INDEX(Companies!$A$3:$A$101,MATCH(A1987,Companies!$B$3:$B$101,0)),"")</f>
        <v/>
      </c>
      <c r="D1987" t="inlineStr">
        <is>
          <t>D6D424B7E964</t>
        </is>
      </c>
      <c r="E1987" s="24">
        <f>LEFT(D1987,2)&amp;":"&amp;MID(D1987,3,2)&amp;":"&amp;MID(D1987,5,2)&amp;":"&amp;MID(D1987,7,2)&amp;":"&amp;MID(D1987,9,2)&amp;":"&amp;RIGHT(D1987,2)</f>
        <v/>
      </c>
      <c r="H1987" t="inlineStr">
        <is>
          <t>3224C8AAB60997AB</t>
        </is>
      </c>
      <c r="J1987" t="inlineStr">
        <is>
          <t>3224C8AAB60997AB</t>
        </is>
      </c>
    </row>
    <row r="1988">
      <c r="B1988">
        <f>IFERROR(INDEX(Companies!$A$3:$A$101,MATCH(A1988,Companies!$B$3:$B$101,0)),"")</f>
        <v/>
      </c>
      <c r="D1988" t="inlineStr">
        <is>
          <t>D44F0CDDBC82</t>
        </is>
      </c>
      <c r="E1988" s="24">
        <f>LEFT(D1988,2)&amp;":"&amp;MID(D1988,3,2)&amp;":"&amp;MID(D1988,5,2)&amp;":"&amp;MID(D1988,7,2)&amp;":"&amp;MID(D1988,9,2)&amp;":"&amp;RIGHT(D1988,2)</f>
        <v/>
      </c>
      <c r="H1988" t="inlineStr">
        <is>
          <t>BB0C22FC30C26B8C</t>
        </is>
      </c>
      <c r="J1988" t="inlineStr">
        <is>
          <t>BB0C22FC30C26B8C</t>
        </is>
      </c>
    </row>
    <row r="1989">
      <c r="B1989">
        <f>IFERROR(INDEX(Companies!$A$3:$A$101,MATCH(A1989,Companies!$B$3:$B$101,0)),"")</f>
        <v/>
      </c>
      <c r="D1989" t="inlineStr">
        <is>
          <t>E582F3B4C40B</t>
        </is>
      </c>
      <c r="E1989" s="24">
        <f>LEFT(D1989,2)&amp;":"&amp;MID(D1989,3,2)&amp;":"&amp;MID(D1989,5,2)&amp;":"&amp;MID(D1989,7,2)&amp;":"&amp;MID(D1989,9,2)&amp;":"&amp;RIGHT(D1989,2)</f>
        <v/>
      </c>
      <c r="H1989" t="inlineStr">
        <is>
          <t>AFC28CD6E196CEC2</t>
        </is>
      </c>
      <c r="J1989" t="inlineStr">
        <is>
          <t>AFC28CD6E196CEC2</t>
        </is>
      </c>
    </row>
    <row r="1990">
      <c r="B1990">
        <f>IFERROR(INDEX(Companies!$A$3:$A$101,MATCH(A1990,Companies!$B$3:$B$101,0)),"")</f>
        <v/>
      </c>
      <c r="D1990" t="inlineStr">
        <is>
          <t>F20CBFF67832</t>
        </is>
      </c>
      <c r="E1990" s="24">
        <f>LEFT(D1990,2)&amp;":"&amp;MID(D1990,3,2)&amp;":"&amp;MID(D1990,5,2)&amp;":"&amp;MID(D1990,7,2)&amp;":"&amp;MID(D1990,9,2)&amp;":"&amp;RIGHT(D1990,2)</f>
        <v/>
      </c>
      <c r="H1990" t="inlineStr">
        <is>
          <t>A6A8DB5C9A94EDAD</t>
        </is>
      </c>
      <c r="J1990" t="inlineStr">
        <is>
          <t>A6A8DB5C9A94EDAD</t>
        </is>
      </c>
    </row>
    <row r="1991">
      <c r="B1991">
        <f>IFERROR(INDEX(Companies!$A$3:$A$101,MATCH(A1991,Companies!$B$3:$B$101,0)),"")</f>
        <v/>
      </c>
      <c r="D1991" t="inlineStr">
        <is>
          <t>C8E69927EC4D</t>
        </is>
      </c>
      <c r="E1991" s="24">
        <f>LEFT(D1991,2)&amp;":"&amp;MID(D1991,3,2)&amp;":"&amp;MID(D1991,5,2)&amp;":"&amp;MID(D1991,7,2)&amp;":"&amp;MID(D1991,9,2)&amp;":"&amp;RIGHT(D1991,2)</f>
        <v/>
      </c>
      <c r="H1991" t="inlineStr">
        <is>
          <t>E337932ACEAE7CED</t>
        </is>
      </c>
      <c r="J1991" t="inlineStr">
        <is>
          <t>E337932ACEAE7CED</t>
        </is>
      </c>
    </row>
    <row r="1992">
      <c r="B1992">
        <f>IFERROR(INDEX(Companies!$A$3:$A$101,MATCH(A1992,Companies!$B$3:$B$101,0)),"")</f>
        <v/>
      </c>
      <c r="D1992" t="inlineStr">
        <is>
          <t>F09D58CE0FBA</t>
        </is>
      </c>
      <c r="E1992" s="24">
        <f>LEFT(D1992,2)&amp;":"&amp;MID(D1992,3,2)&amp;":"&amp;MID(D1992,5,2)&amp;":"&amp;MID(D1992,7,2)&amp;":"&amp;MID(D1992,9,2)&amp;":"&amp;RIGHT(D1992,2)</f>
        <v/>
      </c>
      <c r="H1992" t="inlineStr">
        <is>
          <t>B19717BAB183D529</t>
        </is>
      </c>
      <c r="J1992" t="inlineStr">
        <is>
          <t>B19717BAB183D529</t>
        </is>
      </c>
    </row>
    <row r="1993">
      <c r="B1993">
        <f>IFERROR(INDEX(Companies!$A$3:$A$101,MATCH(A1993,Companies!$B$3:$B$101,0)),"")</f>
        <v/>
      </c>
      <c r="D1993" t="inlineStr">
        <is>
          <t>E02CF3B9E0DC</t>
        </is>
      </c>
      <c r="E1993" s="24">
        <f>LEFT(D1993,2)&amp;":"&amp;MID(D1993,3,2)&amp;":"&amp;MID(D1993,5,2)&amp;":"&amp;MID(D1993,7,2)&amp;":"&amp;MID(D1993,9,2)&amp;":"&amp;RIGHT(D1993,2)</f>
        <v/>
      </c>
      <c r="H1993" t="inlineStr">
        <is>
          <t>8DB015156F0BDC6F</t>
        </is>
      </c>
      <c r="J1993" t="inlineStr">
        <is>
          <t>8DB015156F0BDC6F</t>
        </is>
      </c>
    </row>
    <row r="1994">
      <c r="B1994">
        <f>IFERROR(INDEX(Companies!$A$3:$A$101,MATCH(A1994,Companies!$B$3:$B$101,0)),"")</f>
        <v/>
      </c>
      <c r="D1994" t="inlineStr">
        <is>
          <t>D248524C2D5D</t>
        </is>
      </c>
      <c r="E1994" s="24">
        <f>LEFT(D1994,2)&amp;":"&amp;MID(D1994,3,2)&amp;":"&amp;MID(D1994,5,2)&amp;":"&amp;MID(D1994,7,2)&amp;":"&amp;MID(D1994,9,2)&amp;":"&amp;RIGHT(D1994,2)</f>
        <v/>
      </c>
      <c r="H1994" t="inlineStr">
        <is>
          <t>A2AA2AA97A2EB488</t>
        </is>
      </c>
      <c r="J1994" t="inlineStr">
        <is>
          <t>A2AA2AA97A2EB488</t>
        </is>
      </c>
    </row>
    <row r="1995">
      <c r="B1995">
        <f>IFERROR(INDEX(Companies!$A$3:$A$101,MATCH(A1995,Companies!$B$3:$B$101,0)),"")</f>
        <v/>
      </c>
      <c r="D1995" t="inlineStr">
        <is>
          <t>E784154AD1EE</t>
        </is>
      </c>
      <c r="E1995" s="24">
        <f>LEFT(D1995,2)&amp;":"&amp;MID(D1995,3,2)&amp;":"&amp;MID(D1995,5,2)&amp;":"&amp;MID(D1995,7,2)&amp;":"&amp;MID(D1995,9,2)&amp;":"&amp;RIGHT(D1995,2)</f>
        <v/>
      </c>
      <c r="H1995" t="inlineStr">
        <is>
          <t>EA0928B186B7C893</t>
        </is>
      </c>
      <c r="J1995" t="inlineStr">
        <is>
          <t>EA0928B186B7C893</t>
        </is>
      </c>
    </row>
    <row r="1996">
      <c r="B1996">
        <f>IFERROR(INDEX(Companies!$A$3:$A$101,MATCH(A1996,Companies!$B$3:$B$101,0)),"")</f>
        <v/>
      </c>
      <c r="D1996" t="inlineStr">
        <is>
          <t>EAE673800225</t>
        </is>
      </c>
      <c r="E1996" s="24">
        <f>LEFT(D1996,2)&amp;":"&amp;MID(D1996,3,2)&amp;":"&amp;MID(D1996,5,2)&amp;":"&amp;MID(D1996,7,2)&amp;":"&amp;MID(D1996,9,2)&amp;":"&amp;RIGHT(D1996,2)</f>
        <v/>
      </c>
      <c r="H1996" t="inlineStr">
        <is>
          <t>1CFE9D81E321A43C</t>
        </is>
      </c>
      <c r="J1996" t="inlineStr">
        <is>
          <t>1CFE9D81E321A43C</t>
        </is>
      </c>
    </row>
    <row r="1997">
      <c r="B1997">
        <f>IFERROR(INDEX(Companies!$A$3:$A$101,MATCH(A1997,Companies!$B$3:$B$101,0)),"")</f>
        <v/>
      </c>
      <c r="D1997" t="inlineStr">
        <is>
          <t>F0E65E15FB5D</t>
        </is>
      </c>
      <c r="E1997" s="24">
        <f>LEFT(D1997,2)&amp;":"&amp;MID(D1997,3,2)&amp;":"&amp;MID(D1997,5,2)&amp;":"&amp;MID(D1997,7,2)&amp;":"&amp;MID(D1997,9,2)&amp;":"&amp;RIGHT(D1997,2)</f>
        <v/>
      </c>
      <c r="H1997" t="inlineStr">
        <is>
          <t>224EFCB5DFF0CFFA</t>
        </is>
      </c>
      <c r="J1997" t="inlineStr">
        <is>
          <t>224EFCB5DFF0CFFA</t>
        </is>
      </c>
    </row>
    <row r="1998">
      <c r="B1998">
        <f>IFERROR(INDEX(Companies!$A$3:$A$101,MATCH(A1998,Companies!$B$3:$B$101,0)),"")</f>
        <v/>
      </c>
      <c r="D1998" t="inlineStr">
        <is>
          <t>CBEAC5AB153F</t>
        </is>
      </c>
      <c r="E1998" s="24">
        <f>LEFT(D1998,2)&amp;":"&amp;MID(D1998,3,2)&amp;":"&amp;MID(D1998,5,2)&amp;":"&amp;MID(D1998,7,2)&amp;":"&amp;MID(D1998,9,2)&amp;":"&amp;RIGHT(D1998,2)</f>
        <v/>
      </c>
      <c r="H1998" t="inlineStr">
        <is>
          <t>1116D34DC26CC3F2</t>
        </is>
      </c>
      <c r="J1998" t="inlineStr">
        <is>
          <t>1116D34DC26CC3F2</t>
        </is>
      </c>
    </row>
    <row r="1999">
      <c r="B1999">
        <f>IFERROR(INDEX(Companies!$A$3:$A$101,MATCH(A1999,Companies!$B$3:$B$101,0)),"")</f>
        <v/>
      </c>
      <c r="D1999" t="inlineStr">
        <is>
          <t>C6B12C7127E8</t>
        </is>
      </c>
      <c r="E1999" s="24">
        <f>LEFT(D1999,2)&amp;":"&amp;MID(D1999,3,2)&amp;":"&amp;MID(D1999,5,2)&amp;":"&amp;MID(D1999,7,2)&amp;":"&amp;MID(D1999,9,2)&amp;":"&amp;RIGHT(D1999,2)</f>
        <v/>
      </c>
      <c r="H1999" t="inlineStr">
        <is>
          <t>311DCA7A59DC7D19</t>
        </is>
      </c>
      <c r="J1999" t="inlineStr">
        <is>
          <t>311DCA7A59DC7D19</t>
        </is>
      </c>
    </row>
    <row r="2000">
      <c r="B2000">
        <f>IFERROR(INDEX(Companies!$A$3:$A$101,MATCH(A2000,Companies!$B$3:$B$101,0)),"")</f>
        <v/>
      </c>
      <c r="D2000" t="inlineStr">
        <is>
          <t>F8715C0EC07E</t>
        </is>
      </c>
      <c r="E2000" s="24">
        <f>LEFT(D2000,2)&amp;":"&amp;MID(D2000,3,2)&amp;":"&amp;MID(D2000,5,2)&amp;":"&amp;MID(D2000,7,2)&amp;":"&amp;MID(D2000,9,2)&amp;":"&amp;RIGHT(D2000,2)</f>
        <v/>
      </c>
      <c r="H2000" t="inlineStr">
        <is>
          <t>F42930B56303E8A6</t>
        </is>
      </c>
      <c r="J2000" t="inlineStr">
        <is>
          <t>F42930B56303E8A6</t>
        </is>
      </c>
    </row>
    <row r="2001">
      <c r="B2001">
        <f>IFERROR(INDEX(Companies!$A$3:$A$101,MATCH(A2001,Companies!$B$3:$B$101,0)),"")</f>
        <v/>
      </c>
      <c r="D2001" t="inlineStr">
        <is>
          <t>DC76CD636CBF</t>
        </is>
      </c>
      <c r="E2001" s="24">
        <f>LEFT(D2001,2)&amp;":"&amp;MID(D2001,3,2)&amp;":"&amp;MID(D2001,5,2)&amp;":"&amp;MID(D2001,7,2)&amp;":"&amp;MID(D2001,9,2)&amp;":"&amp;RIGHT(D2001,2)</f>
        <v/>
      </c>
      <c r="H2001" t="inlineStr">
        <is>
          <t>B6039427C8412ECB</t>
        </is>
      </c>
      <c r="J2001" t="inlineStr">
        <is>
          <t>B6039427C8412ECB</t>
        </is>
      </c>
    </row>
    <row r="2002">
      <c r="B2002">
        <f>IFERROR(INDEX(Companies!$A$3:$A$101,MATCH(A2002,Companies!$B$3:$B$101,0)),"")</f>
        <v/>
      </c>
      <c r="D2002" t="inlineStr">
        <is>
          <t>D6C4B4B20EFE</t>
        </is>
      </c>
      <c r="E2002" s="24">
        <f>LEFT(D2002,2)&amp;":"&amp;MID(D2002,3,2)&amp;":"&amp;MID(D2002,5,2)&amp;":"&amp;MID(D2002,7,2)&amp;":"&amp;MID(D2002,9,2)&amp;":"&amp;RIGHT(D2002,2)</f>
        <v/>
      </c>
      <c r="H2002" t="inlineStr">
        <is>
          <t>A7BCACDD4D409E50</t>
        </is>
      </c>
      <c r="J2002" t="inlineStr">
        <is>
          <t>A7BCACDD4D409E50</t>
        </is>
      </c>
    </row>
    <row r="2003">
      <c r="B2003">
        <f>IFERROR(INDEX(Companies!$A$3:$A$101,MATCH(A2003,Companies!$B$3:$B$101,0)),"")</f>
        <v/>
      </c>
      <c r="D2003" t="inlineStr">
        <is>
          <t>C4EC6DD21F77</t>
        </is>
      </c>
      <c r="E2003" s="24">
        <f>LEFT(D2003,2)&amp;":"&amp;MID(D2003,3,2)&amp;":"&amp;MID(D2003,5,2)&amp;":"&amp;MID(D2003,7,2)&amp;":"&amp;MID(D2003,9,2)&amp;":"&amp;RIGHT(D2003,2)</f>
        <v/>
      </c>
      <c r="H2003" t="inlineStr">
        <is>
          <t>428C12A54C193D97</t>
        </is>
      </c>
      <c r="J2003" t="inlineStr">
        <is>
          <t>428C12A54C193D97</t>
        </is>
      </c>
    </row>
    <row r="2004">
      <c r="B2004">
        <f>IFERROR(INDEX(Companies!$A$3:$A$101,MATCH(A2004,Companies!$B$3:$B$101,0)),"")</f>
        <v/>
      </c>
      <c r="D2004" t="inlineStr">
        <is>
          <t>FB4C6B73D0A5</t>
        </is>
      </c>
      <c r="E2004" s="24">
        <f>LEFT(D2004,2)&amp;":"&amp;MID(D2004,3,2)&amp;":"&amp;MID(D2004,5,2)&amp;":"&amp;MID(D2004,7,2)&amp;":"&amp;MID(D2004,9,2)&amp;":"&amp;RIGHT(D2004,2)</f>
        <v/>
      </c>
      <c r="H2004" t="inlineStr">
        <is>
          <t>EDBE5B369D479B95</t>
        </is>
      </c>
      <c r="J2004" t="inlineStr">
        <is>
          <t>EDBE5B369D479B95</t>
        </is>
      </c>
    </row>
    <row r="2005">
      <c r="B2005">
        <f>IFERROR(INDEX(Companies!$A$3:$A$101,MATCH(A2005,Companies!$B$3:$B$101,0)),"")</f>
        <v/>
      </c>
      <c r="D2005" t="inlineStr">
        <is>
          <t>CA1CEE6F1CCE</t>
        </is>
      </c>
      <c r="E2005" s="24">
        <f>LEFT(D2005,2)&amp;":"&amp;MID(D2005,3,2)&amp;":"&amp;MID(D2005,5,2)&amp;":"&amp;MID(D2005,7,2)&amp;":"&amp;MID(D2005,9,2)&amp;":"&amp;RIGHT(D2005,2)</f>
        <v/>
      </c>
      <c r="H2005" t="inlineStr">
        <is>
          <t>CADF44DA548EA5DB</t>
        </is>
      </c>
      <c r="J2005" t="inlineStr">
        <is>
          <t>CADF44DA548EA5DB</t>
        </is>
      </c>
    </row>
    <row r="2006">
      <c r="B2006">
        <f>IFERROR(INDEX(Companies!$A$3:$A$101,MATCH(A2006,Companies!$B$3:$B$101,0)),"")</f>
        <v/>
      </c>
      <c r="D2006" t="inlineStr">
        <is>
          <t>FE0F1718671D</t>
        </is>
      </c>
      <c r="E2006" s="24">
        <f>LEFT(D2006,2)&amp;":"&amp;MID(D2006,3,2)&amp;":"&amp;MID(D2006,5,2)&amp;":"&amp;MID(D2006,7,2)&amp;":"&amp;MID(D2006,9,2)&amp;":"&amp;RIGHT(D2006,2)</f>
        <v/>
      </c>
      <c r="H2006" t="inlineStr">
        <is>
          <t>BBB4BDB5CC961DB2</t>
        </is>
      </c>
      <c r="J2006" t="inlineStr">
        <is>
          <t>BBB4BDB5CC961DB2</t>
        </is>
      </c>
    </row>
    <row r="2007">
      <c r="B2007">
        <f>IFERROR(INDEX(Companies!$A$3:$A$101,MATCH(A2007,Companies!$B$3:$B$101,0)),"")</f>
        <v/>
      </c>
      <c r="D2007" t="inlineStr">
        <is>
          <t>DB7D65B18662</t>
        </is>
      </c>
      <c r="E2007" s="24">
        <f>LEFT(D2007,2)&amp;":"&amp;MID(D2007,3,2)&amp;":"&amp;MID(D2007,5,2)&amp;":"&amp;MID(D2007,7,2)&amp;":"&amp;MID(D2007,9,2)&amp;":"&amp;RIGHT(D2007,2)</f>
        <v/>
      </c>
      <c r="H2007" t="inlineStr">
        <is>
          <t>727358126817177E</t>
        </is>
      </c>
      <c r="J2007" t="inlineStr">
        <is>
          <t>727358126817177E</t>
        </is>
      </c>
    </row>
    <row r="2008">
      <c r="B2008">
        <f>IFERROR(INDEX(Companies!$A$3:$A$101,MATCH(A2008,Companies!$B$3:$B$101,0)),"")</f>
        <v/>
      </c>
      <c r="D2008" t="inlineStr">
        <is>
          <t>C45D6D62857A</t>
        </is>
      </c>
      <c r="E2008" s="24">
        <f>LEFT(D2008,2)&amp;":"&amp;MID(D2008,3,2)&amp;":"&amp;MID(D2008,5,2)&amp;":"&amp;MID(D2008,7,2)&amp;":"&amp;MID(D2008,9,2)&amp;":"&amp;RIGHT(D2008,2)</f>
        <v/>
      </c>
      <c r="H2008" t="inlineStr">
        <is>
          <t>AC807A674E4F61F6</t>
        </is>
      </c>
      <c r="J2008" t="inlineStr">
        <is>
          <t>AC807A674E4F61F6</t>
        </is>
      </c>
    </row>
    <row r="2009">
      <c r="B2009">
        <f>IFERROR(INDEX(Companies!$A$3:$A$101,MATCH(A2009,Companies!$B$3:$B$101,0)),"")</f>
        <v/>
      </c>
      <c r="D2009" t="inlineStr">
        <is>
          <t>D5A2C38666BE</t>
        </is>
      </c>
      <c r="E2009" s="24">
        <f>LEFT(D2009,2)&amp;":"&amp;MID(D2009,3,2)&amp;":"&amp;MID(D2009,5,2)&amp;":"&amp;MID(D2009,7,2)&amp;":"&amp;MID(D2009,9,2)&amp;":"&amp;RIGHT(D2009,2)</f>
        <v/>
      </c>
      <c r="H2009" t="inlineStr">
        <is>
          <t>EF5F9049776A4C39</t>
        </is>
      </c>
      <c r="J2009" t="inlineStr">
        <is>
          <t>EF5F9049776A4C39</t>
        </is>
      </c>
    </row>
    <row r="2010">
      <c r="B2010">
        <f>IFERROR(INDEX(Companies!$A$3:$A$101,MATCH(A2010,Companies!$B$3:$B$101,0)),"")</f>
        <v/>
      </c>
      <c r="D2010" t="inlineStr">
        <is>
          <t>F45D0E60DEA7</t>
        </is>
      </c>
      <c r="E2010" s="24">
        <f>LEFT(D2010,2)&amp;":"&amp;MID(D2010,3,2)&amp;":"&amp;MID(D2010,5,2)&amp;":"&amp;MID(D2010,7,2)&amp;":"&amp;MID(D2010,9,2)&amp;":"&amp;RIGHT(D2010,2)</f>
        <v/>
      </c>
      <c r="H2010" t="inlineStr">
        <is>
          <t>B577CAEAF1C4C873</t>
        </is>
      </c>
      <c r="J2010" t="inlineStr">
        <is>
          <t>B577CAEAF1C4C873</t>
        </is>
      </c>
    </row>
    <row r="2011">
      <c r="B2011">
        <f>IFERROR(INDEX(Companies!$A$3:$A$101,MATCH(A2011,Companies!$B$3:$B$101,0)),"")</f>
        <v/>
      </c>
      <c r="D2011" t="inlineStr">
        <is>
          <t>D69C08661ADA</t>
        </is>
      </c>
      <c r="E2011" s="24">
        <f>LEFT(D2011,2)&amp;":"&amp;MID(D2011,3,2)&amp;":"&amp;MID(D2011,5,2)&amp;":"&amp;MID(D2011,7,2)&amp;":"&amp;MID(D2011,9,2)&amp;":"&amp;RIGHT(D2011,2)</f>
        <v/>
      </c>
      <c r="H2011" t="inlineStr">
        <is>
          <t>E001FA33B4486576</t>
        </is>
      </c>
      <c r="J2011" t="inlineStr">
        <is>
          <t>E001FA33B4486576</t>
        </is>
      </c>
    </row>
    <row r="2012">
      <c r="B2012">
        <f>IFERROR(INDEX(Companies!$A$3:$A$101,MATCH(A2012,Companies!$B$3:$B$101,0)),"")</f>
        <v/>
      </c>
      <c r="D2012" t="inlineStr">
        <is>
          <t>ECBB3B3F1E5D</t>
        </is>
      </c>
      <c r="E2012" s="24">
        <f>LEFT(D2012,2)&amp;":"&amp;MID(D2012,3,2)&amp;":"&amp;MID(D2012,5,2)&amp;":"&amp;MID(D2012,7,2)&amp;":"&amp;MID(D2012,9,2)&amp;":"&amp;RIGHT(D2012,2)</f>
        <v/>
      </c>
      <c r="H2012" t="inlineStr">
        <is>
          <t>2705F118D471C860</t>
        </is>
      </c>
      <c r="J2012" t="inlineStr">
        <is>
          <t>2705F118D471C860</t>
        </is>
      </c>
    </row>
    <row r="2013">
      <c r="B2013">
        <f>IFERROR(INDEX(Companies!$A$3:$A$101,MATCH(A2013,Companies!$B$3:$B$101,0)),"")</f>
        <v/>
      </c>
      <c r="D2013" t="inlineStr">
        <is>
          <t>C33125DF9CE9</t>
        </is>
      </c>
      <c r="E2013" s="24">
        <f>LEFT(D2013,2)&amp;":"&amp;MID(D2013,3,2)&amp;":"&amp;MID(D2013,5,2)&amp;":"&amp;MID(D2013,7,2)&amp;":"&amp;MID(D2013,9,2)&amp;":"&amp;RIGHT(D2013,2)</f>
        <v/>
      </c>
      <c r="H2013" t="inlineStr">
        <is>
          <t>2F7C0D8AE5DBA790</t>
        </is>
      </c>
      <c r="J2013" t="inlineStr">
        <is>
          <t>2F7C0D8AE5DBA790</t>
        </is>
      </c>
    </row>
    <row r="2014">
      <c r="B2014">
        <f>IFERROR(INDEX(Companies!$A$3:$A$101,MATCH(A2014,Companies!$B$3:$B$101,0)),"")</f>
        <v/>
      </c>
      <c r="D2014" t="inlineStr">
        <is>
          <t>DE7B8142B2D4</t>
        </is>
      </c>
      <c r="E2014" s="24">
        <f>LEFT(D2014,2)&amp;":"&amp;MID(D2014,3,2)&amp;":"&amp;MID(D2014,5,2)&amp;":"&amp;MID(D2014,7,2)&amp;":"&amp;MID(D2014,9,2)&amp;":"&amp;RIGHT(D2014,2)</f>
        <v/>
      </c>
      <c r="H2014" t="inlineStr">
        <is>
          <t>4F0A892F0E3CD5A3</t>
        </is>
      </c>
      <c r="J2014" t="inlineStr">
        <is>
          <t>4F0A892F0E3CD5A3</t>
        </is>
      </c>
    </row>
    <row r="2015">
      <c r="B2015">
        <f>IFERROR(INDEX(Companies!$A$3:$A$101,MATCH(A2015,Companies!$B$3:$B$101,0)),"")</f>
        <v/>
      </c>
      <c r="D2015" t="inlineStr">
        <is>
          <t>D82FEFB6569F</t>
        </is>
      </c>
      <c r="E2015" s="24">
        <f>LEFT(D2015,2)&amp;":"&amp;MID(D2015,3,2)&amp;":"&amp;MID(D2015,5,2)&amp;":"&amp;MID(D2015,7,2)&amp;":"&amp;MID(D2015,9,2)&amp;":"&amp;RIGHT(D2015,2)</f>
        <v/>
      </c>
      <c r="H2015" t="inlineStr">
        <is>
          <t>EF939AE6FC5A1D8B</t>
        </is>
      </c>
      <c r="J2015" t="inlineStr">
        <is>
          <t>EF939AE6FC5A1D8B</t>
        </is>
      </c>
    </row>
    <row r="2016">
      <c r="B2016">
        <f>IFERROR(INDEX(Companies!$A$3:$A$101,MATCH(A2016,Companies!$B$3:$B$101,0)),"")</f>
        <v/>
      </c>
      <c r="D2016" t="inlineStr">
        <is>
          <t>D074FDD425F4</t>
        </is>
      </c>
      <c r="E2016" s="24">
        <f>LEFT(D2016,2)&amp;":"&amp;MID(D2016,3,2)&amp;":"&amp;MID(D2016,5,2)&amp;":"&amp;MID(D2016,7,2)&amp;":"&amp;MID(D2016,9,2)&amp;":"&amp;RIGHT(D2016,2)</f>
        <v/>
      </c>
      <c r="H2016" t="inlineStr">
        <is>
          <t>9A56ED630AACFD50</t>
        </is>
      </c>
      <c r="J2016" t="inlineStr">
        <is>
          <t>9A56ED630AACFD50</t>
        </is>
      </c>
    </row>
    <row r="2017">
      <c r="B2017">
        <f>IFERROR(INDEX(Companies!$A$3:$A$101,MATCH(A2017,Companies!$B$3:$B$101,0)),"")</f>
        <v/>
      </c>
      <c r="D2017" t="inlineStr">
        <is>
          <t>C3C12ADD87F6</t>
        </is>
      </c>
      <c r="E2017" s="24">
        <f>LEFT(D2017,2)&amp;":"&amp;MID(D2017,3,2)&amp;":"&amp;MID(D2017,5,2)&amp;":"&amp;MID(D2017,7,2)&amp;":"&amp;MID(D2017,9,2)&amp;":"&amp;RIGHT(D2017,2)</f>
        <v/>
      </c>
      <c r="H2017" t="inlineStr">
        <is>
          <t>A6484C1416CAB670</t>
        </is>
      </c>
      <c r="J2017" t="inlineStr">
        <is>
          <t>A6484C1416CAB670</t>
        </is>
      </c>
    </row>
    <row r="2018">
      <c r="B2018">
        <f>IFERROR(INDEX(Companies!$A$3:$A$101,MATCH(A2018,Companies!$B$3:$B$101,0)),"")</f>
        <v/>
      </c>
      <c r="D2018" t="inlineStr">
        <is>
          <t>CE28215CA1DE</t>
        </is>
      </c>
      <c r="E2018" s="24">
        <f>LEFT(D2018,2)&amp;":"&amp;MID(D2018,3,2)&amp;":"&amp;MID(D2018,5,2)&amp;":"&amp;MID(D2018,7,2)&amp;":"&amp;MID(D2018,9,2)&amp;":"&amp;RIGHT(D2018,2)</f>
        <v/>
      </c>
      <c r="H2018" t="inlineStr">
        <is>
          <t>360930C0127DD2F5</t>
        </is>
      </c>
      <c r="J2018" t="inlineStr">
        <is>
          <t>360930C0127DD2F5</t>
        </is>
      </c>
    </row>
    <row r="2019">
      <c r="B2019">
        <f>IFERROR(INDEX(Companies!$A$3:$A$101,MATCH(A2019,Companies!$B$3:$B$101,0)),"")</f>
        <v/>
      </c>
      <c r="D2019" t="inlineStr">
        <is>
          <t>DD2B10F8EFFA</t>
        </is>
      </c>
      <c r="E2019" s="24">
        <f>LEFT(D2019,2)&amp;":"&amp;MID(D2019,3,2)&amp;":"&amp;MID(D2019,5,2)&amp;":"&amp;MID(D2019,7,2)&amp;":"&amp;MID(D2019,9,2)&amp;":"&amp;RIGHT(D2019,2)</f>
        <v/>
      </c>
      <c r="H2019" t="inlineStr">
        <is>
          <t>0619B86187CB3B42</t>
        </is>
      </c>
      <c r="J2019" t="inlineStr">
        <is>
          <t>0619B86187CB3B42</t>
        </is>
      </c>
    </row>
    <row r="2020">
      <c r="B2020">
        <f>IFERROR(INDEX(Companies!$A$3:$A$101,MATCH(A2020,Companies!$B$3:$B$101,0)),"")</f>
        <v/>
      </c>
      <c r="D2020" t="inlineStr">
        <is>
          <t>CD61FE8A1301</t>
        </is>
      </c>
      <c r="E2020" s="24">
        <f>LEFT(D2020,2)&amp;":"&amp;MID(D2020,3,2)&amp;":"&amp;MID(D2020,5,2)&amp;":"&amp;MID(D2020,7,2)&amp;":"&amp;MID(D2020,9,2)&amp;":"&amp;RIGHT(D2020,2)</f>
        <v/>
      </c>
      <c r="H2020" t="inlineStr">
        <is>
          <t>27A0F59E7FAB4C3A</t>
        </is>
      </c>
      <c r="J2020" t="inlineStr">
        <is>
          <t>27A0F59E7FAB4C3A</t>
        </is>
      </c>
    </row>
    <row r="2021">
      <c r="B2021">
        <f>IFERROR(INDEX(Companies!$A$3:$A$101,MATCH(A2021,Companies!$B$3:$B$101,0)),"")</f>
        <v/>
      </c>
      <c r="D2021" t="inlineStr">
        <is>
          <t>D656A13E251B</t>
        </is>
      </c>
      <c r="E2021" s="24">
        <f>LEFT(D2021,2)&amp;":"&amp;MID(D2021,3,2)&amp;":"&amp;MID(D2021,5,2)&amp;":"&amp;MID(D2021,7,2)&amp;":"&amp;MID(D2021,9,2)&amp;":"&amp;RIGHT(D2021,2)</f>
        <v/>
      </c>
      <c r="H2021" t="inlineStr">
        <is>
          <t>EB7BF429F5C0EA66</t>
        </is>
      </c>
      <c r="J2021" t="inlineStr">
        <is>
          <t>EB7BF429F5C0EA66</t>
        </is>
      </c>
    </row>
    <row r="2022">
      <c r="B2022">
        <f>IFERROR(INDEX(Companies!$A$3:$A$101,MATCH(A2022,Companies!$B$3:$B$101,0)),"")</f>
        <v/>
      </c>
      <c r="D2022" t="inlineStr">
        <is>
          <t>D5EBC4BCB4F5</t>
        </is>
      </c>
      <c r="E2022" s="24">
        <f>LEFT(D2022,2)&amp;":"&amp;MID(D2022,3,2)&amp;":"&amp;MID(D2022,5,2)&amp;":"&amp;MID(D2022,7,2)&amp;":"&amp;MID(D2022,9,2)&amp;":"&amp;RIGHT(D2022,2)</f>
        <v/>
      </c>
      <c r="H2022" t="inlineStr">
        <is>
          <t>41D87968101FAEDD</t>
        </is>
      </c>
      <c r="J2022" t="inlineStr">
        <is>
          <t>41D87968101FAEDD</t>
        </is>
      </c>
    </row>
    <row r="2023">
      <c r="B2023">
        <f>IFERROR(INDEX(Companies!$A$3:$A$101,MATCH(A2023,Companies!$B$3:$B$101,0)),"")</f>
        <v/>
      </c>
      <c r="D2023" t="inlineStr">
        <is>
          <t>F304F52D1CE2</t>
        </is>
      </c>
      <c r="E2023" s="24">
        <f>LEFT(D2023,2)&amp;":"&amp;MID(D2023,3,2)&amp;":"&amp;MID(D2023,5,2)&amp;":"&amp;MID(D2023,7,2)&amp;":"&amp;MID(D2023,9,2)&amp;":"&amp;RIGHT(D2023,2)</f>
        <v/>
      </c>
      <c r="H2023" t="inlineStr">
        <is>
          <t>2576892302F7605F</t>
        </is>
      </c>
      <c r="J2023" t="inlineStr">
        <is>
          <t>2576892302F7605F</t>
        </is>
      </c>
    </row>
    <row r="2024">
      <c r="B2024">
        <f>IFERROR(INDEX(Companies!$A$3:$A$101,MATCH(A2024,Companies!$B$3:$B$101,0)),"")</f>
        <v/>
      </c>
      <c r="D2024" t="inlineStr">
        <is>
          <t>E2321A0FBBED</t>
        </is>
      </c>
      <c r="E2024" s="24">
        <f>LEFT(D2024,2)&amp;":"&amp;MID(D2024,3,2)&amp;":"&amp;MID(D2024,5,2)&amp;":"&amp;MID(D2024,7,2)&amp;":"&amp;MID(D2024,9,2)&amp;":"&amp;RIGHT(D2024,2)</f>
        <v/>
      </c>
      <c r="H2024" t="inlineStr">
        <is>
          <t>81020A284A2E52DB</t>
        </is>
      </c>
      <c r="J2024" t="inlineStr">
        <is>
          <t>81020A284A2E52DB</t>
        </is>
      </c>
    </row>
    <row r="2025">
      <c r="B2025">
        <f>IFERROR(INDEX(Companies!$A$3:$A$101,MATCH(A2025,Companies!$B$3:$B$101,0)),"")</f>
        <v/>
      </c>
      <c r="D2025" t="inlineStr">
        <is>
          <t>DE8876A7A77E</t>
        </is>
      </c>
      <c r="E2025" s="24">
        <f>LEFT(D2025,2)&amp;":"&amp;MID(D2025,3,2)&amp;":"&amp;MID(D2025,5,2)&amp;":"&amp;MID(D2025,7,2)&amp;":"&amp;MID(D2025,9,2)&amp;":"&amp;RIGHT(D2025,2)</f>
        <v/>
      </c>
      <c r="H2025" t="inlineStr">
        <is>
          <t>2F320B4446A21A1B</t>
        </is>
      </c>
      <c r="J2025" t="inlineStr">
        <is>
          <t>2F320B4446A21A1B</t>
        </is>
      </c>
    </row>
    <row r="2026">
      <c r="B2026">
        <f>IFERROR(INDEX(Companies!$A$3:$A$101,MATCH(A2026,Companies!$B$3:$B$101,0)),"")</f>
        <v/>
      </c>
      <c r="D2026" t="inlineStr">
        <is>
          <t>D50E2AF60C0C</t>
        </is>
      </c>
      <c r="E2026" s="24">
        <f>LEFT(D2026,2)&amp;":"&amp;MID(D2026,3,2)&amp;":"&amp;MID(D2026,5,2)&amp;":"&amp;MID(D2026,7,2)&amp;":"&amp;MID(D2026,9,2)&amp;":"&amp;RIGHT(D2026,2)</f>
        <v/>
      </c>
      <c r="H2026" t="inlineStr">
        <is>
          <t>8587A39B479B975A</t>
        </is>
      </c>
      <c r="J2026" t="inlineStr">
        <is>
          <t>8587A39B479B975A</t>
        </is>
      </c>
    </row>
    <row r="2027">
      <c r="B2027">
        <f>IFERROR(INDEX(Companies!$A$3:$A$101,MATCH(A2027,Companies!$B$3:$B$101,0)),"")</f>
        <v/>
      </c>
      <c r="D2027" t="inlineStr">
        <is>
          <t>F85D020585FD</t>
        </is>
      </c>
      <c r="E2027" s="24">
        <f>LEFT(D2027,2)&amp;":"&amp;MID(D2027,3,2)&amp;":"&amp;MID(D2027,5,2)&amp;":"&amp;MID(D2027,7,2)&amp;":"&amp;MID(D2027,9,2)&amp;":"&amp;RIGHT(D2027,2)</f>
        <v/>
      </c>
      <c r="H2027" t="inlineStr">
        <is>
          <t>A541A450934CE10B</t>
        </is>
      </c>
      <c r="J2027" t="inlineStr">
        <is>
          <t>A541A450934CE10B</t>
        </is>
      </c>
    </row>
    <row r="2028">
      <c r="B2028">
        <f>IFERROR(INDEX(Companies!$A$3:$A$101,MATCH(A2028,Companies!$B$3:$B$101,0)),"")</f>
        <v/>
      </c>
      <c r="D2028" t="inlineStr">
        <is>
          <t>C7B9835E4999</t>
        </is>
      </c>
      <c r="E2028" s="24">
        <f>LEFT(D2028,2)&amp;":"&amp;MID(D2028,3,2)&amp;":"&amp;MID(D2028,5,2)&amp;":"&amp;MID(D2028,7,2)&amp;":"&amp;MID(D2028,9,2)&amp;":"&amp;RIGHT(D2028,2)</f>
        <v/>
      </c>
      <c r="H2028" t="inlineStr">
        <is>
          <t>35F76A45808CC2C1</t>
        </is>
      </c>
      <c r="J2028" t="inlineStr">
        <is>
          <t>35F76A45808CC2C1</t>
        </is>
      </c>
    </row>
    <row r="2029">
      <c r="B2029">
        <f>IFERROR(INDEX(Companies!$A$3:$A$101,MATCH(A2029,Companies!$B$3:$B$101,0)),"")</f>
        <v/>
      </c>
      <c r="D2029" t="inlineStr">
        <is>
          <t>D0CF03CC2EDA</t>
        </is>
      </c>
      <c r="E2029" s="24">
        <f>LEFT(D2029,2)&amp;":"&amp;MID(D2029,3,2)&amp;":"&amp;MID(D2029,5,2)&amp;":"&amp;MID(D2029,7,2)&amp;":"&amp;MID(D2029,9,2)&amp;":"&amp;RIGHT(D2029,2)</f>
        <v/>
      </c>
      <c r="H2029" t="inlineStr">
        <is>
          <t>B665F60593FCDA88</t>
        </is>
      </c>
    </row>
    <row r="2030">
      <c r="B2030">
        <f>IFERROR(INDEX(Companies!$A$3:$A$101,MATCH(A2030,Companies!$B$3:$B$101,0)),"")</f>
        <v/>
      </c>
      <c r="D2030" t="inlineStr">
        <is>
          <t>E87189CDE5C7</t>
        </is>
      </c>
      <c r="E2030" s="24">
        <f>LEFT(D2030,2)&amp;":"&amp;MID(D2030,3,2)&amp;":"&amp;MID(D2030,5,2)&amp;":"&amp;MID(D2030,7,2)&amp;":"&amp;MID(D2030,9,2)&amp;":"&amp;RIGHT(D2030,2)</f>
        <v/>
      </c>
      <c r="H2030" t="inlineStr">
        <is>
          <t>17103F4FAE02BEC8</t>
        </is>
      </c>
      <c r="J2030" t="inlineStr">
        <is>
          <t>17103F4FAE02BEC8</t>
        </is>
      </c>
    </row>
    <row r="2031">
      <c r="B2031">
        <f>IFERROR(INDEX(Companies!$A$3:$A$101,MATCH(A2031,Companies!$B$3:$B$101,0)),"")</f>
        <v/>
      </c>
      <c r="D2031" t="inlineStr">
        <is>
          <t>D1AD11BA2B44</t>
        </is>
      </c>
      <c r="E2031" s="24">
        <f>LEFT(D2031,2)&amp;":"&amp;MID(D2031,3,2)&amp;":"&amp;MID(D2031,5,2)&amp;":"&amp;MID(D2031,7,2)&amp;":"&amp;MID(D2031,9,2)&amp;":"&amp;RIGHT(D2031,2)</f>
        <v/>
      </c>
      <c r="H2031" t="inlineStr">
        <is>
          <t>8BE7FB59331FDEFB</t>
        </is>
      </c>
      <c r="J2031" t="inlineStr">
        <is>
          <t>8BE7FB59331FDEFB</t>
        </is>
      </c>
    </row>
    <row r="2032">
      <c r="B2032">
        <f>IFERROR(INDEX(Companies!$A$3:$A$101,MATCH(A2032,Companies!$B$3:$B$101,0)),"")</f>
        <v/>
      </c>
      <c r="D2032" t="inlineStr">
        <is>
          <t>F90AB5AF3C4E</t>
        </is>
      </c>
      <c r="E2032" s="24">
        <f>LEFT(D2032,2)&amp;":"&amp;MID(D2032,3,2)&amp;":"&amp;MID(D2032,5,2)&amp;":"&amp;MID(D2032,7,2)&amp;":"&amp;MID(D2032,9,2)&amp;":"&amp;RIGHT(D2032,2)</f>
        <v/>
      </c>
      <c r="H2032" t="inlineStr">
        <is>
          <t>191B4EBB26A0606C</t>
        </is>
      </c>
      <c r="J2032" t="inlineStr">
        <is>
          <t>191B4EBB26A0606C</t>
        </is>
      </c>
    </row>
    <row r="2033">
      <c r="B2033">
        <f>IFERROR(INDEX(Companies!$A$3:$A$101,MATCH(A2033,Companies!$B$3:$B$101,0)),"")</f>
        <v/>
      </c>
      <c r="D2033" t="inlineStr">
        <is>
          <t>CC5BE987C411</t>
        </is>
      </c>
      <c r="E2033" s="24">
        <f>LEFT(D2033,2)&amp;":"&amp;MID(D2033,3,2)&amp;":"&amp;MID(D2033,5,2)&amp;":"&amp;MID(D2033,7,2)&amp;":"&amp;MID(D2033,9,2)&amp;":"&amp;RIGHT(D2033,2)</f>
        <v/>
      </c>
      <c r="H2033" t="inlineStr">
        <is>
          <t>C40A542CDFD3361B</t>
        </is>
      </c>
      <c r="J2033" t="inlineStr">
        <is>
          <t>C40A542CDFD3361B</t>
        </is>
      </c>
    </row>
    <row r="2034">
      <c r="B2034">
        <f>IFERROR(INDEX(Companies!$A$3:$A$101,MATCH(A2034,Companies!$B$3:$B$101,0)),"")</f>
        <v/>
      </c>
      <c r="D2034" t="inlineStr">
        <is>
          <t>F49F76FB41EF</t>
        </is>
      </c>
      <c r="E2034" s="24">
        <f>LEFT(D2034,2)&amp;":"&amp;MID(D2034,3,2)&amp;":"&amp;MID(D2034,5,2)&amp;":"&amp;MID(D2034,7,2)&amp;":"&amp;MID(D2034,9,2)&amp;":"&amp;RIGHT(D2034,2)</f>
        <v/>
      </c>
      <c r="H2034" t="inlineStr">
        <is>
          <t>3C5FB6841752DC16</t>
        </is>
      </c>
      <c r="J2034" t="inlineStr">
        <is>
          <t>3C5FB6841752DC16</t>
        </is>
      </c>
    </row>
    <row r="2035">
      <c r="B2035">
        <f>IFERROR(INDEX(Companies!$A$3:$A$101,MATCH(A2035,Companies!$B$3:$B$101,0)),"")</f>
        <v/>
      </c>
      <c r="D2035" t="inlineStr">
        <is>
          <t>D85FA9408960</t>
        </is>
      </c>
      <c r="E2035" s="24">
        <f>LEFT(D2035,2)&amp;":"&amp;MID(D2035,3,2)&amp;":"&amp;MID(D2035,5,2)&amp;":"&amp;MID(D2035,7,2)&amp;":"&amp;MID(D2035,9,2)&amp;":"&amp;RIGHT(D2035,2)</f>
        <v/>
      </c>
      <c r="H2035" t="inlineStr">
        <is>
          <t>C6DA55A26E0C2DD8</t>
        </is>
      </c>
      <c r="J2035" t="inlineStr">
        <is>
          <t>C6DA55A26E0C2DD8</t>
        </is>
      </c>
    </row>
    <row r="2036">
      <c r="B2036">
        <f>IFERROR(INDEX(Companies!$A$3:$A$101,MATCH(A2036,Companies!$B$3:$B$101,0)),"")</f>
        <v/>
      </c>
      <c r="D2036" t="inlineStr">
        <is>
          <t>EDAF9E3625CA</t>
        </is>
      </c>
      <c r="E2036" s="24">
        <f>LEFT(D2036,2)&amp;":"&amp;MID(D2036,3,2)&amp;":"&amp;MID(D2036,5,2)&amp;":"&amp;MID(D2036,7,2)&amp;":"&amp;MID(D2036,9,2)&amp;":"&amp;RIGHT(D2036,2)</f>
        <v/>
      </c>
      <c r="H2036" t="inlineStr">
        <is>
          <t>DAB46FF77CC8B10E</t>
        </is>
      </c>
      <c r="J2036" t="inlineStr">
        <is>
          <t>DAB46FF77CC8B10E</t>
        </is>
      </c>
    </row>
    <row r="2037">
      <c r="B2037">
        <f>IFERROR(INDEX(Companies!$A$3:$A$101,MATCH(A2037,Companies!$B$3:$B$101,0)),"")</f>
        <v/>
      </c>
      <c r="D2037" t="inlineStr">
        <is>
          <t>EF2EC78B812D</t>
        </is>
      </c>
      <c r="E2037" s="24">
        <f>LEFT(D2037,2)&amp;":"&amp;MID(D2037,3,2)&amp;":"&amp;MID(D2037,5,2)&amp;":"&amp;MID(D2037,7,2)&amp;":"&amp;MID(D2037,9,2)&amp;":"&amp;RIGHT(D2037,2)</f>
        <v/>
      </c>
      <c r="H2037" t="inlineStr">
        <is>
          <t>BABB4ACDB979AE65</t>
        </is>
      </c>
      <c r="J2037" t="inlineStr">
        <is>
          <t>BABB4ACDB979AE65</t>
        </is>
      </c>
    </row>
    <row r="2038">
      <c r="B2038">
        <f>IFERROR(INDEX(Companies!$A$3:$A$101,MATCH(A2038,Companies!$B$3:$B$101,0)),"")</f>
        <v/>
      </c>
      <c r="D2038" t="inlineStr">
        <is>
          <t>D060CDDBD856</t>
        </is>
      </c>
      <c r="E2038" s="24">
        <f>LEFT(D2038,2)&amp;":"&amp;MID(D2038,3,2)&amp;":"&amp;MID(D2038,5,2)&amp;":"&amp;MID(D2038,7,2)&amp;":"&amp;MID(D2038,9,2)&amp;":"&amp;RIGHT(D2038,2)</f>
        <v/>
      </c>
      <c r="H2038" t="inlineStr">
        <is>
          <t>E9CA98C7E2A20933</t>
        </is>
      </c>
      <c r="J2038" t="inlineStr">
        <is>
          <t>E9CA98C7E2A20933</t>
        </is>
      </c>
    </row>
    <row r="2039">
      <c r="B2039">
        <f>IFERROR(INDEX(Companies!$A$3:$A$101,MATCH(A2039,Companies!$B$3:$B$101,0)),"")</f>
        <v/>
      </c>
      <c r="D2039" t="inlineStr">
        <is>
          <t>EEBC6AF4C675</t>
        </is>
      </c>
      <c r="E2039" s="24">
        <f>LEFT(D2039,2)&amp;":"&amp;MID(D2039,3,2)&amp;":"&amp;MID(D2039,5,2)&amp;":"&amp;MID(D2039,7,2)&amp;":"&amp;MID(D2039,9,2)&amp;":"&amp;RIGHT(D2039,2)</f>
        <v/>
      </c>
      <c r="H2039" t="inlineStr">
        <is>
          <t>A43D3AD8D77443B4</t>
        </is>
      </c>
      <c r="J2039" t="inlineStr">
        <is>
          <t>A43D3AD8D77443B4</t>
        </is>
      </c>
    </row>
    <row r="2040">
      <c r="B2040">
        <f>IFERROR(INDEX(Companies!$A$3:$A$101,MATCH(A2040,Companies!$B$3:$B$101,0)),"")</f>
        <v/>
      </c>
      <c r="D2040" t="inlineStr">
        <is>
          <t>F8C525A31C0F</t>
        </is>
      </c>
      <c r="E2040" s="24">
        <f>LEFT(D2040,2)&amp;":"&amp;MID(D2040,3,2)&amp;":"&amp;MID(D2040,5,2)&amp;":"&amp;MID(D2040,7,2)&amp;":"&amp;MID(D2040,9,2)&amp;":"&amp;RIGHT(D2040,2)</f>
        <v/>
      </c>
      <c r="H2040" t="inlineStr">
        <is>
          <t>A654BEAF9D67BF81</t>
        </is>
      </c>
      <c r="J2040" t="inlineStr">
        <is>
          <t>A654BEAF9D67BF81</t>
        </is>
      </c>
    </row>
    <row r="2041">
      <c r="B2041">
        <f>IFERROR(INDEX(Companies!$A$3:$A$101,MATCH(A2041,Companies!$B$3:$B$101,0)),"")</f>
        <v/>
      </c>
      <c r="D2041" t="inlineStr">
        <is>
          <t>D97BA05421E2</t>
        </is>
      </c>
      <c r="E2041" s="24">
        <f>LEFT(D2041,2)&amp;":"&amp;MID(D2041,3,2)&amp;":"&amp;MID(D2041,5,2)&amp;":"&amp;MID(D2041,7,2)&amp;":"&amp;MID(D2041,9,2)&amp;":"&amp;RIGHT(D2041,2)</f>
        <v/>
      </c>
      <c r="H2041" t="inlineStr">
        <is>
          <t>50398E6D6AB2A8C1</t>
        </is>
      </c>
      <c r="J2041" t="inlineStr">
        <is>
          <t>50398E6D6AB2A8C1</t>
        </is>
      </c>
    </row>
    <row r="2042">
      <c r="B2042">
        <f>IFERROR(INDEX(Companies!$A$3:$A$101,MATCH(A2042,Companies!$B$3:$B$101,0)),"")</f>
        <v/>
      </c>
      <c r="D2042" t="inlineStr">
        <is>
          <t>EF282E5C09E8</t>
        </is>
      </c>
      <c r="E2042" s="24">
        <f>LEFT(D2042,2)&amp;":"&amp;MID(D2042,3,2)&amp;":"&amp;MID(D2042,5,2)&amp;":"&amp;MID(D2042,7,2)&amp;":"&amp;MID(D2042,9,2)&amp;":"&amp;RIGHT(D2042,2)</f>
        <v/>
      </c>
      <c r="H2042" t="inlineStr">
        <is>
          <t>71AA14C3D3C4395B</t>
        </is>
      </c>
      <c r="J2042" t="inlineStr">
        <is>
          <t>71AA14C3D3C4395B</t>
        </is>
      </c>
    </row>
    <row r="2043">
      <c r="B2043">
        <f>IFERROR(INDEX(Companies!$A$3:$A$101,MATCH(A2043,Companies!$B$3:$B$101,0)),"")</f>
        <v/>
      </c>
      <c r="D2043" t="inlineStr">
        <is>
          <t>F52B39FD2302</t>
        </is>
      </c>
      <c r="E2043" s="24">
        <f>LEFT(D2043,2)&amp;":"&amp;MID(D2043,3,2)&amp;":"&amp;MID(D2043,5,2)&amp;":"&amp;MID(D2043,7,2)&amp;":"&amp;MID(D2043,9,2)&amp;":"&amp;RIGHT(D2043,2)</f>
        <v/>
      </c>
      <c r="H2043" t="inlineStr">
        <is>
          <t>E36C6790E64FAC9A</t>
        </is>
      </c>
      <c r="J2043" t="inlineStr">
        <is>
          <t>E36C6790E64FAC9A</t>
        </is>
      </c>
    </row>
    <row r="2044">
      <c r="B2044">
        <f>IFERROR(INDEX(Companies!$A$3:$A$101,MATCH(A2044,Companies!$B$3:$B$101,0)),"")</f>
        <v/>
      </c>
      <c r="D2044" t="inlineStr">
        <is>
          <t>E8585F12B00B</t>
        </is>
      </c>
      <c r="E2044" s="24">
        <f>LEFT(D2044,2)&amp;":"&amp;MID(D2044,3,2)&amp;":"&amp;MID(D2044,5,2)&amp;":"&amp;MID(D2044,7,2)&amp;":"&amp;MID(D2044,9,2)&amp;":"&amp;RIGHT(D2044,2)</f>
        <v/>
      </c>
      <c r="H2044" t="inlineStr">
        <is>
          <t>4CB8B04BBDE06E69</t>
        </is>
      </c>
      <c r="J2044" t="inlineStr">
        <is>
          <t>4CB8B04BBDE06E69</t>
        </is>
      </c>
    </row>
    <row r="2045">
      <c r="B2045">
        <f>IFERROR(INDEX(Companies!$A$3:$A$101,MATCH(A2045,Companies!$B$3:$B$101,0)),"")</f>
        <v/>
      </c>
      <c r="D2045" t="inlineStr">
        <is>
          <t>FEEAC6C0BE41</t>
        </is>
      </c>
      <c r="E2045" s="24">
        <f>LEFT(D2045,2)&amp;":"&amp;MID(D2045,3,2)&amp;":"&amp;MID(D2045,5,2)&amp;":"&amp;MID(D2045,7,2)&amp;":"&amp;MID(D2045,9,2)&amp;":"&amp;RIGHT(D2045,2)</f>
        <v/>
      </c>
      <c r="H2045" t="inlineStr">
        <is>
          <t>4B78ED4583A5E767</t>
        </is>
      </c>
      <c r="J2045" t="inlineStr">
        <is>
          <t>4B78ED4583A5E767</t>
        </is>
      </c>
    </row>
    <row r="2046">
      <c r="B2046">
        <f>IFERROR(INDEX(Companies!$A$3:$A$101,MATCH(A2046,Companies!$B$3:$B$101,0)),"")</f>
        <v/>
      </c>
      <c r="D2046" t="inlineStr">
        <is>
          <t>FFD532D96109</t>
        </is>
      </c>
      <c r="E2046" s="24">
        <f>LEFT(D2046,2)&amp;":"&amp;MID(D2046,3,2)&amp;":"&amp;MID(D2046,5,2)&amp;":"&amp;MID(D2046,7,2)&amp;":"&amp;MID(D2046,9,2)&amp;":"&amp;RIGHT(D2046,2)</f>
        <v/>
      </c>
      <c r="H2046" t="inlineStr">
        <is>
          <t>5997ABE264B44877</t>
        </is>
      </c>
      <c r="J2046" t="inlineStr">
        <is>
          <t>5997ABE264B44877</t>
        </is>
      </c>
    </row>
    <row r="2047">
      <c r="B2047">
        <f>IFERROR(INDEX(Companies!$A$3:$A$101,MATCH(A2047,Companies!$B$3:$B$101,0)),"")</f>
        <v/>
      </c>
      <c r="D2047" t="inlineStr">
        <is>
          <t>EA21EAC218EF</t>
        </is>
      </c>
      <c r="E2047" s="24">
        <f>LEFT(D2047,2)&amp;":"&amp;MID(D2047,3,2)&amp;":"&amp;MID(D2047,5,2)&amp;":"&amp;MID(D2047,7,2)&amp;":"&amp;MID(D2047,9,2)&amp;":"&amp;RIGHT(D2047,2)</f>
        <v/>
      </c>
      <c r="H2047" t="inlineStr">
        <is>
          <t>1A90DE4639E80355</t>
        </is>
      </c>
      <c r="J2047" t="inlineStr">
        <is>
          <t>1A90DE4639E80355</t>
        </is>
      </c>
    </row>
    <row r="2048">
      <c r="B2048">
        <f>IFERROR(INDEX(Companies!$A$3:$A$101,MATCH(A2048,Companies!$B$3:$B$101,0)),"")</f>
        <v/>
      </c>
      <c r="D2048" t="inlineStr">
        <is>
          <t>C7FE61043E0D</t>
        </is>
      </c>
      <c r="E2048" s="24">
        <f>LEFT(D2048,2)&amp;":"&amp;MID(D2048,3,2)&amp;":"&amp;MID(D2048,5,2)&amp;":"&amp;MID(D2048,7,2)&amp;":"&amp;MID(D2048,9,2)&amp;":"&amp;RIGHT(D2048,2)</f>
        <v/>
      </c>
      <c r="H2048" t="inlineStr">
        <is>
          <t>915C7C251DEA9755</t>
        </is>
      </c>
    </row>
    <row r="2049">
      <c r="B2049">
        <f>IFERROR(INDEX(Companies!$A$3:$A$101,MATCH(A2049,Companies!$B$3:$B$101,0)),"")</f>
        <v/>
      </c>
      <c r="D2049" t="inlineStr">
        <is>
          <t>DAE6699AB2E0</t>
        </is>
      </c>
      <c r="E2049" s="24">
        <f>LEFT(D2049,2)&amp;":"&amp;MID(D2049,3,2)&amp;":"&amp;MID(D2049,5,2)&amp;":"&amp;MID(D2049,7,2)&amp;":"&amp;MID(D2049,9,2)&amp;":"&amp;RIGHT(D2049,2)</f>
        <v/>
      </c>
      <c r="H2049" t="inlineStr">
        <is>
          <t>C445DA17BA74D5F1</t>
        </is>
      </c>
      <c r="J2049" t="inlineStr">
        <is>
          <t>C445DA17BA74D5F1</t>
        </is>
      </c>
    </row>
    <row r="2050">
      <c r="B2050">
        <f>IFERROR(INDEX(Companies!$A$3:$A$101,MATCH(A2050,Companies!$B$3:$B$101,0)),"")</f>
        <v/>
      </c>
      <c r="D2050" t="inlineStr">
        <is>
          <t>E135C377B0C6</t>
        </is>
      </c>
      <c r="E2050" s="24">
        <f>LEFT(D2050,2)&amp;":"&amp;MID(D2050,3,2)&amp;":"&amp;MID(D2050,5,2)&amp;":"&amp;MID(D2050,7,2)&amp;":"&amp;MID(D2050,9,2)&amp;":"&amp;RIGHT(D2050,2)</f>
        <v/>
      </c>
      <c r="H2050" t="inlineStr">
        <is>
          <t>1F9689E9B9547D21</t>
        </is>
      </c>
      <c r="J2050" t="inlineStr">
        <is>
          <t>1F9689E9B9547D21</t>
        </is>
      </c>
    </row>
    <row r="2051">
      <c r="B2051">
        <f>IFERROR(INDEX(Companies!$A$3:$A$101,MATCH(A2051,Companies!$B$3:$B$101,0)),"")</f>
        <v/>
      </c>
      <c r="D2051" t="inlineStr">
        <is>
          <t>E435C6530848</t>
        </is>
      </c>
      <c r="E2051" s="24">
        <f>LEFT(D2051,2)&amp;":"&amp;MID(D2051,3,2)&amp;":"&amp;MID(D2051,5,2)&amp;":"&amp;MID(D2051,7,2)&amp;":"&amp;MID(D2051,9,2)&amp;":"&amp;RIGHT(D2051,2)</f>
        <v/>
      </c>
      <c r="H2051" t="inlineStr">
        <is>
          <t>44CAD0487B5381CF</t>
        </is>
      </c>
      <c r="J2051" t="inlineStr">
        <is>
          <t>44CAD0487B5381CF</t>
        </is>
      </c>
    </row>
    <row r="2052">
      <c r="B2052">
        <f>IFERROR(INDEX(Companies!$A$3:$A$101,MATCH(A2052,Companies!$B$3:$B$101,0)),"")</f>
        <v/>
      </c>
      <c r="D2052" t="inlineStr">
        <is>
          <t>DE2BEC5A4C9C</t>
        </is>
      </c>
      <c r="E2052" s="24">
        <f>LEFT(D2052,2)&amp;":"&amp;MID(D2052,3,2)&amp;":"&amp;MID(D2052,5,2)&amp;":"&amp;MID(D2052,7,2)&amp;":"&amp;MID(D2052,9,2)&amp;":"&amp;RIGHT(D2052,2)</f>
        <v/>
      </c>
      <c r="H2052" t="inlineStr">
        <is>
          <t>24B42382A1CE5819</t>
        </is>
      </c>
      <c r="J2052" t="inlineStr">
        <is>
          <t>24B42382A1CE5819</t>
        </is>
      </c>
    </row>
    <row r="2053">
      <c r="B2053">
        <f>IFERROR(INDEX(Companies!$A$3:$A$101,MATCH(A2053,Companies!$B$3:$B$101,0)),"")</f>
        <v/>
      </c>
      <c r="D2053" t="inlineStr">
        <is>
          <t>E6A181837E35</t>
        </is>
      </c>
      <c r="E2053" s="24">
        <f>LEFT(D2053,2)&amp;":"&amp;MID(D2053,3,2)&amp;":"&amp;MID(D2053,5,2)&amp;":"&amp;MID(D2053,7,2)&amp;":"&amp;MID(D2053,9,2)&amp;":"&amp;RIGHT(D2053,2)</f>
        <v/>
      </c>
      <c r="H2053" t="inlineStr">
        <is>
          <t>3D846B9B1389027E</t>
        </is>
      </c>
      <c r="J2053" t="inlineStr">
        <is>
          <t>3D846B9B1389027E</t>
        </is>
      </c>
    </row>
    <row r="2054">
      <c r="B2054">
        <f>IFERROR(INDEX(Companies!$A$3:$A$101,MATCH(A2054,Companies!$B$3:$B$101,0)),"")</f>
        <v/>
      </c>
      <c r="D2054" t="inlineStr">
        <is>
          <t>F0D31BD72D3B</t>
        </is>
      </c>
      <c r="E2054" s="24">
        <f>LEFT(D2054,2)&amp;":"&amp;MID(D2054,3,2)&amp;":"&amp;MID(D2054,5,2)&amp;":"&amp;MID(D2054,7,2)&amp;":"&amp;MID(D2054,9,2)&amp;":"&amp;RIGHT(D2054,2)</f>
        <v/>
      </c>
      <c r="H2054" t="inlineStr">
        <is>
          <t>C39CE9DE9FDE17D4</t>
        </is>
      </c>
      <c r="J2054" t="inlineStr">
        <is>
          <t>C39CE9DE9FDE17D4</t>
        </is>
      </c>
    </row>
    <row r="2055">
      <c r="B2055">
        <f>IFERROR(INDEX(Companies!$A$3:$A$101,MATCH(A2055,Companies!$B$3:$B$101,0)),"")</f>
        <v/>
      </c>
      <c r="D2055" t="inlineStr">
        <is>
          <t>E832E88C33BD</t>
        </is>
      </c>
      <c r="E2055" s="24">
        <f>LEFT(D2055,2)&amp;":"&amp;MID(D2055,3,2)&amp;":"&amp;MID(D2055,5,2)&amp;":"&amp;MID(D2055,7,2)&amp;":"&amp;MID(D2055,9,2)&amp;":"&amp;RIGHT(D2055,2)</f>
        <v/>
      </c>
      <c r="H2055" t="inlineStr">
        <is>
          <t>288A2D067F62DDC2</t>
        </is>
      </c>
      <c r="J2055" t="inlineStr">
        <is>
          <t>288A2D067F62DDC2</t>
        </is>
      </c>
    </row>
    <row r="2056">
      <c r="B2056">
        <f>IFERROR(INDEX(Companies!$A$3:$A$101,MATCH(A2056,Companies!$B$3:$B$101,0)),"")</f>
        <v/>
      </c>
      <c r="D2056" t="inlineStr">
        <is>
          <t>E518B1E94B4F</t>
        </is>
      </c>
      <c r="E2056" s="24">
        <f>LEFT(D2056,2)&amp;":"&amp;MID(D2056,3,2)&amp;":"&amp;MID(D2056,5,2)&amp;":"&amp;MID(D2056,7,2)&amp;":"&amp;MID(D2056,9,2)&amp;":"&amp;RIGHT(D2056,2)</f>
        <v/>
      </c>
      <c r="H2056" t="inlineStr">
        <is>
          <t>EA099688212DE5EA</t>
        </is>
      </c>
      <c r="J2056" t="inlineStr">
        <is>
          <t>EA099688212DE5EA</t>
        </is>
      </c>
    </row>
    <row r="2057">
      <c r="B2057">
        <f>IFERROR(INDEX(Companies!$A$3:$A$101,MATCH(A2057,Companies!$B$3:$B$101,0)),"")</f>
        <v/>
      </c>
      <c r="D2057" t="inlineStr">
        <is>
          <t>EE6BA72D92A9</t>
        </is>
      </c>
      <c r="E2057" s="24">
        <f>LEFT(D2057,2)&amp;":"&amp;MID(D2057,3,2)&amp;":"&amp;MID(D2057,5,2)&amp;":"&amp;MID(D2057,7,2)&amp;":"&amp;MID(D2057,9,2)&amp;":"&amp;RIGHT(D2057,2)</f>
        <v/>
      </c>
      <c r="H2057" t="inlineStr">
        <is>
          <t>825B5F9CAA8B6176</t>
        </is>
      </c>
      <c r="J2057" t="inlineStr">
        <is>
          <t>825B5F9CAA8B6176</t>
        </is>
      </c>
    </row>
    <row r="2058">
      <c r="B2058">
        <f>IFERROR(INDEX(Companies!$A$3:$A$101,MATCH(A2058,Companies!$B$3:$B$101,0)),"")</f>
        <v/>
      </c>
      <c r="D2058" t="inlineStr">
        <is>
          <t>C56013701577</t>
        </is>
      </c>
      <c r="E2058" s="24">
        <f>LEFT(D2058,2)&amp;":"&amp;MID(D2058,3,2)&amp;":"&amp;MID(D2058,5,2)&amp;":"&amp;MID(D2058,7,2)&amp;":"&amp;MID(D2058,9,2)&amp;":"&amp;RIGHT(D2058,2)</f>
        <v/>
      </c>
      <c r="H2058" t="inlineStr">
        <is>
          <t>547282692D8D5BD1</t>
        </is>
      </c>
      <c r="J2058" t="inlineStr">
        <is>
          <t>547282692D8D5BD1</t>
        </is>
      </c>
    </row>
    <row r="2059">
      <c r="B2059">
        <f>IFERROR(INDEX(Companies!$A$3:$A$101,MATCH(A2059,Companies!$B$3:$B$101,0)),"")</f>
        <v/>
      </c>
      <c r="D2059" t="inlineStr">
        <is>
          <t>E9A77878320F</t>
        </is>
      </c>
      <c r="E2059" s="24">
        <f>LEFT(D2059,2)&amp;":"&amp;MID(D2059,3,2)&amp;":"&amp;MID(D2059,5,2)&amp;":"&amp;MID(D2059,7,2)&amp;":"&amp;MID(D2059,9,2)&amp;":"&amp;RIGHT(D2059,2)</f>
        <v/>
      </c>
      <c r="H2059" t="inlineStr">
        <is>
          <t>C922D3FE74A4F146</t>
        </is>
      </c>
      <c r="J2059" t="inlineStr">
        <is>
          <t>C922D3FE74A4F146</t>
        </is>
      </c>
    </row>
    <row r="2060">
      <c r="B2060">
        <f>IFERROR(INDEX(Companies!$A$3:$A$101,MATCH(A2060,Companies!$B$3:$B$101,0)),"")</f>
        <v/>
      </c>
      <c r="D2060" t="inlineStr">
        <is>
          <t>DE5C954D874A</t>
        </is>
      </c>
      <c r="E2060" s="24">
        <f>LEFT(D2060,2)&amp;":"&amp;MID(D2060,3,2)&amp;":"&amp;MID(D2060,5,2)&amp;":"&amp;MID(D2060,7,2)&amp;":"&amp;MID(D2060,9,2)&amp;":"&amp;RIGHT(D2060,2)</f>
        <v/>
      </c>
      <c r="H2060" t="inlineStr">
        <is>
          <t>9546FD699242AF35</t>
        </is>
      </c>
      <c r="J2060" t="inlineStr">
        <is>
          <t>9546FD699242AF35</t>
        </is>
      </c>
    </row>
    <row r="2061">
      <c r="B2061">
        <f>IFERROR(INDEX(Companies!$A$3:$A$101,MATCH(A2061,Companies!$B$3:$B$101,0)),"")</f>
        <v/>
      </c>
      <c r="D2061" t="inlineStr">
        <is>
          <t>C08728279384</t>
        </is>
      </c>
      <c r="E2061" s="24">
        <f>LEFT(D2061,2)&amp;":"&amp;MID(D2061,3,2)&amp;":"&amp;MID(D2061,5,2)&amp;":"&amp;MID(D2061,7,2)&amp;":"&amp;MID(D2061,9,2)&amp;":"&amp;RIGHT(D2061,2)</f>
        <v/>
      </c>
      <c r="H2061" t="inlineStr">
        <is>
          <t>BBC146C4FA3193A7</t>
        </is>
      </c>
      <c r="J2061" t="inlineStr">
        <is>
          <t>BBC146C4FA3193A7</t>
        </is>
      </c>
    </row>
    <row r="2062">
      <c r="B2062">
        <f>IFERROR(INDEX(Companies!$A$3:$A$101,MATCH(A2062,Companies!$B$3:$B$101,0)),"")</f>
        <v/>
      </c>
      <c r="D2062" t="inlineStr">
        <is>
          <t>CBCC48EC4A89</t>
        </is>
      </c>
      <c r="E2062" s="24">
        <f>LEFT(D2062,2)&amp;":"&amp;MID(D2062,3,2)&amp;":"&amp;MID(D2062,5,2)&amp;":"&amp;MID(D2062,7,2)&amp;":"&amp;MID(D2062,9,2)&amp;":"&amp;RIGHT(D2062,2)</f>
        <v/>
      </c>
      <c r="H2062" t="inlineStr">
        <is>
          <t>31A0A44AF9F8CBB5</t>
        </is>
      </c>
      <c r="J2062" t="inlineStr">
        <is>
          <t>31A0A44AF9F8CBB5</t>
        </is>
      </c>
    </row>
    <row r="2063">
      <c r="B2063">
        <f>IFERROR(INDEX(Companies!$A$3:$A$101,MATCH(A2063,Companies!$B$3:$B$101,0)),"")</f>
        <v/>
      </c>
      <c r="D2063" t="inlineStr">
        <is>
          <t>C850CE3CB4AC</t>
        </is>
      </c>
      <c r="E2063" s="24">
        <f>LEFT(D2063,2)&amp;":"&amp;MID(D2063,3,2)&amp;":"&amp;MID(D2063,5,2)&amp;":"&amp;MID(D2063,7,2)&amp;":"&amp;MID(D2063,9,2)&amp;":"&amp;RIGHT(D2063,2)</f>
        <v/>
      </c>
      <c r="H2063" t="inlineStr">
        <is>
          <t>382B857BE0C8E685</t>
        </is>
      </c>
      <c r="J2063" t="inlineStr">
        <is>
          <t>382B857BE0C8E685</t>
        </is>
      </c>
    </row>
    <row r="2064">
      <c r="B2064">
        <f>IFERROR(INDEX(Companies!$A$3:$A$101,MATCH(A2064,Companies!$B$3:$B$101,0)),"")</f>
        <v/>
      </c>
      <c r="D2064" t="inlineStr">
        <is>
          <t>DCEA3677ECF3</t>
        </is>
      </c>
      <c r="E2064" s="24">
        <f>LEFT(D2064,2)&amp;":"&amp;MID(D2064,3,2)&amp;":"&amp;MID(D2064,5,2)&amp;":"&amp;MID(D2064,7,2)&amp;":"&amp;MID(D2064,9,2)&amp;":"&amp;RIGHT(D2064,2)</f>
        <v/>
      </c>
      <c r="H2064" t="inlineStr">
        <is>
          <t>CE6BC37A3F9E075B</t>
        </is>
      </c>
      <c r="J2064" t="inlineStr">
        <is>
          <t>CE6BC37A3F9E075B</t>
        </is>
      </c>
    </row>
    <row r="2065">
      <c r="B2065">
        <f>IFERROR(INDEX(Companies!$A$3:$A$101,MATCH(A2065,Companies!$B$3:$B$101,0)),"")</f>
        <v/>
      </c>
      <c r="D2065" t="inlineStr">
        <is>
          <t>CF48EA3737BD</t>
        </is>
      </c>
      <c r="E2065" s="24">
        <f>LEFT(D2065,2)&amp;":"&amp;MID(D2065,3,2)&amp;":"&amp;MID(D2065,5,2)&amp;":"&amp;MID(D2065,7,2)&amp;":"&amp;MID(D2065,9,2)&amp;":"&amp;RIGHT(D2065,2)</f>
        <v/>
      </c>
      <c r="H2065" t="inlineStr">
        <is>
          <t>6F5AFB7D527DEE8E</t>
        </is>
      </c>
      <c r="J2065" t="inlineStr">
        <is>
          <t>6F5AFB7D527DEE8E</t>
        </is>
      </c>
    </row>
    <row r="2066">
      <c r="B2066">
        <f>IFERROR(INDEX(Companies!$A$3:$A$101,MATCH(A2066,Companies!$B$3:$B$101,0)),"")</f>
        <v/>
      </c>
      <c r="D2066" t="inlineStr">
        <is>
          <t>CF0876A8F71A</t>
        </is>
      </c>
      <c r="E2066" s="24">
        <f>LEFT(D2066,2)&amp;":"&amp;MID(D2066,3,2)&amp;":"&amp;MID(D2066,5,2)&amp;":"&amp;MID(D2066,7,2)&amp;":"&amp;MID(D2066,9,2)&amp;":"&amp;RIGHT(D2066,2)</f>
        <v/>
      </c>
      <c r="H2066" t="inlineStr">
        <is>
          <t>B8813B5F63CAECD8</t>
        </is>
      </c>
      <c r="J2066" t="inlineStr">
        <is>
          <t>B8813B5F63CAECD8</t>
        </is>
      </c>
    </row>
    <row r="2067">
      <c r="B2067">
        <f>IFERROR(INDEX(Companies!$A$3:$A$101,MATCH(A2067,Companies!$B$3:$B$101,0)),"")</f>
        <v/>
      </c>
      <c r="D2067" t="inlineStr">
        <is>
          <t>EBFA73F3848C</t>
        </is>
      </c>
      <c r="E2067" s="24">
        <f>LEFT(D2067,2)&amp;":"&amp;MID(D2067,3,2)&amp;":"&amp;MID(D2067,5,2)&amp;":"&amp;MID(D2067,7,2)&amp;":"&amp;MID(D2067,9,2)&amp;":"&amp;RIGHT(D2067,2)</f>
        <v/>
      </c>
      <c r="H2067" t="inlineStr">
        <is>
          <t>7827EB4809DA1A72</t>
        </is>
      </c>
      <c r="J2067" t="inlineStr">
        <is>
          <t>7827EB4809DA1A72</t>
        </is>
      </c>
    </row>
    <row r="2068">
      <c r="B2068">
        <f>IFERROR(INDEX(Companies!$A$3:$A$101,MATCH(A2068,Companies!$B$3:$B$101,0)),"")</f>
        <v/>
      </c>
      <c r="D2068" t="inlineStr">
        <is>
          <t>F98417765A51</t>
        </is>
      </c>
      <c r="E2068" s="24">
        <f>LEFT(D2068,2)&amp;":"&amp;MID(D2068,3,2)&amp;":"&amp;MID(D2068,5,2)&amp;":"&amp;MID(D2068,7,2)&amp;":"&amp;MID(D2068,9,2)&amp;":"&amp;RIGHT(D2068,2)</f>
        <v/>
      </c>
      <c r="H2068" t="inlineStr">
        <is>
          <t>99DE94B51CFBC764</t>
        </is>
      </c>
      <c r="J2068" t="inlineStr">
        <is>
          <t>99DE94B51CFBC764</t>
        </is>
      </c>
    </row>
    <row r="2069">
      <c r="B2069">
        <f>IFERROR(INDEX(Companies!$A$3:$A$101,MATCH(A2069,Companies!$B$3:$B$101,0)),"")</f>
        <v/>
      </c>
      <c r="D2069" t="inlineStr">
        <is>
          <t>EA312293A9CD</t>
        </is>
      </c>
      <c r="E2069" s="24">
        <f>LEFT(D2069,2)&amp;":"&amp;MID(D2069,3,2)&amp;":"&amp;MID(D2069,5,2)&amp;":"&amp;MID(D2069,7,2)&amp;":"&amp;MID(D2069,9,2)&amp;":"&amp;RIGHT(D2069,2)</f>
        <v/>
      </c>
      <c r="H2069" t="inlineStr">
        <is>
          <t>56740365037093AD</t>
        </is>
      </c>
      <c r="J2069" t="inlineStr">
        <is>
          <t>56740365037093AD</t>
        </is>
      </c>
    </row>
    <row r="2070">
      <c r="B2070">
        <f>IFERROR(INDEX(Companies!$A$3:$A$101,MATCH(A2070,Companies!$B$3:$B$101,0)),"")</f>
        <v/>
      </c>
      <c r="D2070" t="inlineStr">
        <is>
          <t>EA991C119850</t>
        </is>
      </c>
      <c r="E2070" s="24">
        <f>LEFT(D2070,2)&amp;":"&amp;MID(D2070,3,2)&amp;":"&amp;MID(D2070,5,2)&amp;":"&amp;MID(D2070,7,2)&amp;":"&amp;MID(D2070,9,2)&amp;":"&amp;RIGHT(D2070,2)</f>
        <v/>
      </c>
      <c r="H2070" t="inlineStr">
        <is>
          <t>2BAB58EFC71B64A1</t>
        </is>
      </c>
      <c r="J2070" t="inlineStr">
        <is>
          <t>2BAB58EFC71B64A1</t>
        </is>
      </c>
    </row>
    <row r="2071">
      <c r="B2071">
        <f>IFERROR(INDEX(Companies!$A$3:$A$101,MATCH(A2071,Companies!$B$3:$B$101,0)),"")</f>
        <v/>
      </c>
      <c r="D2071" t="inlineStr">
        <is>
          <t>D65EAB61FD96</t>
        </is>
      </c>
      <c r="E2071" s="24">
        <f>LEFT(D2071,2)&amp;":"&amp;MID(D2071,3,2)&amp;":"&amp;MID(D2071,5,2)&amp;":"&amp;MID(D2071,7,2)&amp;":"&amp;MID(D2071,9,2)&amp;":"&amp;RIGHT(D2071,2)</f>
        <v/>
      </c>
      <c r="H2071" t="inlineStr">
        <is>
          <t>3F25B2DCC6AEE8CC</t>
        </is>
      </c>
      <c r="J2071" t="inlineStr">
        <is>
          <t>3F25B2DCC6AEE8CC</t>
        </is>
      </c>
    </row>
    <row r="2072">
      <c r="B2072">
        <f>IFERROR(INDEX(Companies!$A$3:$A$101,MATCH(A2072,Companies!$B$3:$B$101,0)),"")</f>
        <v/>
      </c>
      <c r="D2072" t="inlineStr">
        <is>
          <t>EBA8668CB51E</t>
        </is>
      </c>
      <c r="E2072" s="24">
        <f>LEFT(D2072,2)&amp;":"&amp;MID(D2072,3,2)&amp;":"&amp;MID(D2072,5,2)&amp;":"&amp;MID(D2072,7,2)&amp;":"&amp;MID(D2072,9,2)&amp;":"&amp;RIGHT(D2072,2)</f>
        <v/>
      </c>
      <c r="H2072" t="inlineStr">
        <is>
          <t>4AE26E1AD881B6D1</t>
        </is>
      </c>
      <c r="J2072" t="inlineStr">
        <is>
          <t>4AE26E1AD881B6D1</t>
        </is>
      </c>
    </row>
    <row r="2073">
      <c r="B2073">
        <f>IFERROR(INDEX(Companies!$A$3:$A$101,MATCH(A2073,Companies!$B$3:$B$101,0)),"")</f>
        <v/>
      </c>
      <c r="D2073" t="inlineStr">
        <is>
          <t>F1F4A6AF058E</t>
        </is>
      </c>
      <c r="E2073" s="24">
        <f>LEFT(D2073,2)&amp;":"&amp;MID(D2073,3,2)&amp;":"&amp;MID(D2073,5,2)&amp;":"&amp;MID(D2073,7,2)&amp;":"&amp;MID(D2073,9,2)&amp;":"&amp;RIGHT(D2073,2)</f>
        <v/>
      </c>
      <c r="H2073" t="inlineStr">
        <is>
          <t>BA5084CA9ECDE135</t>
        </is>
      </c>
      <c r="J2073" t="inlineStr">
        <is>
          <t>BA5084CA9ECDE135</t>
        </is>
      </c>
    </row>
    <row r="2074">
      <c r="B2074">
        <f>IFERROR(INDEX(Companies!$A$3:$A$101,MATCH(A2074,Companies!$B$3:$B$101,0)),"")</f>
        <v/>
      </c>
      <c r="D2074" t="inlineStr">
        <is>
          <t>DA7A685FED01</t>
        </is>
      </c>
      <c r="E2074" s="24">
        <f>LEFT(D2074,2)&amp;":"&amp;MID(D2074,3,2)&amp;":"&amp;MID(D2074,5,2)&amp;":"&amp;MID(D2074,7,2)&amp;":"&amp;MID(D2074,9,2)&amp;":"&amp;RIGHT(D2074,2)</f>
        <v/>
      </c>
      <c r="H2074" t="inlineStr">
        <is>
          <t>F331AD449E635AD2</t>
        </is>
      </c>
      <c r="J2074" t="inlineStr">
        <is>
          <t>F331AD449E635AD2</t>
        </is>
      </c>
    </row>
    <row r="2075">
      <c r="B2075">
        <f>IFERROR(INDEX(Companies!$A$3:$A$101,MATCH(A2075,Companies!$B$3:$B$101,0)),"")</f>
        <v/>
      </c>
      <c r="D2075" t="inlineStr">
        <is>
          <t>C97AA16D2C6B</t>
        </is>
      </c>
      <c r="E2075" s="24">
        <f>LEFT(D2075,2)&amp;":"&amp;MID(D2075,3,2)&amp;":"&amp;MID(D2075,5,2)&amp;":"&amp;MID(D2075,7,2)&amp;":"&amp;MID(D2075,9,2)&amp;":"&amp;RIGHT(D2075,2)</f>
        <v/>
      </c>
      <c r="H2075" t="inlineStr">
        <is>
          <t>3B2F0F867578ADD0</t>
        </is>
      </c>
      <c r="J2075" t="inlineStr">
        <is>
          <t>3B2F0F867578ADD0</t>
        </is>
      </c>
    </row>
    <row r="2076">
      <c r="B2076">
        <f>IFERROR(INDEX(Companies!$A$3:$A$101,MATCH(A2076,Companies!$B$3:$B$101,0)),"")</f>
        <v/>
      </c>
      <c r="D2076" t="inlineStr">
        <is>
          <t>D6CEBB5419D7</t>
        </is>
      </c>
      <c r="E2076" s="24">
        <f>LEFT(D2076,2)&amp;":"&amp;MID(D2076,3,2)&amp;":"&amp;MID(D2076,5,2)&amp;":"&amp;MID(D2076,7,2)&amp;":"&amp;MID(D2076,9,2)&amp;":"&amp;RIGHT(D2076,2)</f>
        <v/>
      </c>
      <c r="H2076" t="inlineStr">
        <is>
          <t>CA9875CB2836EDC6</t>
        </is>
      </c>
    </row>
    <row r="2077">
      <c r="B2077">
        <f>IFERROR(INDEX(Companies!$A$3:$A$101,MATCH(A2077,Companies!$B$3:$B$101,0)),"")</f>
        <v/>
      </c>
      <c r="D2077" t="inlineStr">
        <is>
          <t>DB14461DD9C1</t>
        </is>
      </c>
      <c r="E2077" s="24">
        <f>LEFT(D2077,2)&amp;":"&amp;MID(D2077,3,2)&amp;":"&amp;MID(D2077,5,2)&amp;":"&amp;MID(D2077,7,2)&amp;":"&amp;MID(D2077,9,2)&amp;":"&amp;RIGHT(D2077,2)</f>
        <v/>
      </c>
      <c r="H2077" s="18" t="inlineStr">
        <is>
          <t>11689E516CAD93EA</t>
        </is>
      </c>
      <c r="J2077" t="inlineStr">
        <is>
          <t>11689E516CAD93EA</t>
        </is>
      </c>
    </row>
    <row r="2078">
      <c r="B2078">
        <f>IFERROR(INDEX(Companies!$A$3:$A$101,MATCH(A2078,Companies!$B$3:$B$101,0)),"")</f>
        <v/>
      </c>
      <c r="D2078" t="inlineStr">
        <is>
          <t>CB0117CADE4F</t>
        </is>
      </c>
      <c r="E2078" s="24">
        <f>LEFT(D2078,2)&amp;":"&amp;MID(D2078,3,2)&amp;":"&amp;MID(D2078,5,2)&amp;":"&amp;MID(D2078,7,2)&amp;":"&amp;MID(D2078,9,2)&amp;":"&amp;RIGHT(D2078,2)</f>
        <v/>
      </c>
      <c r="H2078" t="inlineStr">
        <is>
          <t>82348708B5B0AAB1</t>
        </is>
      </c>
      <c r="J2078" t="inlineStr">
        <is>
          <t>82348708B5B0AAB1</t>
        </is>
      </c>
    </row>
    <row r="2079">
      <c r="B2079">
        <f>IFERROR(INDEX(Companies!$A$3:$A$101,MATCH(A2079,Companies!$B$3:$B$101,0)),"")</f>
        <v/>
      </c>
      <c r="D2079" t="inlineStr">
        <is>
          <t>E423601AE092</t>
        </is>
      </c>
      <c r="E2079" s="24">
        <f>LEFT(D2079,2)&amp;":"&amp;MID(D2079,3,2)&amp;":"&amp;MID(D2079,5,2)&amp;":"&amp;MID(D2079,7,2)&amp;":"&amp;MID(D2079,9,2)&amp;":"&amp;RIGHT(D2079,2)</f>
        <v/>
      </c>
      <c r="H2079" t="inlineStr">
        <is>
          <t>F1F66335768D4D45</t>
        </is>
      </c>
      <c r="J2079" t="inlineStr">
        <is>
          <t>F1F66335768D4D45</t>
        </is>
      </c>
    </row>
    <row r="2080">
      <c r="B2080">
        <f>IFERROR(INDEX(Companies!$A$3:$A$101,MATCH(A2080,Companies!$B$3:$B$101,0)),"")</f>
        <v/>
      </c>
      <c r="D2080" t="inlineStr">
        <is>
          <t>CE4D4C459705</t>
        </is>
      </c>
      <c r="E2080" s="24">
        <f>LEFT(D2080,2)&amp;":"&amp;MID(D2080,3,2)&amp;":"&amp;MID(D2080,5,2)&amp;":"&amp;MID(D2080,7,2)&amp;":"&amp;MID(D2080,9,2)&amp;":"&amp;RIGHT(D2080,2)</f>
        <v/>
      </c>
      <c r="H2080" t="inlineStr">
        <is>
          <t>77802E149CAE4D46</t>
        </is>
      </c>
      <c r="J2080" t="inlineStr">
        <is>
          <t>77802E149CAE4D46</t>
        </is>
      </c>
    </row>
    <row r="2081">
      <c r="B2081">
        <f>IFERROR(INDEX(Companies!$A$3:$A$101,MATCH(A2081,Companies!$B$3:$B$101,0)),"")</f>
        <v/>
      </c>
      <c r="D2081" t="inlineStr">
        <is>
          <t>D5F7B142A450</t>
        </is>
      </c>
      <c r="E2081" s="24">
        <f>LEFT(D2081,2)&amp;":"&amp;MID(D2081,3,2)&amp;":"&amp;MID(D2081,5,2)&amp;":"&amp;MID(D2081,7,2)&amp;":"&amp;MID(D2081,9,2)&amp;":"&amp;RIGHT(D2081,2)</f>
        <v/>
      </c>
      <c r="H2081" t="inlineStr">
        <is>
          <t>FDCA18E7A1BE7478</t>
        </is>
      </c>
      <c r="J2081" t="inlineStr">
        <is>
          <t>FDCA18E7A1BE7478</t>
        </is>
      </c>
    </row>
    <row r="2082">
      <c r="B2082">
        <f>IFERROR(INDEX(Companies!$A$3:$A$101,MATCH(A2082,Companies!$B$3:$B$101,0)),"")</f>
        <v/>
      </c>
      <c r="D2082" t="inlineStr">
        <is>
          <t>FB9A11227B38</t>
        </is>
      </c>
      <c r="E2082" s="24">
        <f>LEFT(D2082,2)&amp;":"&amp;MID(D2082,3,2)&amp;":"&amp;MID(D2082,5,2)&amp;":"&amp;MID(D2082,7,2)&amp;":"&amp;MID(D2082,9,2)&amp;":"&amp;RIGHT(D2082,2)</f>
        <v/>
      </c>
      <c r="H2082" t="inlineStr">
        <is>
          <t>E40E89D1F5EE356F</t>
        </is>
      </c>
      <c r="J2082" t="inlineStr">
        <is>
          <t>E40E89D1F5EE356F</t>
        </is>
      </c>
    </row>
    <row r="2083">
      <c r="B2083">
        <f>IFERROR(INDEX(Companies!$A$3:$A$101,MATCH(A2083,Companies!$B$3:$B$101,0)),"")</f>
        <v/>
      </c>
      <c r="D2083" t="inlineStr">
        <is>
          <t>E2A9939B14BE</t>
        </is>
      </c>
      <c r="E2083" s="24">
        <f>LEFT(D2083,2)&amp;":"&amp;MID(D2083,3,2)&amp;":"&amp;MID(D2083,5,2)&amp;":"&amp;MID(D2083,7,2)&amp;":"&amp;MID(D2083,9,2)&amp;":"&amp;RIGHT(D2083,2)</f>
        <v/>
      </c>
      <c r="H2083" t="inlineStr">
        <is>
          <t>29086AC7501E537C</t>
        </is>
      </c>
      <c r="J2083" t="inlineStr">
        <is>
          <t>29086AC7501E537C</t>
        </is>
      </c>
    </row>
    <row r="2084">
      <c r="B2084">
        <f>IFERROR(INDEX(Companies!$A$3:$A$101,MATCH(A2084,Companies!$B$3:$B$101,0)),"")</f>
        <v/>
      </c>
      <c r="D2084" t="inlineStr">
        <is>
          <t>FF3191E099D1</t>
        </is>
      </c>
      <c r="E2084" s="24">
        <f>LEFT(D2084,2)&amp;":"&amp;MID(D2084,3,2)&amp;":"&amp;MID(D2084,5,2)&amp;":"&amp;MID(D2084,7,2)&amp;":"&amp;MID(D2084,9,2)&amp;":"&amp;RIGHT(D2084,2)</f>
        <v/>
      </c>
      <c r="H2084" t="inlineStr">
        <is>
          <t>0BB4743AFD8545FC</t>
        </is>
      </c>
      <c r="J2084" t="inlineStr">
        <is>
          <t>0BB4743AFD8545FC</t>
        </is>
      </c>
    </row>
    <row r="2085">
      <c r="B2085">
        <f>IFERROR(INDEX(Companies!$A$3:$A$101,MATCH(A2085,Companies!$B$3:$B$101,0)),"")</f>
        <v/>
      </c>
      <c r="D2085" t="inlineStr">
        <is>
          <t>F25BCEE621F1</t>
        </is>
      </c>
      <c r="E2085" s="24">
        <f>LEFT(D2085,2)&amp;":"&amp;MID(D2085,3,2)&amp;":"&amp;MID(D2085,5,2)&amp;":"&amp;MID(D2085,7,2)&amp;":"&amp;MID(D2085,9,2)&amp;":"&amp;RIGHT(D2085,2)</f>
        <v/>
      </c>
      <c r="H2085" t="inlineStr">
        <is>
          <t>04ADE08CF4366B59</t>
        </is>
      </c>
      <c r="J2085" t="inlineStr">
        <is>
          <t>04ADE08CF4366B59</t>
        </is>
      </c>
    </row>
    <row r="2086">
      <c r="B2086">
        <f>IFERROR(INDEX(Companies!$A$3:$A$101,MATCH(A2086,Companies!$B$3:$B$101,0)),"")</f>
        <v/>
      </c>
      <c r="D2086" t="inlineStr">
        <is>
          <t>D52B035233C7</t>
        </is>
      </c>
      <c r="E2086" s="24">
        <f>LEFT(D2086,2)&amp;":"&amp;MID(D2086,3,2)&amp;":"&amp;MID(D2086,5,2)&amp;":"&amp;MID(D2086,7,2)&amp;":"&amp;MID(D2086,9,2)&amp;":"&amp;RIGHT(D2086,2)</f>
        <v/>
      </c>
      <c r="H2086" t="inlineStr">
        <is>
          <t>13DE93574FB21A84</t>
        </is>
      </c>
      <c r="J2086" t="inlineStr">
        <is>
          <t>13DE93574FB21A84</t>
        </is>
      </c>
    </row>
    <row r="2087">
      <c r="B2087">
        <f>IFERROR(INDEX(Companies!$A$3:$A$101,MATCH(A2087,Companies!$B$3:$B$101,0)),"")</f>
        <v/>
      </c>
      <c r="D2087" t="inlineStr">
        <is>
          <t>E577231149AA</t>
        </is>
      </c>
      <c r="E2087" s="24">
        <f>LEFT(D2087,2)&amp;":"&amp;MID(D2087,3,2)&amp;":"&amp;MID(D2087,5,2)&amp;":"&amp;MID(D2087,7,2)&amp;":"&amp;MID(D2087,9,2)&amp;":"&amp;RIGHT(D2087,2)</f>
        <v/>
      </c>
      <c r="H2087" t="inlineStr">
        <is>
          <t>2D28385CCE076086</t>
        </is>
      </c>
      <c r="J2087" t="inlineStr">
        <is>
          <t>2D28385CCE076086</t>
        </is>
      </c>
    </row>
    <row r="2088">
      <c r="B2088">
        <f>IFERROR(INDEX(Companies!$A$3:$A$101,MATCH(A2088,Companies!$B$3:$B$101,0)),"")</f>
        <v/>
      </c>
      <c r="D2088" t="inlineStr">
        <is>
          <t>C60D20F82AE6</t>
        </is>
      </c>
      <c r="E2088" s="24">
        <f>LEFT(D2088,2)&amp;":"&amp;MID(D2088,3,2)&amp;":"&amp;MID(D2088,5,2)&amp;":"&amp;MID(D2088,7,2)&amp;":"&amp;MID(D2088,9,2)&amp;":"&amp;RIGHT(D2088,2)</f>
        <v/>
      </c>
      <c r="H2088" t="inlineStr">
        <is>
          <t>AC58D2A522F24789</t>
        </is>
      </c>
      <c r="J2088" t="inlineStr">
        <is>
          <t>AC58D2A522F24789</t>
        </is>
      </c>
    </row>
    <row r="2089">
      <c r="B2089">
        <f>IFERROR(INDEX(Companies!$A$3:$A$101,MATCH(A2089,Companies!$B$3:$B$101,0)),"")</f>
        <v/>
      </c>
      <c r="D2089" t="inlineStr">
        <is>
          <t>E80EF8B2AD9E</t>
        </is>
      </c>
      <c r="E2089" s="24">
        <f>LEFT(D2089,2)&amp;":"&amp;MID(D2089,3,2)&amp;":"&amp;MID(D2089,5,2)&amp;":"&amp;MID(D2089,7,2)&amp;":"&amp;MID(D2089,9,2)&amp;":"&amp;RIGHT(D2089,2)</f>
        <v/>
      </c>
      <c r="H2089" t="inlineStr">
        <is>
          <t>B47C95914450FDC6</t>
        </is>
      </c>
      <c r="J2089" t="inlineStr">
        <is>
          <t>B47C95914450FDC6</t>
        </is>
      </c>
    </row>
    <row r="2090">
      <c r="B2090">
        <f>IFERROR(INDEX(Companies!$A$3:$A$101,MATCH(A2090,Companies!$B$3:$B$101,0)),"")</f>
        <v/>
      </c>
      <c r="D2090" t="inlineStr">
        <is>
          <t>FA48156FF46E</t>
        </is>
      </c>
      <c r="E2090" s="24">
        <f>LEFT(D2090,2)&amp;":"&amp;MID(D2090,3,2)&amp;":"&amp;MID(D2090,5,2)&amp;":"&amp;MID(D2090,7,2)&amp;":"&amp;MID(D2090,9,2)&amp;":"&amp;RIGHT(D2090,2)</f>
        <v/>
      </c>
      <c r="H2090" t="inlineStr">
        <is>
          <t>3F6F634CAAD6F278</t>
        </is>
      </c>
      <c r="J2090" t="inlineStr">
        <is>
          <t>3F6F634CAAD6F278</t>
        </is>
      </c>
    </row>
    <row r="2091">
      <c r="B2091">
        <f>IFERROR(INDEX(Companies!$A$3:$A$101,MATCH(A2091,Companies!$B$3:$B$101,0)),"")</f>
        <v/>
      </c>
      <c r="D2091" t="inlineStr">
        <is>
          <t>D22CF41DC4C4</t>
        </is>
      </c>
      <c r="E2091" s="24">
        <f>LEFT(D2091,2)&amp;":"&amp;MID(D2091,3,2)&amp;":"&amp;MID(D2091,5,2)&amp;":"&amp;MID(D2091,7,2)&amp;":"&amp;MID(D2091,9,2)&amp;":"&amp;RIGHT(D2091,2)</f>
        <v/>
      </c>
      <c r="H2091" t="inlineStr">
        <is>
          <t>D5947DC62EFAD1D0</t>
        </is>
      </c>
      <c r="J2091" t="inlineStr">
        <is>
          <t>D5947DC62EFAD1D0</t>
        </is>
      </c>
    </row>
    <row r="2092">
      <c r="B2092">
        <f>IFERROR(INDEX(Companies!$A$3:$A$101,MATCH(A2092,Companies!$B$3:$B$101,0)),"")</f>
        <v/>
      </c>
      <c r="D2092" t="inlineStr">
        <is>
          <t>C9B8A1D09637</t>
        </is>
      </c>
      <c r="E2092" s="24">
        <f>LEFT(D2092,2)&amp;":"&amp;MID(D2092,3,2)&amp;":"&amp;MID(D2092,5,2)&amp;":"&amp;MID(D2092,7,2)&amp;":"&amp;MID(D2092,9,2)&amp;":"&amp;RIGHT(D2092,2)</f>
        <v/>
      </c>
      <c r="H2092" t="inlineStr">
        <is>
          <t>CAB3F69234D702C1</t>
        </is>
      </c>
      <c r="J2092" t="inlineStr">
        <is>
          <t>CAB3F69234D702C1</t>
        </is>
      </c>
    </row>
    <row r="2093">
      <c r="B2093">
        <f>IFERROR(INDEX(Companies!$A$3:$A$101,MATCH(A2093,Companies!$B$3:$B$101,0)),"")</f>
        <v/>
      </c>
      <c r="D2093" t="inlineStr">
        <is>
          <t>CAED57AD1208</t>
        </is>
      </c>
      <c r="E2093" s="24">
        <f>LEFT(D2093,2)&amp;":"&amp;MID(D2093,3,2)&amp;":"&amp;MID(D2093,5,2)&amp;":"&amp;MID(D2093,7,2)&amp;":"&amp;MID(D2093,9,2)&amp;":"&amp;RIGHT(D2093,2)</f>
        <v/>
      </c>
      <c r="H2093" t="inlineStr">
        <is>
          <t>D0E75A7105B49512</t>
        </is>
      </c>
      <c r="J2093" t="inlineStr">
        <is>
          <t>D0E75A7105B49512</t>
        </is>
      </c>
    </row>
    <row r="2094">
      <c r="B2094">
        <f>IFERROR(INDEX(Companies!$A$3:$A$101,MATCH(A2094,Companies!$B$3:$B$101,0)),"")</f>
        <v/>
      </c>
      <c r="D2094" t="inlineStr">
        <is>
          <t>F6C49089F980</t>
        </is>
      </c>
      <c r="E2094" s="24">
        <f>LEFT(D2094,2)&amp;":"&amp;MID(D2094,3,2)&amp;":"&amp;MID(D2094,5,2)&amp;":"&amp;MID(D2094,7,2)&amp;":"&amp;MID(D2094,9,2)&amp;":"&amp;RIGHT(D2094,2)</f>
        <v/>
      </c>
      <c r="H2094" t="inlineStr">
        <is>
          <t>C466C4AA9363578B</t>
        </is>
      </c>
      <c r="J2094" t="inlineStr">
        <is>
          <t>C466C4AA9363578B</t>
        </is>
      </c>
    </row>
    <row r="2095">
      <c r="B2095">
        <f>IFERROR(INDEX(Companies!$A$3:$A$101,MATCH(A2095,Companies!$B$3:$B$101,0)),"")</f>
        <v/>
      </c>
      <c r="D2095" t="inlineStr">
        <is>
          <t>C4BF495A5488</t>
        </is>
      </c>
      <c r="E2095" s="24">
        <f>LEFT(D2095,2)&amp;":"&amp;MID(D2095,3,2)&amp;":"&amp;MID(D2095,5,2)&amp;":"&amp;MID(D2095,7,2)&amp;":"&amp;MID(D2095,9,2)&amp;":"&amp;RIGHT(D2095,2)</f>
        <v/>
      </c>
      <c r="H2095" t="inlineStr">
        <is>
          <t>E00FB89C243FFC01</t>
        </is>
      </c>
      <c r="J2095" t="inlineStr">
        <is>
          <t>E00FB89C243FFC01</t>
        </is>
      </c>
    </row>
    <row r="2096">
      <c r="B2096">
        <f>IFERROR(INDEX(Companies!$A$3:$A$101,MATCH(A2096,Companies!$B$3:$B$101,0)),"")</f>
        <v/>
      </c>
      <c r="D2096" t="inlineStr">
        <is>
          <t>EFC3EDCCBD14</t>
        </is>
      </c>
      <c r="E2096" s="24">
        <f>LEFT(D2096,2)&amp;":"&amp;MID(D2096,3,2)&amp;":"&amp;MID(D2096,5,2)&amp;":"&amp;MID(D2096,7,2)&amp;":"&amp;MID(D2096,9,2)&amp;":"&amp;RIGHT(D2096,2)</f>
        <v/>
      </c>
      <c r="H2096" t="inlineStr">
        <is>
          <t>A8913FE470BDB381</t>
        </is>
      </c>
      <c r="J2096" t="inlineStr">
        <is>
          <t>A8913FE470BDB381</t>
        </is>
      </c>
    </row>
    <row r="2097">
      <c r="B2097">
        <f>IFERROR(INDEX(Companies!$A$3:$A$101,MATCH(A2097,Companies!$B$3:$B$101,0)),"")</f>
        <v/>
      </c>
      <c r="D2097" t="inlineStr">
        <is>
          <t>CC7632399540</t>
        </is>
      </c>
      <c r="E2097" s="24">
        <f>LEFT(D2097,2)&amp;":"&amp;MID(D2097,3,2)&amp;":"&amp;MID(D2097,5,2)&amp;":"&amp;MID(D2097,7,2)&amp;":"&amp;MID(D2097,9,2)&amp;":"&amp;RIGHT(D2097,2)</f>
        <v/>
      </c>
      <c r="H2097" t="inlineStr">
        <is>
          <t>085177B779F1BED1</t>
        </is>
      </c>
      <c r="J2097" t="inlineStr">
        <is>
          <t>085177B779F1BED1</t>
        </is>
      </c>
    </row>
    <row r="2098">
      <c r="B2098">
        <f>IFERROR(INDEX(Companies!$A$3:$A$101,MATCH(A2098,Companies!$B$3:$B$101,0)),"")</f>
        <v/>
      </c>
      <c r="D2098" t="inlineStr">
        <is>
          <t>F844C6C9DC40</t>
        </is>
      </c>
      <c r="E2098" s="24">
        <f>LEFT(D2098,2)&amp;":"&amp;MID(D2098,3,2)&amp;":"&amp;MID(D2098,5,2)&amp;":"&amp;MID(D2098,7,2)&amp;":"&amp;MID(D2098,9,2)&amp;":"&amp;RIGHT(D2098,2)</f>
        <v/>
      </c>
      <c r="H2098" t="inlineStr">
        <is>
          <t>6A1ED8BFB176960B</t>
        </is>
      </c>
      <c r="J2098" t="inlineStr">
        <is>
          <t>6A1ED8BFB176960B</t>
        </is>
      </c>
    </row>
    <row r="2099">
      <c r="B2099">
        <f>IFERROR(INDEX(Companies!$A$3:$A$101,MATCH(A2099,Companies!$B$3:$B$101,0)),"")</f>
        <v/>
      </c>
      <c r="D2099" t="inlineStr">
        <is>
          <t>F6081E6656D7</t>
        </is>
      </c>
      <c r="E2099" s="24">
        <f>LEFT(D2099,2)&amp;":"&amp;MID(D2099,3,2)&amp;":"&amp;MID(D2099,5,2)&amp;":"&amp;MID(D2099,7,2)&amp;":"&amp;MID(D2099,9,2)&amp;":"&amp;RIGHT(D2099,2)</f>
        <v/>
      </c>
      <c r="H2099" t="inlineStr">
        <is>
          <t>E84CE3BD38BBAA2D</t>
        </is>
      </c>
      <c r="J2099" t="inlineStr">
        <is>
          <t>E84CE3BD38BBAA2D</t>
        </is>
      </c>
    </row>
    <row r="2100">
      <c r="B2100">
        <f>IFERROR(INDEX(Companies!$A$3:$A$101,MATCH(A2100,Companies!$B$3:$B$101,0)),"")</f>
        <v/>
      </c>
      <c r="D2100" t="inlineStr">
        <is>
          <t>D515744945E8</t>
        </is>
      </c>
      <c r="E2100" s="24">
        <f>LEFT(D2100,2)&amp;":"&amp;MID(D2100,3,2)&amp;":"&amp;MID(D2100,5,2)&amp;":"&amp;MID(D2100,7,2)&amp;":"&amp;MID(D2100,9,2)&amp;":"&amp;RIGHT(D2100,2)</f>
        <v/>
      </c>
      <c r="H2100" t="inlineStr">
        <is>
          <t>C6C32397A7D302E2</t>
        </is>
      </c>
      <c r="J2100" t="inlineStr">
        <is>
          <t>C6C32397A7D302E2</t>
        </is>
      </c>
    </row>
    <row r="2101">
      <c r="B2101">
        <f>IFERROR(INDEX(Companies!$A$3:$A$101,MATCH(A2101,Companies!$B$3:$B$101,0)),"")</f>
        <v/>
      </c>
      <c r="D2101" t="inlineStr">
        <is>
          <t>E6D33CDA865B</t>
        </is>
      </c>
      <c r="E2101" s="24">
        <f>LEFT(D2101,2)&amp;":"&amp;MID(D2101,3,2)&amp;":"&amp;MID(D2101,5,2)&amp;":"&amp;MID(D2101,7,2)&amp;":"&amp;MID(D2101,9,2)&amp;":"&amp;RIGHT(D2101,2)</f>
        <v/>
      </c>
      <c r="H2101" t="inlineStr">
        <is>
          <t>EDA2BD43B2629D02</t>
        </is>
      </c>
      <c r="J2101" t="inlineStr">
        <is>
          <t>EDA2BD43B2629D02</t>
        </is>
      </c>
    </row>
    <row r="2102">
      <c r="B2102">
        <f>IFERROR(INDEX(Companies!$A$3:$A$101,MATCH(A2102,Companies!$B$3:$B$101,0)),"")</f>
        <v/>
      </c>
      <c r="D2102" t="inlineStr">
        <is>
          <t>DF0727D531EF</t>
        </is>
      </c>
      <c r="E2102" s="24">
        <f>LEFT(D2102,2)&amp;":"&amp;MID(D2102,3,2)&amp;":"&amp;MID(D2102,5,2)&amp;":"&amp;MID(D2102,7,2)&amp;":"&amp;MID(D2102,9,2)&amp;":"&amp;RIGHT(D2102,2)</f>
        <v/>
      </c>
      <c r="H2102" t="inlineStr">
        <is>
          <t>BD3E8D233A16EE69</t>
        </is>
      </c>
      <c r="J2102" t="inlineStr">
        <is>
          <t>BD3E8D233A16EE69</t>
        </is>
      </c>
    </row>
    <row r="2103">
      <c r="B2103">
        <f>IFERROR(INDEX(Companies!$A$3:$A$101,MATCH(A2103,Companies!$B$3:$B$101,0)),"")</f>
        <v/>
      </c>
      <c r="D2103" t="inlineStr">
        <is>
          <t>D7CF28D692C8</t>
        </is>
      </c>
      <c r="E2103" s="24">
        <f>LEFT(D2103,2)&amp;":"&amp;MID(D2103,3,2)&amp;":"&amp;MID(D2103,5,2)&amp;":"&amp;MID(D2103,7,2)&amp;":"&amp;MID(D2103,9,2)&amp;":"&amp;RIGHT(D2103,2)</f>
        <v/>
      </c>
      <c r="H2103" t="inlineStr">
        <is>
          <t>EAF851F182785595</t>
        </is>
      </c>
      <c r="J2103" t="inlineStr">
        <is>
          <t>EAF851F182785595</t>
        </is>
      </c>
    </row>
    <row r="2104">
      <c r="B2104">
        <f>IFERROR(INDEX(Companies!$A$3:$A$101,MATCH(A2104,Companies!$B$3:$B$101,0)),"")</f>
        <v/>
      </c>
      <c r="D2104" t="inlineStr">
        <is>
          <t>F6E3EA20AA0C</t>
        </is>
      </c>
      <c r="E2104" s="24">
        <f>LEFT(D2104,2)&amp;":"&amp;MID(D2104,3,2)&amp;":"&amp;MID(D2104,5,2)&amp;":"&amp;MID(D2104,7,2)&amp;":"&amp;MID(D2104,9,2)&amp;":"&amp;RIGHT(D2104,2)</f>
        <v/>
      </c>
      <c r="H2104" t="inlineStr">
        <is>
          <t>7BD8C349F0A574EE</t>
        </is>
      </c>
      <c r="J2104" t="inlineStr">
        <is>
          <t>7BD8C349F0A574EE</t>
        </is>
      </c>
    </row>
    <row r="2105">
      <c r="B2105">
        <f>IFERROR(INDEX(Companies!$A$3:$A$101,MATCH(A2105,Companies!$B$3:$B$101,0)),"")</f>
        <v/>
      </c>
      <c r="D2105" t="inlineStr">
        <is>
          <t>DF6D04BE631B</t>
        </is>
      </c>
      <c r="E2105" s="24">
        <f>LEFT(D2105,2)&amp;":"&amp;MID(D2105,3,2)&amp;":"&amp;MID(D2105,5,2)&amp;":"&amp;MID(D2105,7,2)&amp;":"&amp;MID(D2105,9,2)&amp;":"&amp;RIGHT(D2105,2)</f>
        <v/>
      </c>
      <c r="H2105" t="inlineStr">
        <is>
          <t>89B1EAFE902D102F</t>
        </is>
      </c>
      <c r="J2105" t="inlineStr">
        <is>
          <t>89B1EAFE902D102F</t>
        </is>
      </c>
    </row>
    <row r="2106">
      <c r="B2106">
        <f>IFERROR(INDEX(Companies!$A$3:$A$101,MATCH(A2106,Companies!$B$3:$B$101,0)),"")</f>
        <v/>
      </c>
      <c r="D2106" t="inlineStr">
        <is>
          <t>FFF03562659A</t>
        </is>
      </c>
      <c r="E2106" s="24">
        <f>LEFT(D2106,2)&amp;":"&amp;MID(D2106,3,2)&amp;":"&amp;MID(D2106,5,2)&amp;":"&amp;MID(D2106,7,2)&amp;":"&amp;MID(D2106,9,2)&amp;":"&amp;RIGHT(D2106,2)</f>
        <v/>
      </c>
      <c r="H2106" t="inlineStr">
        <is>
          <t>E814066CD6853FBD</t>
        </is>
      </c>
      <c r="J2106" t="inlineStr">
        <is>
          <t>E814066CD6853FBD</t>
        </is>
      </c>
    </row>
    <row r="2107">
      <c r="B2107">
        <f>IFERROR(INDEX(Companies!$A$3:$A$101,MATCH(A2107,Companies!$B$3:$B$101,0)),"")</f>
        <v/>
      </c>
      <c r="D2107" t="inlineStr">
        <is>
          <t>E7EE802D3CF2</t>
        </is>
      </c>
      <c r="E2107" s="24">
        <f>LEFT(D2107,2)&amp;":"&amp;MID(D2107,3,2)&amp;":"&amp;MID(D2107,5,2)&amp;":"&amp;MID(D2107,7,2)&amp;":"&amp;MID(D2107,9,2)&amp;":"&amp;RIGHT(D2107,2)</f>
        <v/>
      </c>
      <c r="H2107" t="inlineStr">
        <is>
          <t>AF26B2F5C36749D4</t>
        </is>
      </c>
      <c r="J2107" t="inlineStr">
        <is>
          <t>AF26B2F5C36749D4</t>
        </is>
      </c>
    </row>
    <row r="2108">
      <c r="B2108">
        <f>IFERROR(INDEX(Companies!$A$3:$A$101,MATCH(A2108,Companies!$B$3:$B$101,0)),"")</f>
        <v/>
      </c>
      <c r="D2108" t="inlineStr">
        <is>
          <t>D2C20A538B98</t>
        </is>
      </c>
      <c r="E2108" s="24">
        <f>LEFT(D2108,2)&amp;":"&amp;MID(D2108,3,2)&amp;":"&amp;MID(D2108,5,2)&amp;":"&amp;MID(D2108,7,2)&amp;":"&amp;MID(D2108,9,2)&amp;":"&amp;RIGHT(D2108,2)</f>
        <v/>
      </c>
      <c r="H2108" t="inlineStr">
        <is>
          <t>114D9F233D168221</t>
        </is>
      </c>
      <c r="J2108" t="inlineStr">
        <is>
          <t>114D9F233D168221</t>
        </is>
      </c>
    </row>
    <row r="2109">
      <c r="B2109">
        <f>IFERROR(INDEX(Companies!$A$3:$A$101,MATCH(A2109,Companies!$B$3:$B$101,0)),"")</f>
        <v/>
      </c>
      <c r="D2109" t="inlineStr">
        <is>
          <t>E4B04B20EF11</t>
        </is>
      </c>
      <c r="E2109" s="24">
        <f>LEFT(D2109,2)&amp;":"&amp;MID(D2109,3,2)&amp;":"&amp;MID(D2109,5,2)&amp;":"&amp;MID(D2109,7,2)&amp;":"&amp;MID(D2109,9,2)&amp;":"&amp;RIGHT(D2109,2)</f>
        <v/>
      </c>
      <c r="H2109" t="inlineStr">
        <is>
          <t>088D23194ECDB807</t>
        </is>
      </c>
      <c r="J2109" t="inlineStr">
        <is>
          <t>088D23194ECDB807</t>
        </is>
      </c>
    </row>
    <row r="2110">
      <c r="B2110">
        <f>IFERROR(INDEX(Companies!$A$3:$A$101,MATCH(A2110,Companies!$B$3:$B$101,0)),"")</f>
        <v/>
      </c>
      <c r="D2110" t="inlineStr">
        <is>
          <t>FEE3BB12E1C9</t>
        </is>
      </c>
      <c r="E2110" s="24">
        <f>LEFT(D2110,2)&amp;":"&amp;MID(D2110,3,2)&amp;":"&amp;MID(D2110,5,2)&amp;":"&amp;MID(D2110,7,2)&amp;":"&amp;MID(D2110,9,2)&amp;":"&amp;RIGHT(D2110,2)</f>
        <v/>
      </c>
      <c r="H2110" t="inlineStr">
        <is>
          <t>10BBC62D66F0A2FA</t>
        </is>
      </c>
      <c r="J2110" t="inlineStr">
        <is>
          <t>10BBC62D66F0A2FA</t>
        </is>
      </c>
    </row>
    <row r="2111">
      <c r="B2111">
        <f>IFERROR(INDEX(Companies!$A$3:$A$101,MATCH(A2111,Companies!$B$3:$B$101,0)),"")</f>
        <v/>
      </c>
      <c r="D2111" t="inlineStr">
        <is>
          <t>CD37AE278D9E</t>
        </is>
      </c>
      <c r="E2111" s="24">
        <f>LEFT(D2111,2)&amp;":"&amp;MID(D2111,3,2)&amp;":"&amp;MID(D2111,5,2)&amp;":"&amp;MID(D2111,7,2)&amp;":"&amp;MID(D2111,9,2)&amp;":"&amp;RIGHT(D2111,2)</f>
        <v/>
      </c>
      <c r="H2111" t="inlineStr">
        <is>
          <t>AFB9C58B76563068</t>
        </is>
      </c>
      <c r="J2111" t="inlineStr">
        <is>
          <t>AFB9C58B76563068</t>
        </is>
      </c>
    </row>
    <row r="2112">
      <c r="B2112">
        <f>IFERROR(INDEX(Companies!$A$3:$A$101,MATCH(A2112,Companies!$B$3:$B$101,0)),"")</f>
        <v/>
      </c>
      <c r="D2112" t="inlineStr">
        <is>
          <t>FEB11030B9CC</t>
        </is>
      </c>
      <c r="E2112" s="24">
        <f>LEFT(D2112,2)&amp;":"&amp;MID(D2112,3,2)&amp;":"&amp;MID(D2112,5,2)&amp;":"&amp;MID(D2112,7,2)&amp;":"&amp;MID(D2112,9,2)&amp;":"&amp;RIGHT(D2112,2)</f>
        <v/>
      </c>
      <c r="H2112" t="inlineStr">
        <is>
          <t>E68F98797A0BD5A1</t>
        </is>
      </c>
      <c r="J2112" t="inlineStr">
        <is>
          <t>E68F98797A0BD5A1</t>
        </is>
      </c>
    </row>
    <row r="2113">
      <c r="B2113">
        <f>IFERROR(INDEX(Companies!$A$3:$A$101,MATCH(A2113,Companies!$B$3:$B$101,0)),"")</f>
        <v/>
      </c>
      <c r="D2113" t="inlineStr">
        <is>
          <t>C29447BA4B32</t>
        </is>
      </c>
      <c r="E2113" s="24">
        <f>LEFT(D2113,2)&amp;":"&amp;MID(D2113,3,2)&amp;":"&amp;MID(D2113,5,2)&amp;":"&amp;MID(D2113,7,2)&amp;":"&amp;MID(D2113,9,2)&amp;":"&amp;RIGHT(D2113,2)</f>
        <v/>
      </c>
      <c r="H2113" t="inlineStr">
        <is>
          <t>B4D0EA8B1CB1235C</t>
        </is>
      </c>
      <c r="J2113" t="inlineStr">
        <is>
          <t>B4D0EA8B1CB1235C</t>
        </is>
      </c>
    </row>
    <row r="2114">
      <c r="B2114">
        <f>IFERROR(INDEX(Companies!$A$3:$A$101,MATCH(A2114,Companies!$B$3:$B$101,0)),"")</f>
        <v/>
      </c>
      <c r="D2114" t="inlineStr">
        <is>
          <t>F3128D1176B1</t>
        </is>
      </c>
      <c r="E2114" s="24">
        <f>LEFT(D2114,2)&amp;":"&amp;MID(D2114,3,2)&amp;":"&amp;MID(D2114,5,2)&amp;":"&amp;MID(D2114,7,2)&amp;":"&amp;MID(D2114,9,2)&amp;":"&amp;RIGHT(D2114,2)</f>
        <v/>
      </c>
      <c r="H2114" t="inlineStr">
        <is>
          <t>EF7B487516714208</t>
        </is>
      </c>
      <c r="J2114" t="inlineStr">
        <is>
          <t>EF7B487516714208</t>
        </is>
      </c>
    </row>
    <row r="2115">
      <c r="B2115">
        <f>IFERROR(INDEX(Companies!$A$3:$A$101,MATCH(A2115,Companies!$B$3:$B$101,0)),"")</f>
        <v/>
      </c>
      <c r="D2115" t="inlineStr">
        <is>
          <t>D5A43DE537E3</t>
        </is>
      </c>
      <c r="E2115" s="24">
        <f>LEFT(D2115,2)&amp;":"&amp;MID(D2115,3,2)&amp;":"&amp;MID(D2115,5,2)&amp;":"&amp;MID(D2115,7,2)&amp;":"&amp;MID(D2115,9,2)&amp;":"&amp;RIGHT(D2115,2)</f>
        <v/>
      </c>
      <c r="H2115" t="inlineStr">
        <is>
          <t>04142A4F1EF36B78</t>
        </is>
      </c>
      <c r="J2115" t="inlineStr">
        <is>
          <t>04142A4F1EF36B78</t>
        </is>
      </c>
    </row>
    <row r="2116">
      <c r="B2116">
        <f>IFERROR(INDEX(Companies!$A$3:$A$101,MATCH(A2116,Companies!$B$3:$B$101,0)),"")</f>
        <v/>
      </c>
      <c r="D2116" t="inlineStr">
        <is>
          <t>EE500EA512FD</t>
        </is>
      </c>
      <c r="E2116" s="24">
        <f>LEFT(D2116,2)&amp;":"&amp;MID(D2116,3,2)&amp;":"&amp;MID(D2116,5,2)&amp;":"&amp;MID(D2116,7,2)&amp;":"&amp;MID(D2116,9,2)&amp;":"&amp;RIGHT(D2116,2)</f>
        <v/>
      </c>
      <c r="H2116" t="inlineStr">
        <is>
          <t>75D231AEB4991C5C</t>
        </is>
      </c>
      <c r="J2116" t="inlineStr">
        <is>
          <t>75D231AEB4991C5C</t>
        </is>
      </c>
    </row>
    <row r="2117">
      <c r="B2117">
        <f>IFERROR(INDEX(Companies!$A$3:$A$101,MATCH(A2117,Companies!$B$3:$B$101,0)),"")</f>
        <v/>
      </c>
      <c r="D2117" t="inlineStr">
        <is>
          <t>F6D34E3338B4</t>
        </is>
      </c>
      <c r="E2117" s="24">
        <f>LEFT(D2117,2)&amp;":"&amp;MID(D2117,3,2)&amp;":"&amp;MID(D2117,5,2)&amp;":"&amp;MID(D2117,7,2)&amp;":"&amp;MID(D2117,9,2)&amp;":"&amp;RIGHT(D2117,2)</f>
        <v/>
      </c>
      <c r="H2117" t="inlineStr">
        <is>
          <t>2287E4EBCF92BC76</t>
        </is>
      </c>
      <c r="J2117" t="inlineStr">
        <is>
          <t>2287E4EBCF92BC76</t>
        </is>
      </c>
    </row>
    <row r="2118">
      <c r="B2118">
        <f>IFERROR(INDEX(Companies!$A$3:$A$101,MATCH(A2118,Companies!$B$3:$B$101,0)),"")</f>
        <v/>
      </c>
      <c r="D2118" t="inlineStr">
        <is>
          <t>F852F2106D58</t>
        </is>
      </c>
      <c r="E2118" s="24">
        <f>LEFT(D2118,2)&amp;":"&amp;MID(D2118,3,2)&amp;":"&amp;MID(D2118,5,2)&amp;":"&amp;MID(D2118,7,2)&amp;":"&amp;MID(D2118,9,2)&amp;":"&amp;RIGHT(D2118,2)</f>
        <v/>
      </c>
      <c r="H2118" t="inlineStr">
        <is>
          <t>1EC11D9575835973</t>
        </is>
      </c>
      <c r="J2118" t="inlineStr">
        <is>
          <t>1EC11D9575835973</t>
        </is>
      </c>
    </row>
    <row r="2119">
      <c r="B2119">
        <f>IFERROR(INDEX(Companies!$A$3:$A$101,MATCH(A2119,Companies!$B$3:$B$101,0)),"")</f>
        <v/>
      </c>
      <c r="D2119" t="inlineStr">
        <is>
          <t>DA9D39F57A3D</t>
        </is>
      </c>
      <c r="E2119" s="24">
        <f>LEFT(D2119,2)&amp;":"&amp;MID(D2119,3,2)&amp;":"&amp;MID(D2119,5,2)&amp;":"&amp;MID(D2119,7,2)&amp;":"&amp;MID(D2119,9,2)&amp;":"&amp;RIGHT(D2119,2)</f>
        <v/>
      </c>
      <c r="H2119" t="inlineStr">
        <is>
          <t>76AD24B4125DE1B5</t>
        </is>
      </c>
      <c r="J2119" t="inlineStr">
        <is>
          <t>76AD24B4125DE1B5</t>
        </is>
      </c>
    </row>
    <row r="2120">
      <c r="B2120">
        <f>IFERROR(INDEX(Companies!$A$3:$A$101,MATCH(A2120,Companies!$B$3:$B$101,0)),"")</f>
        <v/>
      </c>
      <c r="D2120" t="inlineStr">
        <is>
          <t>F04DBFF30240</t>
        </is>
      </c>
      <c r="E2120" s="24">
        <f>LEFT(D2120,2)&amp;":"&amp;MID(D2120,3,2)&amp;":"&amp;MID(D2120,5,2)&amp;":"&amp;MID(D2120,7,2)&amp;":"&amp;MID(D2120,9,2)&amp;":"&amp;RIGHT(D2120,2)</f>
        <v/>
      </c>
      <c r="H2120" t="inlineStr">
        <is>
          <t>E62363C53F360DCD</t>
        </is>
      </c>
      <c r="J2120" t="inlineStr">
        <is>
          <t>E62363C53F360DCD</t>
        </is>
      </c>
    </row>
    <row r="2121">
      <c r="B2121">
        <f>IFERROR(INDEX(Companies!$A$3:$A$101,MATCH(A2121,Companies!$B$3:$B$101,0)),"")</f>
        <v/>
      </c>
      <c r="D2121" t="inlineStr">
        <is>
          <t>E1F78C9E514A</t>
        </is>
      </c>
      <c r="E2121" s="24">
        <f>LEFT(D2121,2)&amp;":"&amp;MID(D2121,3,2)&amp;":"&amp;MID(D2121,5,2)&amp;":"&amp;MID(D2121,7,2)&amp;":"&amp;MID(D2121,9,2)&amp;":"&amp;RIGHT(D2121,2)</f>
        <v/>
      </c>
      <c r="H2121" t="inlineStr">
        <is>
          <t>15AB0CCF98D33C55</t>
        </is>
      </c>
      <c r="J2121" t="inlineStr">
        <is>
          <t>15AB0CCF98D33C55</t>
        </is>
      </c>
    </row>
    <row r="2122">
      <c r="B2122">
        <f>IFERROR(INDEX(Companies!$A$3:$A$101,MATCH(A2122,Companies!$B$3:$B$101,0)),"")</f>
        <v/>
      </c>
      <c r="D2122" t="inlineStr">
        <is>
          <t>E09281A3EFEF</t>
        </is>
      </c>
      <c r="E2122" s="24">
        <f>LEFT(D2122,2)&amp;":"&amp;MID(D2122,3,2)&amp;":"&amp;MID(D2122,5,2)&amp;":"&amp;MID(D2122,7,2)&amp;":"&amp;MID(D2122,9,2)&amp;":"&amp;RIGHT(D2122,2)</f>
        <v/>
      </c>
      <c r="H2122" t="inlineStr">
        <is>
          <t>731013EF871C7B97</t>
        </is>
      </c>
      <c r="J2122" t="inlineStr">
        <is>
          <t>731013EF871C7B97</t>
        </is>
      </c>
    </row>
    <row r="2123">
      <c r="B2123">
        <f>IFERROR(INDEX(Companies!$A$3:$A$101,MATCH(A2123,Companies!$B$3:$B$101,0)),"")</f>
        <v/>
      </c>
      <c r="D2123" t="inlineStr">
        <is>
          <t>E92CE3261FFB</t>
        </is>
      </c>
      <c r="E2123" s="24">
        <f>LEFT(D2123,2)&amp;":"&amp;MID(D2123,3,2)&amp;":"&amp;MID(D2123,5,2)&amp;":"&amp;MID(D2123,7,2)&amp;":"&amp;MID(D2123,9,2)&amp;":"&amp;RIGHT(D2123,2)</f>
        <v/>
      </c>
      <c r="H2123" t="inlineStr">
        <is>
          <t>D9718A4919EAE318</t>
        </is>
      </c>
      <c r="J2123" t="inlineStr">
        <is>
          <t>D9718A4919EAE318</t>
        </is>
      </c>
    </row>
    <row r="2124">
      <c r="B2124">
        <f>IFERROR(INDEX(Companies!$A$3:$A$101,MATCH(A2124,Companies!$B$3:$B$101,0)),"")</f>
        <v/>
      </c>
      <c r="D2124" t="inlineStr">
        <is>
          <t>E6C4ABFE769B</t>
        </is>
      </c>
      <c r="E2124" s="24">
        <f>LEFT(D2124,2)&amp;":"&amp;MID(D2124,3,2)&amp;":"&amp;MID(D2124,5,2)&amp;":"&amp;MID(D2124,7,2)&amp;":"&amp;MID(D2124,9,2)&amp;":"&amp;RIGHT(D2124,2)</f>
        <v/>
      </c>
      <c r="H2124" t="inlineStr">
        <is>
          <t>A1E590E53B84E681</t>
        </is>
      </c>
      <c r="J2124" t="inlineStr">
        <is>
          <t>A1E590E53B84E681</t>
        </is>
      </c>
    </row>
    <row r="2125">
      <c r="B2125">
        <f>IFERROR(INDEX(Companies!$A$3:$A$101,MATCH(A2125,Companies!$B$3:$B$101,0)),"")</f>
        <v/>
      </c>
      <c r="D2125" t="inlineStr">
        <is>
          <t>F8F0019EB92F</t>
        </is>
      </c>
      <c r="E2125" s="24">
        <f>LEFT(D2125,2)&amp;":"&amp;MID(D2125,3,2)&amp;":"&amp;MID(D2125,5,2)&amp;":"&amp;MID(D2125,7,2)&amp;":"&amp;MID(D2125,9,2)&amp;":"&amp;RIGHT(D2125,2)</f>
        <v/>
      </c>
      <c r="H2125" t="inlineStr">
        <is>
          <t>C41EB4A7B844BF71</t>
        </is>
      </c>
      <c r="J2125" t="inlineStr">
        <is>
          <t>C41EB4A7B844BF71</t>
        </is>
      </c>
    </row>
    <row r="2126">
      <c r="B2126">
        <f>IFERROR(INDEX(Companies!$A$3:$A$101,MATCH(A2126,Companies!$B$3:$B$101,0)),"")</f>
        <v/>
      </c>
      <c r="D2126" t="inlineStr">
        <is>
          <t>EF861D8FE3D2</t>
        </is>
      </c>
      <c r="E2126" s="24">
        <f>LEFT(D2126,2)&amp;":"&amp;MID(D2126,3,2)&amp;":"&amp;MID(D2126,5,2)&amp;":"&amp;MID(D2126,7,2)&amp;":"&amp;MID(D2126,9,2)&amp;":"&amp;RIGHT(D2126,2)</f>
        <v/>
      </c>
      <c r="H2126" t="inlineStr">
        <is>
          <t>E6B1C91E7F075B39</t>
        </is>
      </c>
      <c r="J2126" t="inlineStr">
        <is>
          <t>E6B1C91E7F075B39</t>
        </is>
      </c>
    </row>
    <row r="2127">
      <c r="B2127">
        <f>IFERROR(INDEX(Companies!$A$3:$A$101,MATCH(A2127,Companies!$B$3:$B$101,0)),"")</f>
        <v/>
      </c>
      <c r="D2127" t="inlineStr">
        <is>
          <t>F615E60EEF79</t>
        </is>
      </c>
      <c r="E2127" s="24">
        <f>LEFT(D2127,2)&amp;":"&amp;MID(D2127,3,2)&amp;":"&amp;MID(D2127,5,2)&amp;":"&amp;MID(D2127,7,2)&amp;":"&amp;MID(D2127,9,2)&amp;":"&amp;RIGHT(D2127,2)</f>
        <v/>
      </c>
      <c r="H2127" t="inlineStr">
        <is>
          <t>CF2DFEE90640FE15</t>
        </is>
      </c>
      <c r="J2127" t="inlineStr">
        <is>
          <t>CF2DFEE90640FE15</t>
        </is>
      </c>
    </row>
    <row r="2128">
      <c r="B2128">
        <f>IFERROR(INDEX(Companies!$A$3:$A$101,MATCH(A2128,Companies!$B$3:$B$101,0)),"")</f>
        <v/>
      </c>
      <c r="D2128" t="inlineStr">
        <is>
          <t>DBE6FE84959F</t>
        </is>
      </c>
      <c r="E2128" s="24">
        <f>LEFT(D2128,2)&amp;":"&amp;MID(D2128,3,2)&amp;":"&amp;MID(D2128,5,2)&amp;":"&amp;MID(D2128,7,2)&amp;":"&amp;MID(D2128,9,2)&amp;":"&amp;RIGHT(D2128,2)</f>
        <v/>
      </c>
      <c r="H2128" t="inlineStr">
        <is>
          <t>68F580470DDBDAA9</t>
        </is>
      </c>
      <c r="J2128" t="inlineStr">
        <is>
          <t>68F580470DDBDAA9</t>
        </is>
      </c>
    </row>
    <row r="2129">
      <c r="B2129">
        <f>IFERROR(INDEX(Companies!$A$3:$A$101,MATCH(A2129,Companies!$B$3:$B$101,0)),"")</f>
        <v/>
      </c>
      <c r="D2129" t="inlineStr">
        <is>
          <t>EA61A0BEB94E</t>
        </is>
      </c>
      <c r="E2129" s="24">
        <f>LEFT(D2129,2)&amp;":"&amp;MID(D2129,3,2)&amp;":"&amp;MID(D2129,5,2)&amp;":"&amp;MID(D2129,7,2)&amp;":"&amp;MID(D2129,9,2)&amp;":"&amp;RIGHT(D2129,2)</f>
        <v/>
      </c>
      <c r="H2129" t="inlineStr">
        <is>
          <t>A4CE78FB164C4D2B</t>
        </is>
      </c>
      <c r="J2129" t="inlineStr">
        <is>
          <t>A4CE78FB164C4D2B</t>
        </is>
      </c>
    </row>
    <row r="2130">
      <c r="B2130">
        <f>IFERROR(INDEX(Companies!$A$3:$A$101,MATCH(A2130,Companies!$B$3:$B$101,0)),"")</f>
        <v/>
      </c>
      <c r="D2130" t="inlineStr">
        <is>
          <t>FB7C25CDC2B6</t>
        </is>
      </c>
      <c r="E2130" s="24">
        <f>LEFT(D2130,2)&amp;":"&amp;MID(D2130,3,2)&amp;":"&amp;MID(D2130,5,2)&amp;":"&amp;MID(D2130,7,2)&amp;":"&amp;MID(D2130,9,2)&amp;":"&amp;RIGHT(D2130,2)</f>
        <v/>
      </c>
      <c r="H2130" t="inlineStr">
        <is>
          <t>C1C8FB560E649C9C</t>
        </is>
      </c>
      <c r="J2130" t="inlineStr">
        <is>
          <t>C1C8FB560E649C9C</t>
        </is>
      </c>
    </row>
    <row r="2131">
      <c r="B2131">
        <f>IFERROR(INDEX(Companies!$A$3:$A$101,MATCH(A2131,Companies!$B$3:$B$101,0)),"")</f>
        <v/>
      </c>
      <c r="D2131" t="inlineStr">
        <is>
          <t>CAF2ED7D9576</t>
        </is>
      </c>
      <c r="E2131" s="24">
        <f>LEFT(D2131,2)&amp;":"&amp;MID(D2131,3,2)&amp;":"&amp;MID(D2131,5,2)&amp;":"&amp;MID(D2131,7,2)&amp;":"&amp;MID(D2131,9,2)&amp;":"&amp;RIGHT(D2131,2)</f>
        <v/>
      </c>
      <c r="H2131" t="inlineStr">
        <is>
          <t>D940C8B1D691BE43</t>
        </is>
      </c>
      <c r="J2131" t="inlineStr">
        <is>
          <t>D940C8B1D691BE43</t>
        </is>
      </c>
    </row>
    <row r="2132">
      <c r="B2132">
        <f>IFERROR(INDEX(Companies!$A$3:$A$101,MATCH(A2132,Companies!$B$3:$B$101,0)),"")</f>
        <v/>
      </c>
      <c r="D2132" t="inlineStr">
        <is>
          <t>DAF08DD1978C</t>
        </is>
      </c>
      <c r="E2132" s="24">
        <f>LEFT(D2132,2)&amp;":"&amp;MID(D2132,3,2)&amp;":"&amp;MID(D2132,5,2)&amp;":"&amp;MID(D2132,7,2)&amp;":"&amp;MID(D2132,9,2)&amp;":"&amp;RIGHT(D2132,2)</f>
        <v/>
      </c>
      <c r="H2132" t="inlineStr">
        <is>
          <t>B8F1A471735FCBCA</t>
        </is>
      </c>
      <c r="J2132" t="inlineStr">
        <is>
          <t>B8F1A471735FCBCA</t>
        </is>
      </c>
    </row>
    <row r="2133">
      <c r="B2133">
        <f>IFERROR(INDEX(Companies!$A$3:$A$101,MATCH(A2133,Companies!$B$3:$B$101,0)),"")</f>
        <v/>
      </c>
      <c r="D2133" t="inlineStr">
        <is>
          <t>CAFD17353923</t>
        </is>
      </c>
      <c r="E2133" s="24">
        <f>LEFT(D2133,2)&amp;":"&amp;MID(D2133,3,2)&amp;":"&amp;MID(D2133,5,2)&amp;":"&amp;MID(D2133,7,2)&amp;":"&amp;MID(D2133,9,2)&amp;":"&amp;RIGHT(D2133,2)</f>
        <v/>
      </c>
      <c r="H2133" t="inlineStr">
        <is>
          <t>487F5547BFB94164</t>
        </is>
      </c>
      <c r="J2133" t="inlineStr">
        <is>
          <t>487F5547BFB94164</t>
        </is>
      </c>
    </row>
    <row r="2134">
      <c r="B2134">
        <f>IFERROR(INDEX(Companies!$A$3:$A$101,MATCH(A2134,Companies!$B$3:$B$101,0)),"")</f>
        <v/>
      </c>
      <c r="D2134" t="inlineStr">
        <is>
          <t>DB589A88EB34</t>
        </is>
      </c>
      <c r="E2134" s="24">
        <f>LEFT(D2134,2)&amp;":"&amp;MID(D2134,3,2)&amp;":"&amp;MID(D2134,5,2)&amp;":"&amp;MID(D2134,7,2)&amp;":"&amp;MID(D2134,9,2)&amp;":"&amp;RIGHT(D2134,2)</f>
        <v/>
      </c>
      <c r="H2134" t="inlineStr">
        <is>
          <t>E303CFF1DE74A031</t>
        </is>
      </c>
      <c r="J2134" t="inlineStr">
        <is>
          <t>E303CFF1DE74A031</t>
        </is>
      </c>
    </row>
    <row r="2135">
      <c r="B2135">
        <f>IFERROR(INDEX(Companies!$A$3:$A$101,MATCH(A2135,Companies!$B$3:$B$101,0)),"")</f>
        <v/>
      </c>
      <c r="D2135" t="inlineStr">
        <is>
          <t>F9906FF2EEA5</t>
        </is>
      </c>
      <c r="E2135" s="24">
        <f>LEFT(D2135,2)&amp;":"&amp;MID(D2135,3,2)&amp;":"&amp;MID(D2135,5,2)&amp;":"&amp;MID(D2135,7,2)&amp;":"&amp;MID(D2135,9,2)&amp;":"&amp;RIGHT(D2135,2)</f>
        <v/>
      </c>
      <c r="H2135" t="inlineStr">
        <is>
          <t>EFD8C5B0A189126C</t>
        </is>
      </c>
      <c r="J2135" t="inlineStr">
        <is>
          <t>EFD8C5B0A189126C</t>
        </is>
      </c>
    </row>
    <row r="2136">
      <c r="B2136">
        <f>IFERROR(INDEX(Companies!$A$3:$A$101,MATCH(A2136,Companies!$B$3:$B$101,0)),"")</f>
        <v/>
      </c>
      <c r="D2136" t="inlineStr">
        <is>
          <t>DB60ACE06A6C</t>
        </is>
      </c>
      <c r="E2136" s="24">
        <f>LEFT(D2136,2)&amp;":"&amp;MID(D2136,3,2)&amp;":"&amp;MID(D2136,5,2)&amp;":"&amp;MID(D2136,7,2)&amp;":"&amp;MID(D2136,9,2)&amp;":"&amp;RIGHT(D2136,2)</f>
        <v/>
      </c>
      <c r="H2136" t="inlineStr">
        <is>
          <t>C441753D96A55650</t>
        </is>
      </c>
      <c r="J2136" t="inlineStr">
        <is>
          <t>C441753D96A55650</t>
        </is>
      </c>
    </row>
    <row r="2137">
      <c r="B2137">
        <f>IFERROR(INDEX(Companies!$A$3:$A$101,MATCH(A2137,Companies!$B$3:$B$101,0)),"")</f>
        <v/>
      </c>
      <c r="D2137" t="inlineStr">
        <is>
          <t>D683AC2542FD</t>
        </is>
      </c>
      <c r="E2137" s="24">
        <f>LEFT(D2137,2)&amp;":"&amp;MID(D2137,3,2)&amp;":"&amp;MID(D2137,5,2)&amp;":"&amp;MID(D2137,7,2)&amp;":"&amp;MID(D2137,9,2)&amp;":"&amp;RIGHT(D2137,2)</f>
        <v/>
      </c>
      <c r="H2137" t="inlineStr">
        <is>
          <t>37B7AEF83C02CBEC</t>
        </is>
      </c>
      <c r="J2137" t="inlineStr">
        <is>
          <t>37B7AEF83C02CBEC</t>
        </is>
      </c>
    </row>
    <row r="2138">
      <c r="B2138">
        <f>IFERROR(INDEX(Companies!$A$3:$A$101,MATCH(A2138,Companies!$B$3:$B$101,0)),"")</f>
        <v/>
      </c>
      <c r="D2138" t="inlineStr">
        <is>
          <t>DB97FB462241</t>
        </is>
      </c>
      <c r="E2138" s="24">
        <f>LEFT(D2138,2)&amp;":"&amp;MID(D2138,3,2)&amp;":"&amp;MID(D2138,5,2)&amp;":"&amp;MID(D2138,7,2)&amp;":"&amp;MID(D2138,9,2)&amp;":"&amp;RIGHT(D2138,2)</f>
        <v/>
      </c>
      <c r="H2138" t="inlineStr">
        <is>
          <t>1DD80B1B40264D40</t>
        </is>
      </c>
    </row>
    <row r="2139">
      <c r="B2139">
        <f>IFERROR(INDEX(Companies!$A$3:$A$101,MATCH(A2139,Companies!$B$3:$B$101,0)),"")</f>
        <v/>
      </c>
      <c r="D2139" t="inlineStr">
        <is>
          <t>DFBF965EBF14</t>
        </is>
      </c>
      <c r="E2139" s="24">
        <f>LEFT(D2139,2)&amp;":"&amp;MID(D2139,3,2)&amp;":"&amp;MID(D2139,5,2)&amp;":"&amp;MID(D2139,7,2)&amp;":"&amp;MID(D2139,9,2)&amp;":"&amp;RIGHT(D2139,2)</f>
        <v/>
      </c>
      <c r="H2139" t="inlineStr">
        <is>
          <t>49ECCDC4F75F3DC3</t>
        </is>
      </c>
      <c r="J2139" t="inlineStr">
        <is>
          <t>49ECCDC4F75F3DC3</t>
        </is>
      </c>
    </row>
    <row r="2140">
      <c r="B2140">
        <f>IFERROR(INDEX(Companies!$A$3:$A$101,MATCH(A2140,Companies!$B$3:$B$101,0)),"")</f>
        <v/>
      </c>
      <c r="D2140" t="inlineStr">
        <is>
          <t>D3E1BC4006C5</t>
        </is>
      </c>
      <c r="E2140" s="24">
        <f>LEFT(D2140,2)&amp;":"&amp;MID(D2140,3,2)&amp;":"&amp;MID(D2140,5,2)&amp;":"&amp;MID(D2140,7,2)&amp;":"&amp;MID(D2140,9,2)&amp;":"&amp;RIGHT(D2140,2)</f>
        <v/>
      </c>
      <c r="H2140" t="inlineStr">
        <is>
          <t>6CB8E9464E8D9DA4</t>
        </is>
      </c>
      <c r="J2140" t="inlineStr">
        <is>
          <t>6CB8E9464E8D9DA4</t>
        </is>
      </c>
    </row>
    <row r="2141">
      <c r="B2141">
        <f>IFERROR(INDEX(Companies!$A$3:$A$101,MATCH(A2141,Companies!$B$3:$B$101,0)),"")</f>
        <v/>
      </c>
      <c r="D2141" t="inlineStr">
        <is>
          <t>F83A5F1E4F02</t>
        </is>
      </c>
      <c r="E2141" s="24">
        <f>LEFT(D2141,2)&amp;":"&amp;MID(D2141,3,2)&amp;":"&amp;MID(D2141,5,2)&amp;":"&amp;MID(D2141,7,2)&amp;":"&amp;MID(D2141,9,2)&amp;":"&amp;RIGHT(D2141,2)</f>
        <v/>
      </c>
      <c r="H2141" t="inlineStr">
        <is>
          <t>558DE7F68E21CF92</t>
        </is>
      </c>
      <c r="J2141" t="inlineStr">
        <is>
          <t>558DE7F68E21CF92</t>
        </is>
      </c>
    </row>
    <row r="2142">
      <c r="B2142">
        <f>IFERROR(INDEX(Companies!$A$3:$A$101,MATCH(A2142,Companies!$B$3:$B$101,0)),"")</f>
        <v/>
      </c>
      <c r="D2142" t="inlineStr">
        <is>
          <t>D0C347B14867</t>
        </is>
      </c>
      <c r="E2142" s="24">
        <f>LEFT(D2142,2)&amp;":"&amp;MID(D2142,3,2)&amp;":"&amp;MID(D2142,5,2)&amp;":"&amp;MID(D2142,7,2)&amp;":"&amp;MID(D2142,9,2)&amp;":"&amp;RIGHT(D2142,2)</f>
        <v/>
      </c>
      <c r="H2142" s="18" t="inlineStr">
        <is>
          <t>50E89296EA72B25E</t>
        </is>
      </c>
      <c r="J2142" t="inlineStr">
        <is>
          <t>50E89296EA72B25E</t>
        </is>
      </c>
    </row>
    <row r="2143">
      <c r="B2143">
        <f>IFERROR(INDEX(Companies!$A$3:$A$101,MATCH(A2143,Companies!$B$3:$B$101,0)),"")</f>
        <v/>
      </c>
      <c r="D2143" t="inlineStr">
        <is>
          <t>C52604A9DB5D</t>
        </is>
      </c>
      <c r="E2143" s="24">
        <f>LEFT(D2143,2)&amp;":"&amp;MID(D2143,3,2)&amp;":"&amp;MID(D2143,5,2)&amp;":"&amp;MID(D2143,7,2)&amp;":"&amp;MID(D2143,9,2)&amp;":"&amp;RIGHT(D2143,2)</f>
        <v/>
      </c>
      <c r="H2143" t="inlineStr">
        <is>
          <t>8EBE1AAEFB74CAAF</t>
        </is>
      </c>
      <c r="J2143" t="inlineStr">
        <is>
          <t>8EBE1AAEFB74CAAF</t>
        </is>
      </c>
    </row>
    <row r="2144">
      <c r="B2144">
        <f>IFERROR(INDEX(Companies!$A$3:$A$101,MATCH(A2144,Companies!$B$3:$B$101,0)),"")</f>
        <v/>
      </c>
      <c r="D2144" t="inlineStr">
        <is>
          <t>EF4692AE32F4</t>
        </is>
      </c>
      <c r="E2144" s="24">
        <f>LEFT(D2144,2)&amp;":"&amp;MID(D2144,3,2)&amp;":"&amp;MID(D2144,5,2)&amp;":"&amp;MID(D2144,7,2)&amp;":"&amp;MID(D2144,9,2)&amp;":"&amp;RIGHT(D2144,2)</f>
        <v/>
      </c>
      <c r="H2144" t="inlineStr">
        <is>
          <t>18AF97CBB962C0E9</t>
        </is>
      </c>
      <c r="J2144" t="inlineStr">
        <is>
          <t>18AF97CBB962C0E9</t>
        </is>
      </c>
    </row>
    <row r="2145">
      <c r="B2145">
        <f>IFERROR(INDEX(Companies!$A$3:$A$101,MATCH(A2145,Companies!$B$3:$B$101,0)),"")</f>
        <v/>
      </c>
      <c r="D2145" t="inlineStr">
        <is>
          <t>D75382B946D0</t>
        </is>
      </c>
      <c r="E2145" s="24">
        <f>LEFT(D2145,2)&amp;":"&amp;MID(D2145,3,2)&amp;":"&amp;MID(D2145,5,2)&amp;":"&amp;MID(D2145,7,2)&amp;":"&amp;MID(D2145,9,2)&amp;":"&amp;RIGHT(D2145,2)</f>
        <v/>
      </c>
      <c r="H2145" t="inlineStr">
        <is>
          <t>8AE83EB03F3549E0</t>
        </is>
      </c>
    </row>
    <row r="2146">
      <c r="B2146">
        <f>IFERROR(INDEX(Companies!$A$3:$A$101,MATCH(A2146,Companies!$B$3:$B$101,0)),"")</f>
        <v/>
      </c>
      <c r="D2146" t="inlineStr">
        <is>
          <t>C1F64CBFA7CD</t>
        </is>
      </c>
      <c r="E2146" s="24">
        <f>LEFT(D2146,2)&amp;":"&amp;MID(D2146,3,2)&amp;":"&amp;MID(D2146,5,2)&amp;":"&amp;MID(D2146,7,2)&amp;":"&amp;MID(D2146,9,2)&amp;":"&amp;RIGHT(D2146,2)</f>
        <v/>
      </c>
      <c r="H2146" t="inlineStr">
        <is>
          <t>186E90AB0903D792</t>
        </is>
      </c>
      <c r="J2146" t="inlineStr">
        <is>
          <t>186E90AB0903D792</t>
        </is>
      </c>
    </row>
    <row r="2147">
      <c r="B2147">
        <f>IFERROR(INDEX(Companies!$A$3:$A$101,MATCH(A2147,Companies!$B$3:$B$101,0)),"")</f>
        <v/>
      </c>
      <c r="D2147" t="inlineStr">
        <is>
          <t>DD4355C09D25</t>
        </is>
      </c>
      <c r="E2147" s="24">
        <f>LEFT(D2147,2)&amp;":"&amp;MID(D2147,3,2)&amp;":"&amp;MID(D2147,5,2)&amp;":"&amp;MID(D2147,7,2)&amp;":"&amp;MID(D2147,9,2)&amp;":"&amp;RIGHT(D2147,2)</f>
        <v/>
      </c>
      <c r="H2147" t="inlineStr">
        <is>
          <t>F0F551152016BF7E</t>
        </is>
      </c>
      <c r="J2147" t="inlineStr">
        <is>
          <t>F0F551152016BF7E</t>
        </is>
      </c>
    </row>
    <row r="2148">
      <c r="B2148">
        <f>IFERROR(INDEX(Companies!$A$3:$A$101,MATCH(A2148,Companies!$B$3:$B$101,0)),"")</f>
        <v/>
      </c>
      <c r="D2148" t="inlineStr">
        <is>
          <t>EFAEFDF34042</t>
        </is>
      </c>
      <c r="E2148" s="24">
        <f>LEFT(D2148,2)&amp;":"&amp;MID(D2148,3,2)&amp;":"&amp;MID(D2148,5,2)&amp;":"&amp;MID(D2148,7,2)&amp;":"&amp;MID(D2148,9,2)&amp;":"&amp;RIGHT(D2148,2)</f>
        <v/>
      </c>
      <c r="H2148" t="inlineStr">
        <is>
          <t>4DBE0D0824A0673F</t>
        </is>
      </c>
      <c r="J2148" t="inlineStr">
        <is>
          <t>4DBE0D0824A0673F</t>
        </is>
      </c>
    </row>
    <row r="2149">
      <c r="B2149">
        <f>IFERROR(INDEX(Companies!$A$3:$A$101,MATCH(A2149,Companies!$B$3:$B$101,0)),"")</f>
        <v/>
      </c>
      <c r="D2149" t="inlineStr">
        <is>
          <t>C7111E7BE5C7</t>
        </is>
      </c>
      <c r="E2149" s="24">
        <f>LEFT(D2149,2)&amp;":"&amp;MID(D2149,3,2)&amp;":"&amp;MID(D2149,5,2)&amp;":"&amp;MID(D2149,7,2)&amp;":"&amp;MID(D2149,9,2)&amp;":"&amp;RIGHT(D2149,2)</f>
        <v/>
      </c>
      <c r="H2149" t="inlineStr">
        <is>
          <t>8A18C592E11A9151</t>
        </is>
      </c>
      <c r="J2149" t="inlineStr">
        <is>
          <t>8A18C592E11A9151</t>
        </is>
      </c>
    </row>
    <row r="2150">
      <c r="B2150">
        <f>IFERROR(INDEX(Companies!$A$3:$A$101,MATCH(A2150,Companies!$B$3:$B$101,0)),"")</f>
        <v/>
      </c>
      <c r="D2150" t="inlineStr">
        <is>
          <t>F2E32F105EDB</t>
        </is>
      </c>
      <c r="E2150" s="24">
        <f>LEFT(D2150,2)&amp;":"&amp;MID(D2150,3,2)&amp;":"&amp;MID(D2150,5,2)&amp;":"&amp;MID(D2150,7,2)&amp;":"&amp;MID(D2150,9,2)&amp;":"&amp;RIGHT(D2150,2)</f>
        <v/>
      </c>
      <c r="H2150" t="inlineStr">
        <is>
          <t>7316B54D51A35BD2</t>
        </is>
      </c>
      <c r="J2150" t="inlineStr">
        <is>
          <t>7316B54D51A35BD2</t>
        </is>
      </c>
    </row>
    <row r="2151">
      <c r="B2151">
        <f>IFERROR(INDEX(Companies!$A$3:$A$101,MATCH(A2151,Companies!$B$3:$B$101,0)),"")</f>
        <v/>
      </c>
      <c r="D2151" t="inlineStr">
        <is>
          <t>F8720A0BD98F</t>
        </is>
      </c>
      <c r="E2151" s="24">
        <f>LEFT(D2151,2)&amp;":"&amp;MID(D2151,3,2)&amp;":"&amp;MID(D2151,5,2)&amp;":"&amp;MID(D2151,7,2)&amp;":"&amp;MID(D2151,9,2)&amp;":"&amp;RIGHT(D2151,2)</f>
        <v/>
      </c>
      <c r="H2151" t="inlineStr">
        <is>
          <t>86F89D6691226C82</t>
        </is>
      </c>
      <c r="J2151" t="inlineStr">
        <is>
          <t>86F89D6691226C82</t>
        </is>
      </c>
    </row>
    <row r="2152">
      <c r="B2152">
        <f>IFERROR(INDEX(Companies!$A$3:$A$101,MATCH(A2152,Companies!$B$3:$B$101,0)),"")</f>
        <v/>
      </c>
      <c r="D2152" t="inlineStr">
        <is>
          <t>E33E706D96B5</t>
        </is>
      </c>
      <c r="E2152" s="24">
        <f>LEFT(D2152,2)&amp;":"&amp;MID(D2152,3,2)&amp;":"&amp;MID(D2152,5,2)&amp;":"&amp;MID(D2152,7,2)&amp;":"&amp;MID(D2152,9,2)&amp;":"&amp;RIGHT(D2152,2)</f>
        <v/>
      </c>
      <c r="H2152" t="inlineStr">
        <is>
          <t>10124C9F8C6AE9E2</t>
        </is>
      </c>
      <c r="J2152" t="inlineStr">
        <is>
          <t>10124C9F8C6AE9E2</t>
        </is>
      </c>
    </row>
    <row r="2153">
      <c r="B2153">
        <f>IFERROR(INDEX(Companies!$A$3:$A$101,MATCH(A2153,Companies!$B$3:$B$101,0)),"")</f>
        <v/>
      </c>
      <c r="D2153" t="inlineStr">
        <is>
          <t>F37A1342CEB3</t>
        </is>
      </c>
      <c r="E2153" s="24">
        <f>LEFT(D2153,2)&amp;":"&amp;MID(D2153,3,2)&amp;":"&amp;MID(D2153,5,2)&amp;":"&amp;MID(D2153,7,2)&amp;":"&amp;MID(D2153,9,2)&amp;":"&amp;RIGHT(D2153,2)</f>
        <v/>
      </c>
      <c r="H2153" t="inlineStr">
        <is>
          <t>040C58ED8F6AF89D</t>
        </is>
      </c>
      <c r="J2153" t="inlineStr">
        <is>
          <t>040C58ED8F6AF89D</t>
        </is>
      </c>
    </row>
    <row r="2154">
      <c r="B2154">
        <f>IFERROR(INDEX(Companies!$A$3:$A$101,MATCH(A2154,Companies!$B$3:$B$101,0)),"")</f>
        <v/>
      </c>
      <c r="D2154" t="inlineStr">
        <is>
          <t>EDBBE11476C5</t>
        </is>
      </c>
      <c r="E2154" s="24">
        <f>LEFT(D2154,2)&amp;":"&amp;MID(D2154,3,2)&amp;":"&amp;MID(D2154,5,2)&amp;":"&amp;MID(D2154,7,2)&amp;":"&amp;MID(D2154,9,2)&amp;":"&amp;RIGHT(D2154,2)</f>
        <v/>
      </c>
      <c r="H2154" t="inlineStr">
        <is>
          <t>982215BF489604DD</t>
        </is>
      </c>
      <c r="J2154" t="inlineStr">
        <is>
          <t>982215BF489604DD</t>
        </is>
      </c>
    </row>
    <row r="2155">
      <c r="B2155">
        <f>IFERROR(INDEX(Companies!$A$3:$A$101,MATCH(A2155,Companies!$B$3:$B$101,0)),"")</f>
        <v/>
      </c>
      <c r="D2155" t="inlineStr">
        <is>
          <t>F56F16D8155E</t>
        </is>
      </c>
      <c r="E2155" s="24">
        <f>LEFT(D2155,2)&amp;":"&amp;MID(D2155,3,2)&amp;":"&amp;MID(D2155,5,2)&amp;":"&amp;MID(D2155,7,2)&amp;":"&amp;MID(D2155,9,2)&amp;":"&amp;RIGHT(D2155,2)</f>
        <v/>
      </c>
      <c r="H2155" t="inlineStr">
        <is>
          <t>5402DDDEC94C4023</t>
        </is>
      </c>
      <c r="J2155" t="inlineStr">
        <is>
          <t>5402DDDEC94C4023</t>
        </is>
      </c>
    </row>
    <row r="2156">
      <c r="B2156">
        <f>IFERROR(INDEX(Companies!$A$3:$A$101,MATCH(A2156,Companies!$B$3:$B$101,0)),"")</f>
        <v/>
      </c>
      <c r="D2156" t="inlineStr">
        <is>
          <t>DC2DA0FE51C3</t>
        </is>
      </c>
      <c r="E2156" s="24">
        <f>LEFT(D2156,2)&amp;":"&amp;MID(D2156,3,2)&amp;":"&amp;MID(D2156,5,2)&amp;":"&amp;MID(D2156,7,2)&amp;":"&amp;MID(D2156,9,2)&amp;":"&amp;RIGHT(D2156,2)</f>
        <v/>
      </c>
      <c r="H2156" t="inlineStr">
        <is>
          <t>BFD00ECFFDC6D2BF</t>
        </is>
      </c>
    </row>
    <row r="2157">
      <c r="B2157">
        <f>IFERROR(INDEX(Companies!$A$3:$A$101,MATCH(A2157,Companies!$B$3:$B$101,0)),"")</f>
        <v/>
      </c>
      <c r="D2157" t="inlineStr">
        <is>
          <t>F07F4F4758C9</t>
        </is>
      </c>
      <c r="E2157" s="24">
        <f>LEFT(D2157,2)&amp;":"&amp;MID(D2157,3,2)&amp;":"&amp;MID(D2157,5,2)&amp;":"&amp;MID(D2157,7,2)&amp;":"&amp;MID(D2157,9,2)&amp;":"&amp;RIGHT(D2157,2)</f>
        <v/>
      </c>
      <c r="H2157" s="18" t="inlineStr">
        <is>
          <t>94E6789B6445E87B</t>
        </is>
      </c>
      <c r="J2157" t="inlineStr">
        <is>
          <t>94E6789B6445E87B</t>
        </is>
      </c>
    </row>
    <row r="2158">
      <c r="B2158">
        <f>IFERROR(INDEX(Companies!$A$3:$A$101,MATCH(A2158,Companies!$B$3:$B$101,0)),"")</f>
        <v/>
      </c>
      <c r="D2158" t="inlineStr">
        <is>
          <t>E4619BA34ED1</t>
        </is>
      </c>
      <c r="E2158" s="24">
        <f>LEFT(D2158,2)&amp;":"&amp;MID(D2158,3,2)&amp;":"&amp;MID(D2158,5,2)&amp;":"&amp;MID(D2158,7,2)&amp;":"&amp;MID(D2158,9,2)&amp;":"&amp;RIGHT(D2158,2)</f>
        <v/>
      </c>
      <c r="H2158" t="inlineStr">
        <is>
          <t>CBCEE99E58EFC24A</t>
        </is>
      </c>
      <c r="J2158" t="inlineStr">
        <is>
          <t>CBCEE99E58EFC24A</t>
        </is>
      </c>
    </row>
    <row r="2159">
      <c r="B2159">
        <f>IFERROR(INDEX(Companies!$A$3:$A$101,MATCH(A2159,Companies!$B$3:$B$101,0)),"")</f>
        <v/>
      </c>
      <c r="D2159" t="inlineStr">
        <is>
          <t>F47826AEFE55</t>
        </is>
      </c>
      <c r="E2159" s="24">
        <f>LEFT(D2159,2)&amp;":"&amp;MID(D2159,3,2)&amp;":"&amp;MID(D2159,5,2)&amp;":"&amp;MID(D2159,7,2)&amp;":"&amp;MID(D2159,9,2)&amp;":"&amp;RIGHT(D2159,2)</f>
        <v/>
      </c>
      <c r="H2159" t="inlineStr">
        <is>
          <t>F2576DCB158E5584</t>
        </is>
      </c>
      <c r="J2159" t="inlineStr">
        <is>
          <t>F2576DCB158E5584</t>
        </is>
      </c>
    </row>
    <row r="2160">
      <c r="B2160">
        <f>IFERROR(INDEX(Companies!$A$3:$A$101,MATCH(A2160,Companies!$B$3:$B$101,0)),"")</f>
        <v/>
      </c>
      <c r="D2160" t="inlineStr">
        <is>
          <t>E6F1FAEDE49A</t>
        </is>
      </c>
      <c r="E2160" s="24">
        <f>LEFT(D2160,2)&amp;":"&amp;MID(D2160,3,2)&amp;":"&amp;MID(D2160,5,2)&amp;":"&amp;MID(D2160,7,2)&amp;":"&amp;MID(D2160,9,2)&amp;":"&amp;RIGHT(D2160,2)</f>
        <v/>
      </c>
      <c r="H2160" t="inlineStr">
        <is>
          <t>5EDD3F730F3339C5</t>
        </is>
      </c>
      <c r="J2160" t="inlineStr">
        <is>
          <t>5EDD3F730F3339C5</t>
        </is>
      </c>
    </row>
    <row r="2161">
      <c r="B2161">
        <f>IFERROR(INDEX(Companies!$A$3:$A$101,MATCH(A2161,Companies!$B$3:$B$101,0)),"")</f>
        <v/>
      </c>
      <c r="D2161" t="inlineStr">
        <is>
          <t>F5EBDDBF986A</t>
        </is>
      </c>
      <c r="E2161" s="24">
        <f>LEFT(D2161,2)&amp;":"&amp;MID(D2161,3,2)&amp;":"&amp;MID(D2161,5,2)&amp;":"&amp;MID(D2161,7,2)&amp;":"&amp;MID(D2161,9,2)&amp;":"&amp;RIGHT(D2161,2)</f>
        <v/>
      </c>
      <c r="H2161" t="inlineStr">
        <is>
          <t>DBFA1EC5A8677886</t>
        </is>
      </c>
      <c r="J2161" t="inlineStr">
        <is>
          <t>DBFA1EC5A8677886</t>
        </is>
      </c>
    </row>
    <row r="2162">
      <c r="B2162">
        <f>IFERROR(INDEX(Companies!$A$3:$A$101,MATCH(A2162,Companies!$B$3:$B$101,0)),"")</f>
        <v/>
      </c>
      <c r="D2162" t="inlineStr">
        <is>
          <t>D282382573A4</t>
        </is>
      </c>
      <c r="E2162" s="24">
        <f>LEFT(D2162,2)&amp;":"&amp;MID(D2162,3,2)&amp;":"&amp;MID(D2162,5,2)&amp;":"&amp;MID(D2162,7,2)&amp;":"&amp;MID(D2162,9,2)&amp;":"&amp;RIGHT(D2162,2)</f>
        <v/>
      </c>
      <c r="H2162" t="inlineStr">
        <is>
          <t>C8AC79BB01DD22DF</t>
        </is>
      </c>
      <c r="J2162" t="inlineStr">
        <is>
          <t>C8AC79BB01DD22DF</t>
        </is>
      </c>
    </row>
    <row r="2163">
      <c r="B2163">
        <f>IFERROR(INDEX(Companies!$A$3:$A$101,MATCH(A2163,Companies!$B$3:$B$101,0)),"")</f>
        <v/>
      </c>
      <c r="D2163" t="inlineStr">
        <is>
          <t>E61A4C2D2051</t>
        </is>
      </c>
      <c r="E2163" s="24">
        <f>LEFT(D2163,2)&amp;":"&amp;MID(D2163,3,2)&amp;":"&amp;MID(D2163,5,2)&amp;":"&amp;MID(D2163,7,2)&amp;":"&amp;MID(D2163,9,2)&amp;":"&amp;RIGHT(D2163,2)</f>
        <v/>
      </c>
      <c r="H2163" t="inlineStr">
        <is>
          <t>80C1FC0B336E8580</t>
        </is>
      </c>
      <c r="J2163" t="inlineStr">
        <is>
          <t>80C1FC0B336E8580</t>
        </is>
      </c>
    </row>
    <row r="2164">
      <c r="B2164">
        <f>IFERROR(INDEX(Companies!$A$3:$A$101,MATCH(A2164,Companies!$B$3:$B$101,0)),"")</f>
        <v/>
      </c>
      <c r="D2164" t="inlineStr">
        <is>
          <t>D7A559D85E56</t>
        </is>
      </c>
      <c r="E2164" s="24">
        <f>LEFT(D2164,2)&amp;":"&amp;MID(D2164,3,2)&amp;":"&amp;MID(D2164,5,2)&amp;":"&amp;MID(D2164,7,2)&amp;":"&amp;MID(D2164,9,2)&amp;":"&amp;RIGHT(D2164,2)</f>
        <v/>
      </c>
      <c r="H2164" t="inlineStr">
        <is>
          <t>B9312B7A510B36E5</t>
        </is>
      </c>
      <c r="J2164" t="inlineStr">
        <is>
          <t>B9312B7A510B36E5</t>
        </is>
      </c>
    </row>
    <row r="2165">
      <c r="B2165">
        <f>IFERROR(INDEX(Companies!$A$3:$A$101,MATCH(A2165,Companies!$B$3:$B$101,0)),"")</f>
        <v/>
      </c>
      <c r="D2165" t="inlineStr">
        <is>
          <t>E377360F250C</t>
        </is>
      </c>
      <c r="E2165" s="24">
        <f>LEFT(D2165,2)&amp;":"&amp;MID(D2165,3,2)&amp;":"&amp;MID(D2165,5,2)&amp;":"&amp;MID(D2165,7,2)&amp;":"&amp;MID(D2165,9,2)&amp;":"&amp;RIGHT(D2165,2)</f>
        <v/>
      </c>
      <c r="H2165" t="inlineStr">
        <is>
          <t>0C921E2A920730F6</t>
        </is>
      </c>
      <c r="J2165" t="inlineStr">
        <is>
          <t>0C921E2A920730F6</t>
        </is>
      </c>
    </row>
    <row r="2166">
      <c r="B2166">
        <f>IFERROR(INDEX(Companies!$A$3:$A$101,MATCH(A2166,Companies!$B$3:$B$101,0)),"")</f>
        <v/>
      </c>
      <c r="D2166" t="inlineStr">
        <is>
          <t>C554D7506D59</t>
        </is>
      </c>
      <c r="E2166" s="24">
        <f>LEFT(D2166,2)&amp;":"&amp;MID(D2166,3,2)&amp;":"&amp;MID(D2166,5,2)&amp;":"&amp;MID(D2166,7,2)&amp;":"&amp;MID(D2166,9,2)&amp;":"&amp;RIGHT(D2166,2)</f>
        <v/>
      </c>
      <c r="H2166" t="inlineStr">
        <is>
          <t>6AAFE8AD1EA66768</t>
        </is>
      </c>
      <c r="J2166" t="inlineStr">
        <is>
          <t>6AAFE8AD1EA66768</t>
        </is>
      </c>
    </row>
    <row r="2167">
      <c r="B2167">
        <f>IFERROR(INDEX(Companies!$A$3:$A$101,MATCH(A2167,Companies!$B$3:$B$101,0)),"")</f>
        <v/>
      </c>
      <c r="D2167" t="inlineStr">
        <is>
          <t>F688D08499E5</t>
        </is>
      </c>
      <c r="E2167" s="24">
        <f>LEFT(D2167,2)&amp;":"&amp;MID(D2167,3,2)&amp;":"&amp;MID(D2167,5,2)&amp;":"&amp;MID(D2167,7,2)&amp;":"&amp;MID(D2167,9,2)&amp;":"&amp;RIGHT(D2167,2)</f>
        <v/>
      </c>
      <c r="H2167" t="inlineStr">
        <is>
          <t>E177917BE4EB4AC6</t>
        </is>
      </c>
      <c r="J2167" t="inlineStr">
        <is>
          <t>E177917BE4EB4AC6</t>
        </is>
      </c>
    </row>
    <row r="2168">
      <c r="B2168">
        <f>IFERROR(INDEX(Companies!$A$3:$A$101,MATCH(A2168,Companies!$B$3:$B$101,0)),"")</f>
        <v/>
      </c>
      <c r="D2168" t="inlineStr">
        <is>
          <t>F2659F49D1BD</t>
        </is>
      </c>
      <c r="E2168" s="24">
        <f>LEFT(D2168,2)&amp;":"&amp;MID(D2168,3,2)&amp;":"&amp;MID(D2168,5,2)&amp;":"&amp;MID(D2168,7,2)&amp;":"&amp;MID(D2168,9,2)&amp;":"&amp;RIGHT(D2168,2)</f>
        <v/>
      </c>
      <c r="H2168" t="inlineStr">
        <is>
          <t>7A02B72E6CB9F22C</t>
        </is>
      </c>
      <c r="J2168" t="inlineStr">
        <is>
          <t>7A02B72E6CB9F22C</t>
        </is>
      </c>
    </row>
    <row r="2169">
      <c r="B2169">
        <f>IFERROR(INDEX(Companies!$A$3:$A$101,MATCH(A2169,Companies!$B$3:$B$101,0)),"")</f>
        <v/>
      </c>
      <c r="D2169" t="inlineStr">
        <is>
          <t>D7376DF34164</t>
        </is>
      </c>
      <c r="E2169" s="24">
        <f>LEFT(D2169,2)&amp;":"&amp;MID(D2169,3,2)&amp;":"&amp;MID(D2169,5,2)&amp;":"&amp;MID(D2169,7,2)&amp;":"&amp;MID(D2169,9,2)&amp;":"&amp;RIGHT(D2169,2)</f>
        <v/>
      </c>
      <c r="H2169" t="inlineStr">
        <is>
          <t>7AC7E0D00DC1C99C</t>
        </is>
      </c>
      <c r="J2169" t="inlineStr">
        <is>
          <t>7AC7E0D00DC1C99C</t>
        </is>
      </c>
    </row>
    <row r="2170">
      <c r="B2170">
        <f>IFERROR(INDEX(Companies!$A$3:$A$101,MATCH(A2170,Companies!$B$3:$B$101,0)),"")</f>
        <v/>
      </c>
      <c r="D2170" t="inlineStr">
        <is>
          <t>F9C29FC66A21</t>
        </is>
      </c>
      <c r="E2170" s="24">
        <f>LEFT(D2170,2)&amp;":"&amp;MID(D2170,3,2)&amp;":"&amp;MID(D2170,5,2)&amp;":"&amp;MID(D2170,7,2)&amp;":"&amp;MID(D2170,9,2)&amp;":"&amp;RIGHT(D2170,2)</f>
        <v/>
      </c>
      <c r="H2170" t="inlineStr">
        <is>
          <t>610FE71F81230FAC</t>
        </is>
      </c>
      <c r="J2170" t="inlineStr">
        <is>
          <t>610FE71F81230FAC</t>
        </is>
      </c>
    </row>
    <row r="2171">
      <c r="B2171">
        <f>IFERROR(INDEX(Companies!$A$3:$A$101,MATCH(A2171,Companies!$B$3:$B$101,0)),"")</f>
        <v/>
      </c>
      <c r="D2171" t="inlineStr">
        <is>
          <t>EFB2C545733A</t>
        </is>
      </c>
      <c r="E2171" s="24">
        <f>LEFT(D2171,2)&amp;":"&amp;MID(D2171,3,2)&amp;":"&amp;MID(D2171,5,2)&amp;":"&amp;MID(D2171,7,2)&amp;":"&amp;MID(D2171,9,2)&amp;":"&amp;RIGHT(D2171,2)</f>
        <v/>
      </c>
      <c r="H2171" t="inlineStr">
        <is>
          <t>DD7DFD21A1EF350D</t>
        </is>
      </c>
      <c r="J2171" t="inlineStr">
        <is>
          <t>DD7DFD21A1EF350D</t>
        </is>
      </c>
    </row>
    <row r="2172">
      <c r="B2172">
        <f>IFERROR(INDEX(Companies!$A$3:$A$101,MATCH(A2172,Companies!$B$3:$B$101,0)),"")</f>
        <v/>
      </c>
      <c r="D2172" t="inlineStr">
        <is>
          <t>D77636A968F1</t>
        </is>
      </c>
      <c r="E2172" s="24">
        <f>LEFT(D2172,2)&amp;":"&amp;MID(D2172,3,2)&amp;":"&amp;MID(D2172,5,2)&amp;":"&amp;MID(D2172,7,2)&amp;":"&amp;MID(D2172,9,2)&amp;":"&amp;RIGHT(D2172,2)</f>
        <v/>
      </c>
      <c r="H2172" t="inlineStr">
        <is>
          <t>9974A2F99A2594EB</t>
        </is>
      </c>
      <c r="J2172" t="inlineStr">
        <is>
          <t>9974A2F99A2594EB</t>
        </is>
      </c>
    </row>
    <row r="2173">
      <c r="B2173">
        <f>IFERROR(INDEX(Companies!$A$3:$A$101,MATCH(A2173,Companies!$B$3:$B$101,0)),"")</f>
        <v/>
      </c>
      <c r="D2173" t="inlineStr">
        <is>
          <t>F9037A0EF0AA</t>
        </is>
      </c>
      <c r="E2173" s="24">
        <f>LEFT(D2173,2)&amp;":"&amp;MID(D2173,3,2)&amp;":"&amp;MID(D2173,5,2)&amp;":"&amp;MID(D2173,7,2)&amp;":"&amp;MID(D2173,9,2)&amp;":"&amp;RIGHT(D2173,2)</f>
        <v/>
      </c>
      <c r="H2173" t="inlineStr">
        <is>
          <t>FADC165E9679453A</t>
        </is>
      </c>
      <c r="J2173" t="inlineStr">
        <is>
          <t>FADC165E9679453A</t>
        </is>
      </c>
    </row>
    <row r="2174">
      <c r="B2174">
        <f>IFERROR(INDEX(Companies!$A$3:$A$101,MATCH(A2174,Companies!$B$3:$B$101,0)),"")</f>
        <v/>
      </c>
      <c r="D2174" t="inlineStr">
        <is>
          <t>C7CEB10563A7</t>
        </is>
      </c>
      <c r="E2174" s="24">
        <f>LEFT(D2174,2)&amp;":"&amp;MID(D2174,3,2)&amp;":"&amp;MID(D2174,5,2)&amp;":"&amp;MID(D2174,7,2)&amp;":"&amp;MID(D2174,9,2)&amp;":"&amp;RIGHT(D2174,2)</f>
        <v/>
      </c>
      <c r="H2174" t="inlineStr">
        <is>
          <t>CABEB0EB704D7E03</t>
        </is>
      </c>
      <c r="J2174" t="inlineStr">
        <is>
          <t>CABEB0EB704D7E03</t>
        </is>
      </c>
    </row>
    <row r="2175">
      <c r="B2175">
        <f>IFERROR(INDEX(Companies!$A$3:$A$101,MATCH(A2175,Companies!$B$3:$B$101,0)),"")</f>
        <v/>
      </c>
      <c r="D2175" t="inlineStr">
        <is>
          <t>CDE596D008A6</t>
        </is>
      </c>
      <c r="E2175" s="24">
        <f>LEFT(D2175,2)&amp;":"&amp;MID(D2175,3,2)&amp;":"&amp;MID(D2175,5,2)&amp;":"&amp;MID(D2175,7,2)&amp;":"&amp;MID(D2175,9,2)&amp;":"&amp;RIGHT(D2175,2)</f>
        <v/>
      </c>
      <c r="H2175" t="inlineStr">
        <is>
          <t>ADF930AC980E732F</t>
        </is>
      </c>
      <c r="J2175" t="inlineStr">
        <is>
          <t>ADF930AC980E732F</t>
        </is>
      </c>
    </row>
    <row r="2176">
      <c r="B2176">
        <f>IFERROR(INDEX(Companies!$A$3:$A$101,MATCH(A2176,Companies!$B$3:$B$101,0)),"")</f>
        <v/>
      </c>
      <c r="D2176" t="inlineStr">
        <is>
          <t>F9B06F1ED69A</t>
        </is>
      </c>
      <c r="E2176" s="24">
        <f>LEFT(D2176,2)&amp;":"&amp;MID(D2176,3,2)&amp;":"&amp;MID(D2176,5,2)&amp;":"&amp;MID(D2176,7,2)&amp;":"&amp;MID(D2176,9,2)&amp;":"&amp;RIGHT(D2176,2)</f>
        <v/>
      </c>
      <c r="H2176" t="inlineStr">
        <is>
          <t>F28F534209E912EC</t>
        </is>
      </c>
      <c r="J2176" t="inlineStr">
        <is>
          <t>F28F534209E912EC</t>
        </is>
      </c>
    </row>
    <row r="2177">
      <c r="B2177">
        <f>IFERROR(INDEX(Companies!$A$3:$A$101,MATCH(A2177,Companies!$B$3:$B$101,0)),"")</f>
        <v/>
      </c>
      <c r="D2177" t="inlineStr">
        <is>
          <t>FF4002F8D4C0</t>
        </is>
      </c>
      <c r="E2177" s="24">
        <f>LEFT(D2177,2)&amp;":"&amp;MID(D2177,3,2)&amp;":"&amp;MID(D2177,5,2)&amp;":"&amp;MID(D2177,7,2)&amp;":"&amp;MID(D2177,9,2)&amp;":"&amp;RIGHT(D2177,2)</f>
        <v/>
      </c>
      <c r="H2177" t="inlineStr">
        <is>
          <t>7FAF5A115F136257</t>
        </is>
      </c>
      <c r="J2177" t="inlineStr">
        <is>
          <t>7FAF5A115F136257</t>
        </is>
      </c>
    </row>
    <row r="2178">
      <c r="B2178">
        <f>IFERROR(INDEX(Companies!$A$3:$A$101,MATCH(A2178,Companies!$B$3:$B$101,0)),"")</f>
        <v/>
      </c>
      <c r="D2178" t="inlineStr">
        <is>
          <t>D684349880AC</t>
        </is>
      </c>
      <c r="E2178" s="24">
        <f>LEFT(D2178,2)&amp;":"&amp;MID(D2178,3,2)&amp;":"&amp;MID(D2178,5,2)&amp;":"&amp;MID(D2178,7,2)&amp;":"&amp;MID(D2178,9,2)&amp;":"&amp;RIGHT(D2178,2)</f>
        <v/>
      </c>
      <c r="H2178" t="inlineStr">
        <is>
          <t>6405F83B5E61A1C7</t>
        </is>
      </c>
      <c r="J2178" t="inlineStr">
        <is>
          <t>6405F83B5E61A1C7</t>
        </is>
      </c>
    </row>
    <row r="2179">
      <c r="B2179">
        <f>IFERROR(INDEX(Companies!$A$3:$A$101,MATCH(A2179,Companies!$B$3:$B$101,0)),"")</f>
        <v/>
      </c>
      <c r="D2179" t="inlineStr">
        <is>
          <t>D1D7163993C0</t>
        </is>
      </c>
      <c r="E2179" s="24">
        <f>LEFT(D2179,2)&amp;":"&amp;MID(D2179,3,2)&amp;":"&amp;MID(D2179,5,2)&amp;":"&amp;MID(D2179,7,2)&amp;":"&amp;MID(D2179,9,2)&amp;":"&amp;RIGHT(D2179,2)</f>
        <v/>
      </c>
      <c r="H2179" t="inlineStr">
        <is>
          <t>1C1A6EAD08392919</t>
        </is>
      </c>
      <c r="J2179" t="inlineStr">
        <is>
          <t>1C1A6EAD08392919</t>
        </is>
      </c>
    </row>
    <row r="2180">
      <c r="B2180">
        <f>IFERROR(INDEX(Companies!$A$3:$A$101,MATCH(A2180,Companies!$B$3:$B$101,0)),"")</f>
        <v/>
      </c>
      <c r="D2180" t="inlineStr">
        <is>
          <t>DE187AA423E1</t>
        </is>
      </c>
      <c r="E2180" s="24">
        <f>LEFT(D2180,2)&amp;":"&amp;MID(D2180,3,2)&amp;":"&amp;MID(D2180,5,2)&amp;":"&amp;MID(D2180,7,2)&amp;":"&amp;MID(D2180,9,2)&amp;":"&amp;RIGHT(D2180,2)</f>
        <v/>
      </c>
      <c r="H2180" t="inlineStr">
        <is>
          <t>863D44A29B1C6948</t>
        </is>
      </c>
      <c r="J2180" t="inlineStr">
        <is>
          <t>863D44A29B1C6948</t>
        </is>
      </c>
    </row>
    <row r="2181">
      <c r="B2181">
        <f>IFERROR(INDEX(Companies!$A$3:$A$101,MATCH(A2181,Companies!$B$3:$B$101,0)),"")</f>
        <v/>
      </c>
      <c r="D2181" t="inlineStr">
        <is>
          <t>D8612B1C6851</t>
        </is>
      </c>
      <c r="E2181" s="24">
        <f>LEFT(D2181,2)&amp;":"&amp;MID(D2181,3,2)&amp;":"&amp;MID(D2181,5,2)&amp;":"&amp;MID(D2181,7,2)&amp;":"&amp;MID(D2181,9,2)&amp;":"&amp;RIGHT(D2181,2)</f>
        <v/>
      </c>
      <c r="H2181" t="inlineStr">
        <is>
          <t>21CB29EE1B54383B</t>
        </is>
      </c>
      <c r="J2181" t="inlineStr">
        <is>
          <t>21CB29EE1B54383B</t>
        </is>
      </c>
    </row>
    <row r="2182">
      <c r="B2182">
        <f>IFERROR(INDEX(Companies!$A$3:$A$101,MATCH(A2182,Companies!$B$3:$B$101,0)),"")</f>
        <v/>
      </c>
      <c r="D2182" t="inlineStr">
        <is>
          <t>DF3EF8E32FD3</t>
        </is>
      </c>
      <c r="E2182" s="24">
        <f>LEFT(D2182,2)&amp;":"&amp;MID(D2182,3,2)&amp;":"&amp;MID(D2182,5,2)&amp;":"&amp;MID(D2182,7,2)&amp;":"&amp;MID(D2182,9,2)&amp;":"&amp;RIGHT(D2182,2)</f>
        <v/>
      </c>
      <c r="H2182" t="inlineStr">
        <is>
          <t>C91DD09D0A02104B</t>
        </is>
      </c>
      <c r="J2182" t="inlineStr">
        <is>
          <t>C91DD09D0A02104B</t>
        </is>
      </c>
    </row>
    <row r="2183">
      <c r="B2183">
        <f>IFERROR(INDEX(Companies!$A$3:$A$101,MATCH(A2183,Companies!$B$3:$B$101,0)),"")</f>
        <v/>
      </c>
      <c r="D2183" t="inlineStr">
        <is>
          <t>D3717F86EADD</t>
        </is>
      </c>
      <c r="E2183" s="24">
        <f>LEFT(D2183,2)&amp;":"&amp;MID(D2183,3,2)&amp;":"&amp;MID(D2183,5,2)&amp;":"&amp;MID(D2183,7,2)&amp;":"&amp;MID(D2183,9,2)&amp;":"&amp;RIGHT(D2183,2)</f>
        <v/>
      </c>
      <c r="H2183" t="inlineStr">
        <is>
          <t>312E7A857E4B4FB8</t>
        </is>
      </c>
      <c r="J2183" t="inlineStr">
        <is>
          <t>312E7A857E4B4FB8</t>
        </is>
      </c>
    </row>
    <row r="2184">
      <c r="B2184">
        <f>IFERROR(INDEX(Companies!$A$3:$A$101,MATCH(A2184,Companies!$B$3:$B$101,0)),"")</f>
        <v/>
      </c>
      <c r="D2184" t="inlineStr">
        <is>
          <t>C9D154F8BE48</t>
        </is>
      </c>
      <c r="E2184" s="24">
        <f>LEFT(D2184,2)&amp;":"&amp;MID(D2184,3,2)&amp;":"&amp;MID(D2184,5,2)&amp;":"&amp;MID(D2184,7,2)&amp;":"&amp;MID(D2184,9,2)&amp;":"&amp;RIGHT(D2184,2)</f>
        <v/>
      </c>
      <c r="H2184" t="inlineStr">
        <is>
          <t>856720A0AEC6B187</t>
        </is>
      </c>
      <c r="J2184" t="inlineStr">
        <is>
          <t>856720A0AEC6B187</t>
        </is>
      </c>
    </row>
    <row r="2185">
      <c r="B2185">
        <f>IFERROR(INDEX(Companies!$A$3:$A$101,MATCH(A2185,Companies!$B$3:$B$101,0)),"")</f>
        <v/>
      </c>
      <c r="D2185" t="inlineStr">
        <is>
          <t>C69EED6B1DF1</t>
        </is>
      </c>
      <c r="E2185" s="24">
        <f>LEFT(D2185,2)&amp;":"&amp;MID(D2185,3,2)&amp;":"&amp;MID(D2185,5,2)&amp;":"&amp;MID(D2185,7,2)&amp;":"&amp;MID(D2185,9,2)&amp;":"&amp;RIGHT(D2185,2)</f>
        <v/>
      </c>
      <c r="H2185" t="inlineStr">
        <is>
          <t>2CB4141325252DF4</t>
        </is>
      </c>
      <c r="J2185" t="inlineStr">
        <is>
          <t>2CB4141325252DF4</t>
        </is>
      </c>
    </row>
    <row r="2186">
      <c r="B2186">
        <f>IFERROR(INDEX(Companies!$A$3:$A$101,MATCH(A2186,Companies!$B$3:$B$101,0)),"")</f>
        <v/>
      </c>
      <c r="D2186" t="inlineStr">
        <is>
          <t>EF48EC1F9730</t>
        </is>
      </c>
      <c r="E2186" s="24">
        <f>LEFT(D2186,2)&amp;":"&amp;MID(D2186,3,2)&amp;":"&amp;MID(D2186,5,2)&amp;":"&amp;MID(D2186,7,2)&amp;":"&amp;MID(D2186,9,2)&amp;":"&amp;RIGHT(D2186,2)</f>
        <v/>
      </c>
      <c r="H2186" t="inlineStr">
        <is>
          <t>9A1F4EA41F261D3E</t>
        </is>
      </c>
      <c r="J2186" t="inlineStr">
        <is>
          <t>9A1F4EA41F261D3E</t>
        </is>
      </c>
    </row>
    <row r="2187">
      <c r="B2187">
        <f>IFERROR(INDEX(Companies!$A$3:$A$101,MATCH(A2187,Companies!$B$3:$B$101,0)),"")</f>
        <v/>
      </c>
      <c r="D2187" t="inlineStr">
        <is>
          <t>FAC844CE44AF</t>
        </is>
      </c>
      <c r="E2187" s="24">
        <f>LEFT(D2187,2)&amp;":"&amp;MID(D2187,3,2)&amp;":"&amp;MID(D2187,5,2)&amp;":"&amp;MID(D2187,7,2)&amp;":"&amp;MID(D2187,9,2)&amp;":"&amp;RIGHT(D2187,2)</f>
        <v/>
      </c>
      <c r="H2187" t="inlineStr">
        <is>
          <t>6ED63C80A4D8488C</t>
        </is>
      </c>
      <c r="J2187" t="inlineStr">
        <is>
          <t>6ED63C80A4D8488C</t>
        </is>
      </c>
    </row>
    <row r="2188">
      <c r="B2188">
        <f>IFERROR(INDEX(Companies!$A$3:$A$101,MATCH(A2188,Companies!$B$3:$B$101,0)),"")</f>
        <v/>
      </c>
      <c r="D2188" t="inlineStr">
        <is>
          <t>C82896D837D1</t>
        </is>
      </c>
      <c r="E2188" s="24">
        <f>LEFT(D2188,2)&amp;":"&amp;MID(D2188,3,2)&amp;":"&amp;MID(D2188,5,2)&amp;":"&amp;MID(D2188,7,2)&amp;":"&amp;MID(D2188,9,2)&amp;":"&amp;RIGHT(D2188,2)</f>
        <v/>
      </c>
      <c r="H2188" t="inlineStr">
        <is>
          <t>1672138CA9590EB0</t>
        </is>
      </c>
      <c r="J2188" t="inlineStr">
        <is>
          <t>1672138CA9590EB0</t>
        </is>
      </c>
    </row>
    <row r="2189">
      <c r="B2189">
        <f>IFERROR(INDEX(Companies!$A$3:$A$101,MATCH(A2189,Companies!$B$3:$B$101,0)),"")</f>
        <v/>
      </c>
      <c r="D2189" t="inlineStr">
        <is>
          <t>DDDE12604C17</t>
        </is>
      </c>
      <c r="E2189" s="24">
        <f>LEFT(D2189,2)&amp;":"&amp;MID(D2189,3,2)&amp;":"&amp;MID(D2189,5,2)&amp;":"&amp;MID(D2189,7,2)&amp;":"&amp;MID(D2189,9,2)&amp;":"&amp;RIGHT(D2189,2)</f>
        <v/>
      </c>
      <c r="H2189" t="inlineStr">
        <is>
          <t>CF2999605E188D54</t>
        </is>
      </c>
      <c r="J2189" t="inlineStr">
        <is>
          <t>CF2999605E188D54</t>
        </is>
      </c>
    </row>
    <row r="2190">
      <c r="B2190">
        <f>IFERROR(INDEX(Companies!$A$3:$A$101,MATCH(A2190,Companies!$B$3:$B$101,0)),"")</f>
        <v/>
      </c>
      <c r="D2190" t="inlineStr">
        <is>
          <t>E56A61D6F92C</t>
        </is>
      </c>
      <c r="E2190" s="24">
        <f>LEFT(D2190,2)&amp;":"&amp;MID(D2190,3,2)&amp;":"&amp;MID(D2190,5,2)&amp;":"&amp;MID(D2190,7,2)&amp;":"&amp;MID(D2190,9,2)&amp;":"&amp;RIGHT(D2190,2)</f>
        <v/>
      </c>
      <c r="H2190" t="inlineStr">
        <is>
          <t>2440BFA507D16947</t>
        </is>
      </c>
      <c r="J2190" t="inlineStr">
        <is>
          <t>2440BFA507D16947</t>
        </is>
      </c>
    </row>
    <row r="2191">
      <c r="B2191">
        <f>IFERROR(INDEX(Companies!$A$3:$A$101,MATCH(A2191,Companies!$B$3:$B$101,0)),"")</f>
        <v/>
      </c>
      <c r="D2191" t="inlineStr">
        <is>
          <t>E1B1F18BC783</t>
        </is>
      </c>
      <c r="E2191" s="24">
        <f>LEFT(D2191,2)&amp;":"&amp;MID(D2191,3,2)&amp;":"&amp;MID(D2191,5,2)&amp;":"&amp;MID(D2191,7,2)&amp;":"&amp;MID(D2191,9,2)&amp;":"&amp;RIGHT(D2191,2)</f>
        <v/>
      </c>
      <c r="H2191" t="inlineStr">
        <is>
          <t>5CA1D9BB3FCF03BE</t>
        </is>
      </c>
      <c r="J2191" t="inlineStr">
        <is>
          <t>5CA1D9BB3FCF03BE</t>
        </is>
      </c>
    </row>
    <row r="2192">
      <c r="B2192">
        <f>IFERROR(INDEX(Companies!$A$3:$A$101,MATCH(A2192,Companies!$B$3:$B$101,0)),"")</f>
        <v/>
      </c>
      <c r="D2192" t="inlineStr">
        <is>
          <t>EC8B7866A80B</t>
        </is>
      </c>
      <c r="E2192" s="24">
        <f>LEFT(D2192,2)&amp;":"&amp;MID(D2192,3,2)&amp;":"&amp;MID(D2192,5,2)&amp;":"&amp;MID(D2192,7,2)&amp;":"&amp;MID(D2192,9,2)&amp;":"&amp;RIGHT(D2192,2)</f>
        <v/>
      </c>
      <c r="H2192" t="inlineStr">
        <is>
          <t>7A9C90506543A8E7</t>
        </is>
      </c>
      <c r="J2192" t="inlineStr">
        <is>
          <t>7A9C90506543A8E7</t>
        </is>
      </c>
    </row>
    <row r="2193">
      <c r="B2193">
        <f>IFERROR(INDEX(Companies!$A$3:$A$101,MATCH(A2193,Companies!$B$3:$B$101,0)),"")</f>
        <v/>
      </c>
      <c r="D2193" t="inlineStr">
        <is>
          <t>C5F6A146418F</t>
        </is>
      </c>
      <c r="E2193" s="24">
        <f>LEFT(D2193,2)&amp;":"&amp;MID(D2193,3,2)&amp;":"&amp;MID(D2193,5,2)&amp;":"&amp;MID(D2193,7,2)&amp;":"&amp;MID(D2193,9,2)&amp;":"&amp;RIGHT(D2193,2)</f>
        <v/>
      </c>
      <c r="H2193" t="inlineStr">
        <is>
          <t>82D6AEBB51746740</t>
        </is>
      </c>
      <c r="J2193" t="inlineStr">
        <is>
          <t>82D6AEBB51746740</t>
        </is>
      </c>
    </row>
    <row r="2194">
      <c r="B2194">
        <f>IFERROR(INDEX(Companies!$A$3:$A$101,MATCH(A2194,Companies!$B$3:$B$101,0)),"")</f>
        <v/>
      </c>
      <c r="D2194" t="inlineStr">
        <is>
          <t>D27E1BBC586F</t>
        </is>
      </c>
      <c r="E2194" s="24">
        <f>LEFT(D2194,2)&amp;":"&amp;MID(D2194,3,2)&amp;":"&amp;MID(D2194,5,2)&amp;":"&amp;MID(D2194,7,2)&amp;":"&amp;MID(D2194,9,2)&amp;":"&amp;RIGHT(D2194,2)</f>
        <v/>
      </c>
      <c r="H2194" t="inlineStr">
        <is>
          <t>82B8923CCA1E4555</t>
        </is>
      </c>
      <c r="J2194" t="inlineStr">
        <is>
          <t>82B8923CCA1E4555</t>
        </is>
      </c>
    </row>
    <row r="2195">
      <c r="B2195">
        <f>IFERROR(INDEX(Companies!$A$3:$A$101,MATCH(A2195,Companies!$B$3:$B$101,0)),"")</f>
        <v/>
      </c>
      <c r="D2195" t="inlineStr">
        <is>
          <t>E142337362F0</t>
        </is>
      </c>
      <c r="E2195" s="24">
        <f>LEFT(D2195,2)&amp;":"&amp;MID(D2195,3,2)&amp;":"&amp;MID(D2195,5,2)&amp;":"&amp;MID(D2195,7,2)&amp;":"&amp;MID(D2195,9,2)&amp;":"&amp;RIGHT(D2195,2)</f>
        <v/>
      </c>
      <c r="H2195" t="inlineStr">
        <is>
          <t>F9237F197DAA2933</t>
        </is>
      </c>
      <c r="J2195" t="inlineStr">
        <is>
          <t>F9237F197DAA2933</t>
        </is>
      </c>
    </row>
    <row r="2196">
      <c r="B2196">
        <f>IFERROR(INDEX(Companies!$A$3:$A$101,MATCH(A2196,Companies!$B$3:$B$101,0)),"")</f>
        <v/>
      </c>
      <c r="D2196" t="inlineStr">
        <is>
          <t>CECBCEA86F38</t>
        </is>
      </c>
      <c r="E2196" s="24">
        <f>LEFT(D2196,2)&amp;":"&amp;MID(D2196,3,2)&amp;":"&amp;MID(D2196,5,2)&amp;":"&amp;MID(D2196,7,2)&amp;":"&amp;MID(D2196,9,2)&amp;":"&amp;RIGHT(D2196,2)</f>
        <v/>
      </c>
      <c r="H2196" t="inlineStr">
        <is>
          <t>701D9E78A005A016</t>
        </is>
      </c>
      <c r="J2196" t="inlineStr">
        <is>
          <t>701D9E78A005A016</t>
        </is>
      </c>
    </row>
    <row r="2197">
      <c r="B2197">
        <f>IFERROR(INDEX(Companies!$A$3:$A$101,MATCH(A2197,Companies!$B$3:$B$101,0)),"")</f>
        <v/>
      </c>
      <c r="D2197" t="inlineStr">
        <is>
          <t>F6F41FB4F5D7</t>
        </is>
      </c>
      <c r="E2197" s="24">
        <f>LEFT(D2197,2)&amp;":"&amp;MID(D2197,3,2)&amp;":"&amp;MID(D2197,5,2)&amp;":"&amp;MID(D2197,7,2)&amp;":"&amp;MID(D2197,9,2)&amp;":"&amp;RIGHT(D2197,2)</f>
        <v/>
      </c>
      <c r="H2197" t="inlineStr">
        <is>
          <t>38CDB54FC49B0EB7</t>
        </is>
      </c>
      <c r="J2197" t="inlineStr">
        <is>
          <t>38CDB54FC49B0EB7</t>
        </is>
      </c>
    </row>
    <row r="2198">
      <c r="B2198">
        <f>IFERROR(INDEX(Companies!$A$3:$A$101,MATCH(A2198,Companies!$B$3:$B$101,0)),"")</f>
        <v/>
      </c>
      <c r="D2198" t="inlineStr">
        <is>
          <t>DDBFBD4E6BCD</t>
        </is>
      </c>
      <c r="E2198" s="24">
        <f>LEFT(D2198,2)&amp;":"&amp;MID(D2198,3,2)&amp;":"&amp;MID(D2198,5,2)&amp;":"&amp;MID(D2198,7,2)&amp;":"&amp;MID(D2198,9,2)&amp;":"&amp;RIGHT(D2198,2)</f>
        <v/>
      </c>
      <c r="H2198" t="inlineStr">
        <is>
          <t>06C32E05E66DE897</t>
        </is>
      </c>
      <c r="J2198" t="inlineStr">
        <is>
          <t>06C32E05E66DE897</t>
        </is>
      </c>
    </row>
    <row r="2199">
      <c r="B2199">
        <f>IFERROR(INDEX(Companies!$A$3:$A$101,MATCH(A2199,Companies!$B$3:$B$101,0)),"")</f>
        <v/>
      </c>
      <c r="D2199" t="inlineStr">
        <is>
          <t>FFAFBE26CD06</t>
        </is>
      </c>
      <c r="E2199" s="24">
        <f>LEFT(D2199,2)&amp;":"&amp;MID(D2199,3,2)&amp;":"&amp;MID(D2199,5,2)&amp;":"&amp;MID(D2199,7,2)&amp;":"&amp;MID(D2199,9,2)&amp;":"&amp;RIGHT(D2199,2)</f>
        <v/>
      </c>
      <c r="H2199" t="inlineStr">
        <is>
          <t>E95EE3D78EAEDFF7</t>
        </is>
      </c>
      <c r="J2199" t="inlineStr">
        <is>
          <t>E95EE3D78EAEDFF7</t>
        </is>
      </c>
    </row>
    <row r="2200">
      <c r="B2200">
        <f>IFERROR(INDEX(Companies!$A$3:$A$101,MATCH(A2200,Companies!$B$3:$B$101,0)),"")</f>
        <v/>
      </c>
      <c r="D2200" t="inlineStr">
        <is>
          <t>CC320989C7D4</t>
        </is>
      </c>
      <c r="E2200" s="24">
        <f>LEFT(D2200,2)&amp;":"&amp;MID(D2200,3,2)&amp;":"&amp;MID(D2200,5,2)&amp;":"&amp;MID(D2200,7,2)&amp;":"&amp;MID(D2200,9,2)&amp;":"&amp;RIGHT(D2200,2)</f>
        <v/>
      </c>
      <c r="H2200" t="inlineStr">
        <is>
          <t>3743246D6132E34C</t>
        </is>
      </c>
      <c r="J2200" t="inlineStr">
        <is>
          <t>3743246D6132E34C</t>
        </is>
      </c>
    </row>
    <row r="2201">
      <c r="B2201">
        <f>IFERROR(INDEX(Companies!$A$3:$A$101,MATCH(A2201,Companies!$B$3:$B$101,0)),"")</f>
        <v/>
      </c>
      <c r="D2201" t="inlineStr">
        <is>
          <t>F0D2AA781CD4</t>
        </is>
      </c>
      <c r="E2201" s="24">
        <f>LEFT(D2201,2)&amp;":"&amp;MID(D2201,3,2)&amp;":"&amp;MID(D2201,5,2)&amp;":"&amp;MID(D2201,7,2)&amp;":"&amp;MID(D2201,9,2)&amp;":"&amp;RIGHT(D2201,2)</f>
        <v/>
      </c>
      <c r="H2201" t="inlineStr">
        <is>
          <t>2AA10B1B9F658E61</t>
        </is>
      </c>
      <c r="J2201" t="inlineStr">
        <is>
          <t>2AA10B1B9F658E61</t>
        </is>
      </c>
    </row>
    <row r="2202">
      <c r="B2202">
        <f>IFERROR(INDEX(Companies!$A$3:$A$101,MATCH(A2202,Companies!$B$3:$B$101,0)),"")</f>
        <v/>
      </c>
      <c r="D2202" t="inlineStr">
        <is>
          <t>E4967FB11C05</t>
        </is>
      </c>
      <c r="E2202" s="24">
        <f>LEFT(D2202,2)&amp;":"&amp;MID(D2202,3,2)&amp;":"&amp;MID(D2202,5,2)&amp;":"&amp;MID(D2202,7,2)&amp;":"&amp;MID(D2202,9,2)&amp;":"&amp;RIGHT(D2202,2)</f>
        <v/>
      </c>
      <c r="H2202" t="inlineStr">
        <is>
          <t>66D4B52F97956DA0</t>
        </is>
      </c>
      <c r="J2202" t="inlineStr">
        <is>
          <t>66D4B52F97956DA0</t>
        </is>
      </c>
    </row>
    <row r="2203">
      <c r="B2203">
        <f>IFERROR(INDEX(Companies!$A$3:$A$101,MATCH(A2203,Companies!$B$3:$B$101,0)),"")</f>
        <v/>
      </c>
      <c r="D2203" t="inlineStr">
        <is>
          <t>D266A449D7D1</t>
        </is>
      </c>
      <c r="E2203" s="24">
        <f>LEFT(D2203,2)&amp;":"&amp;MID(D2203,3,2)&amp;":"&amp;MID(D2203,5,2)&amp;":"&amp;MID(D2203,7,2)&amp;":"&amp;MID(D2203,9,2)&amp;":"&amp;RIGHT(D2203,2)</f>
        <v/>
      </c>
      <c r="H2203" t="inlineStr">
        <is>
          <t>6F64CEC6629598B0</t>
        </is>
      </c>
      <c r="J2203" t="inlineStr">
        <is>
          <t>6F64CEC6629598B0</t>
        </is>
      </c>
    </row>
    <row r="2204">
      <c r="B2204">
        <f>IFERROR(INDEX(Companies!$A$3:$A$101,MATCH(A2204,Companies!$B$3:$B$101,0)),"")</f>
        <v/>
      </c>
      <c r="D2204" t="inlineStr">
        <is>
          <t>C2BAA8BE0826</t>
        </is>
      </c>
      <c r="E2204" s="24">
        <f>LEFT(D2204,2)&amp;":"&amp;MID(D2204,3,2)&amp;":"&amp;MID(D2204,5,2)&amp;":"&amp;MID(D2204,7,2)&amp;":"&amp;MID(D2204,9,2)&amp;":"&amp;RIGHT(D2204,2)</f>
        <v/>
      </c>
      <c r="H2204" t="inlineStr">
        <is>
          <t>0820034243AC3A88</t>
        </is>
      </c>
      <c r="J2204" t="inlineStr">
        <is>
          <t>0820034243AC3A88</t>
        </is>
      </c>
    </row>
    <row r="2205">
      <c r="B2205">
        <f>IFERROR(INDEX(Companies!$A$3:$A$101,MATCH(A2205,Companies!$B$3:$B$101,0)),"")</f>
        <v/>
      </c>
      <c r="D2205" t="inlineStr">
        <is>
          <t>DC7A50E0B553</t>
        </is>
      </c>
      <c r="E2205" s="24">
        <f>LEFT(D2205,2)&amp;":"&amp;MID(D2205,3,2)&amp;":"&amp;MID(D2205,5,2)&amp;":"&amp;MID(D2205,7,2)&amp;":"&amp;MID(D2205,9,2)&amp;":"&amp;RIGHT(D2205,2)</f>
        <v/>
      </c>
      <c r="H2205" t="inlineStr">
        <is>
          <t>23BD354275AC0B52</t>
        </is>
      </c>
      <c r="J2205" t="inlineStr">
        <is>
          <t>23BD354275AC0B52</t>
        </is>
      </c>
    </row>
    <row r="2206">
      <c r="B2206">
        <f>IFERROR(INDEX(Companies!$A$3:$A$101,MATCH(A2206,Companies!$B$3:$B$101,0)),"")</f>
        <v/>
      </c>
      <c r="D2206" t="inlineStr">
        <is>
          <t>DD84F6824ABF</t>
        </is>
      </c>
      <c r="E2206" s="24">
        <f>LEFT(D2206,2)&amp;":"&amp;MID(D2206,3,2)&amp;":"&amp;MID(D2206,5,2)&amp;":"&amp;MID(D2206,7,2)&amp;":"&amp;MID(D2206,9,2)&amp;":"&amp;RIGHT(D2206,2)</f>
        <v/>
      </c>
      <c r="H2206" t="inlineStr">
        <is>
          <t>490ADDD3046B3788</t>
        </is>
      </c>
      <c r="J2206" t="inlineStr">
        <is>
          <t>490ADDD3046B3788</t>
        </is>
      </c>
    </row>
    <row r="2207">
      <c r="B2207">
        <f>IFERROR(INDEX(Companies!$A$3:$A$101,MATCH(A2207,Companies!$B$3:$B$101,0)),"")</f>
        <v/>
      </c>
      <c r="D2207" t="inlineStr">
        <is>
          <t>C0E75613DD5B</t>
        </is>
      </c>
      <c r="E2207" s="24">
        <f>LEFT(D2207,2)&amp;":"&amp;MID(D2207,3,2)&amp;":"&amp;MID(D2207,5,2)&amp;":"&amp;MID(D2207,7,2)&amp;":"&amp;MID(D2207,9,2)&amp;":"&amp;RIGHT(D2207,2)</f>
        <v/>
      </c>
      <c r="H2207" t="inlineStr">
        <is>
          <t>BF1551938801E9D5</t>
        </is>
      </c>
      <c r="J2207" t="inlineStr">
        <is>
          <t>BF1551938801E9D5</t>
        </is>
      </c>
    </row>
    <row r="2208">
      <c r="B2208">
        <f>IFERROR(INDEX(Companies!$A$3:$A$101,MATCH(A2208,Companies!$B$3:$B$101,0)),"")</f>
        <v/>
      </c>
      <c r="D2208" t="inlineStr">
        <is>
          <t>D47758476B06</t>
        </is>
      </c>
      <c r="E2208" s="24">
        <f>LEFT(D2208,2)&amp;":"&amp;MID(D2208,3,2)&amp;":"&amp;MID(D2208,5,2)&amp;":"&amp;MID(D2208,7,2)&amp;":"&amp;MID(D2208,9,2)&amp;":"&amp;RIGHT(D2208,2)</f>
        <v/>
      </c>
      <c r="H2208" s="18" t="inlineStr">
        <is>
          <t>6E595ADAB9C708D2</t>
        </is>
      </c>
      <c r="J2208" t="inlineStr">
        <is>
          <t>6E595ADAB9C708D2</t>
        </is>
      </c>
    </row>
    <row r="2209">
      <c r="B2209">
        <f>IFERROR(INDEX(Companies!$A$3:$A$101,MATCH(A2209,Companies!$B$3:$B$101,0)),"")</f>
        <v/>
      </c>
      <c r="D2209" t="inlineStr">
        <is>
          <t>DCAE2DCE19FA</t>
        </is>
      </c>
      <c r="E2209" s="24">
        <f>LEFT(D2209,2)&amp;":"&amp;MID(D2209,3,2)&amp;":"&amp;MID(D2209,5,2)&amp;":"&amp;MID(D2209,7,2)&amp;":"&amp;MID(D2209,9,2)&amp;":"&amp;RIGHT(D2209,2)</f>
        <v/>
      </c>
      <c r="H2209" t="inlineStr">
        <is>
          <t>F4D73677A3ED35B6</t>
        </is>
      </c>
      <c r="J2209" t="inlineStr">
        <is>
          <t>F4D73677A3ED35B6</t>
        </is>
      </c>
    </row>
    <row r="2210">
      <c r="B2210">
        <f>IFERROR(INDEX(Companies!$A$3:$A$101,MATCH(A2210,Companies!$B$3:$B$101,0)),"")</f>
        <v/>
      </c>
      <c r="D2210" t="inlineStr">
        <is>
          <t>C0C22F507C0A</t>
        </is>
      </c>
      <c r="E2210" s="24">
        <f>LEFT(D2210,2)&amp;":"&amp;MID(D2210,3,2)&amp;":"&amp;MID(D2210,5,2)&amp;":"&amp;MID(D2210,7,2)&amp;":"&amp;MID(D2210,9,2)&amp;":"&amp;RIGHT(D2210,2)</f>
        <v/>
      </c>
      <c r="H2210" t="inlineStr">
        <is>
          <t>E553E0C8F77FE28B</t>
        </is>
      </c>
      <c r="J2210" t="inlineStr">
        <is>
          <t>E553E0C8F77FE28B</t>
        </is>
      </c>
    </row>
    <row r="2211">
      <c r="B2211">
        <f>IFERROR(INDEX(Companies!$A$3:$A$101,MATCH(A2211,Companies!$B$3:$B$101,0)),"")</f>
        <v/>
      </c>
      <c r="D2211" t="inlineStr">
        <is>
          <t>C9FBABAEE397</t>
        </is>
      </c>
      <c r="E2211" s="24">
        <f>LEFT(D2211,2)&amp;":"&amp;MID(D2211,3,2)&amp;":"&amp;MID(D2211,5,2)&amp;":"&amp;MID(D2211,7,2)&amp;":"&amp;MID(D2211,9,2)&amp;":"&amp;RIGHT(D2211,2)</f>
        <v/>
      </c>
      <c r="H2211" t="inlineStr">
        <is>
          <t>3B54401DE870305F</t>
        </is>
      </c>
      <c r="J2211" t="inlineStr">
        <is>
          <t>3B54401DE870305F</t>
        </is>
      </c>
    </row>
    <row r="2212">
      <c r="B2212">
        <f>IFERROR(INDEX(Companies!$A$3:$A$101,MATCH(A2212,Companies!$B$3:$B$101,0)),"")</f>
        <v/>
      </c>
      <c r="D2212" t="inlineStr">
        <is>
          <t>DF7825CDACB4</t>
        </is>
      </c>
      <c r="E2212" s="24">
        <f>LEFT(D2212,2)&amp;":"&amp;MID(D2212,3,2)&amp;":"&amp;MID(D2212,5,2)&amp;":"&amp;MID(D2212,7,2)&amp;":"&amp;MID(D2212,9,2)&amp;":"&amp;RIGHT(D2212,2)</f>
        <v/>
      </c>
      <c r="H2212" t="inlineStr">
        <is>
          <t>329251A848A3C6CC</t>
        </is>
      </c>
      <c r="J2212" t="inlineStr">
        <is>
          <t>329251A848A3C6CC</t>
        </is>
      </c>
    </row>
    <row r="2213">
      <c r="B2213">
        <f>IFERROR(INDEX(Companies!$A$3:$A$101,MATCH(A2213,Companies!$B$3:$B$101,0)),"")</f>
        <v/>
      </c>
      <c r="D2213" t="inlineStr">
        <is>
          <t>D1035CCD1FD9</t>
        </is>
      </c>
      <c r="E2213" s="24">
        <f>LEFT(D2213,2)&amp;":"&amp;MID(D2213,3,2)&amp;":"&amp;MID(D2213,5,2)&amp;":"&amp;MID(D2213,7,2)&amp;":"&amp;MID(D2213,9,2)&amp;":"&amp;RIGHT(D2213,2)</f>
        <v/>
      </c>
      <c r="H2213" t="inlineStr">
        <is>
          <t>6ECB4F29EF20C3A7</t>
        </is>
      </c>
      <c r="J2213" t="inlineStr">
        <is>
          <t>6ECB4F29EF20C3A7</t>
        </is>
      </c>
    </row>
    <row r="2214">
      <c r="B2214">
        <f>IFERROR(INDEX(Companies!$A$3:$A$101,MATCH(A2214,Companies!$B$3:$B$101,0)),"")</f>
        <v/>
      </c>
      <c r="D2214" t="inlineStr">
        <is>
          <t>EDE25DBB1CA3</t>
        </is>
      </c>
      <c r="E2214" s="24">
        <f>LEFT(D2214,2)&amp;":"&amp;MID(D2214,3,2)&amp;":"&amp;MID(D2214,5,2)&amp;":"&amp;MID(D2214,7,2)&amp;":"&amp;MID(D2214,9,2)&amp;":"&amp;RIGHT(D2214,2)</f>
        <v/>
      </c>
      <c r="H2214" t="inlineStr">
        <is>
          <t>A4767725233F23C3</t>
        </is>
      </c>
      <c r="J2214" t="inlineStr">
        <is>
          <t>A4767725233F23C3</t>
        </is>
      </c>
    </row>
    <row r="2215">
      <c r="B2215">
        <f>IFERROR(INDEX(Companies!$A$3:$A$101,MATCH(A2215,Companies!$B$3:$B$101,0)),"")</f>
        <v/>
      </c>
      <c r="D2215" t="inlineStr">
        <is>
          <t>F0D0D9D3BD49</t>
        </is>
      </c>
      <c r="E2215" s="24">
        <f>LEFT(D2215,2)&amp;":"&amp;MID(D2215,3,2)&amp;":"&amp;MID(D2215,5,2)&amp;":"&amp;MID(D2215,7,2)&amp;":"&amp;MID(D2215,9,2)&amp;":"&amp;RIGHT(D2215,2)</f>
        <v/>
      </c>
      <c r="H2215" t="inlineStr">
        <is>
          <t>B5EB5BA146E63B02</t>
        </is>
      </c>
      <c r="J2215" t="inlineStr">
        <is>
          <t>B5EB5BA146E63B02</t>
        </is>
      </c>
    </row>
    <row r="2216">
      <c r="B2216">
        <f>IFERROR(INDEX(Companies!$A$3:$A$101,MATCH(A2216,Companies!$B$3:$B$101,0)),"")</f>
        <v/>
      </c>
      <c r="D2216" t="inlineStr">
        <is>
          <t>DAB4A6F533C3</t>
        </is>
      </c>
      <c r="E2216" s="24">
        <f>LEFT(D2216,2)&amp;":"&amp;MID(D2216,3,2)&amp;":"&amp;MID(D2216,5,2)&amp;":"&amp;MID(D2216,7,2)&amp;":"&amp;MID(D2216,9,2)&amp;":"&amp;RIGHT(D2216,2)</f>
        <v/>
      </c>
      <c r="H2216" t="inlineStr">
        <is>
          <t>9CA07D475DAA23CD</t>
        </is>
      </c>
      <c r="J2216" t="inlineStr">
        <is>
          <t>9CA07D475DAA23CD</t>
        </is>
      </c>
    </row>
    <row r="2217">
      <c r="B2217">
        <f>IFERROR(INDEX(Companies!$A$3:$A$101,MATCH(A2217,Companies!$B$3:$B$101,0)),"")</f>
        <v/>
      </c>
      <c r="D2217" t="inlineStr">
        <is>
          <t>C753494D64B3</t>
        </is>
      </c>
      <c r="E2217" s="24">
        <f>LEFT(D2217,2)&amp;":"&amp;MID(D2217,3,2)&amp;":"&amp;MID(D2217,5,2)&amp;":"&amp;MID(D2217,7,2)&amp;":"&amp;MID(D2217,9,2)&amp;":"&amp;RIGHT(D2217,2)</f>
        <v/>
      </c>
      <c r="H2217" t="inlineStr">
        <is>
          <t>554DF7D4FB7EF29B</t>
        </is>
      </c>
      <c r="J2217" t="inlineStr">
        <is>
          <t>554DF7D4FB7EF29B</t>
        </is>
      </c>
    </row>
    <row r="2218">
      <c r="B2218">
        <f>IFERROR(INDEX(Companies!$A$3:$A$101,MATCH(A2218,Companies!$B$3:$B$101,0)),"")</f>
        <v/>
      </c>
      <c r="D2218" t="inlineStr">
        <is>
          <t>CFC2176E5546</t>
        </is>
      </c>
      <c r="E2218" s="24">
        <f>LEFT(D2218,2)&amp;":"&amp;MID(D2218,3,2)&amp;":"&amp;MID(D2218,5,2)&amp;":"&amp;MID(D2218,7,2)&amp;":"&amp;MID(D2218,9,2)&amp;":"&amp;RIGHT(D2218,2)</f>
        <v/>
      </c>
      <c r="H2218" t="inlineStr">
        <is>
          <t>419842612C833179</t>
        </is>
      </c>
      <c r="J2218" t="inlineStr">
        <is>
          <t>419842612C833179</t>
        </is>
      </c>
    </row>
    <row r="2219">
      <c r="B2219">
        <f>IFERROR(INDEX(Companies!$A$3:$A$101,MATCH(A2219,Companies!$B$3:$B$101,0)),"")</f>
        <v/>
      </c>
      <c r="D2219" t="inlineStr">
        <is>
          <t>C295BD56B106</t>
        </is>
      </c>
      <c r="E2219" s="24">
        <f>LEFT(D2219,2)&amp;":"&amp;MID(D2219,3,2)&amp;":"&amp;MID(D2219,5,2)&amp;":"&amp;MID(D2219,7,2)&amp;":"&amp;MID(D2219,9,2)&amp;":"&amp;RIGHT(D2219,2)</f>
        <v/>
      </c>
      <c r="H2219" t="inlineStr">
        <is>
          <t>E5A49D9B935EF870</t>
        </is>
      </c>
      <c r="J2219" t="inlineStr">
        <is>
          <t>E5A49D9B935EF870</t>
        </is>
      </c>
    </row>
    <row r="2220">
      <c r="B2220">
        <f>IFERROR(INDEX(Companies!$A$3:$A$101,MATCH(A2220,Companies!$B$3:$B$101,0)),"")</f>
        <v/>
      </c>
      <c r="D2220" t="inlineStr">
        <is>
          <t>E71944B47B39</t>
        </is>
      </c>
      <c r="E2220" s="24">
        <f>LEFT(D2220,2)&amp;":"&amp;MID(D2220,3,2)&amp;":"&amp;MID(D2220,5,2)&amp;":"&amp;MID(D2220,7,2)&amp;":"&amp;MID(D2220,9,2)&amp;":"&amp;RIGHT(D2220,2)</f>
        <v/>
      </c>
      <c r="H2220" t="inlineStr">
        <is>
          <t>C670160AF0D274B5</t>
        </is>
      </c>
      <c r="J2220" t="inlineStr">
        <is>
          <t>C670160AF0D274B5</t>
        </is>
      </c>
    </row>
    <row r="2221">
      <c r="B2221">
        <f>IFERROR(INDEX(Companies!$A$3:$A$101,MATCH(A2221,Companies!$B$3:$B$101,0)),"")</f>
        <v/>
      </c>
      <c r="D2221" t="inlineStr">
        <is>
          <t>E29C5BFE6AA8</t>
        </is>
      </c>
      <c r="E2221" s="24">
        <f>LEFT(D2221,2)&amp;":"&amp;MID(D2221,3,2)&amp;":"&amp;MID(D2221,5,2)&amp;":"&amp;MID(D2221,7,2)&amp;":"&amp;MID(D2221,9,2)&amp;":"&amp;RIGHT(D2221,2)</f>
        <v/>
      </c>
      <c r="H2221" t="inlineStr">
        <is>
          <t>78322399D9763974</t>
        </is>
      </c>
      <c r="J2221" t="inlineStr">
        <is>
          <t>78322399D9763974</t>
        </is>
      </c>
    </row>
    <row r="2222">
      <c r="B2222">
        <f>IFERROR(INDEX(Companies!$A$3:$A$101,MATCH(A2222,Companies!$B$3:$B$101,0)),"")</f>
        <v/>
      </c>
      <c r="D2222" t="inlineStr">
        <is>
          <t>CFD2650C7DF8</t>
        </is>
      </c>
      <c r="E2222" s="24">
        <f>LEFT(D2222,2)&amp;":"&amp;MID(D2222,3,2)&amp;":"&amp;MID(D2222,5,2)&amp;":"&amp;MID(D2222,7,2)&amp;":"&amp;MID(D2222,9,2)&amp;":"&amp;RIGHT(D2222,2)</f>
        <v/>
      </c>
      <c r="H2222" t="inlineStr">
        <is>
          <t>8367483E5BA6617F</t>
        </is>
      </c>
      <c r="J2222" t="inlineStr">
        <is>
          <t>8367483E5BA6617F</t>
        </is>
      </c>
    </row>
    <row r="2223">
      <c r="B2223">
        <f>IFERROR(INDEX(Companies!$A$3:$A$101,MATCH(A2223,Companies!$B$3:$B$101,0)),"")</f>
        <v/>
      </c>
      <c r="D2223" t="inlineStr">
        <is>
          <t>E4312E1A2FB6</t>
        </is>
      </c>
      <c r="E2223" s="24">
        <f>LEFT(D2223,2)&amp;":"&amp;MID(D2223,3,2)&amp;":"&amp;MID(D2223,5,2)&amp;":"&amp;MID(D2223,7,2)&amp;":"&amp;MID(D2223,9,2)&amp;":"&amp;RIGHT(D2223,2)</f>
        <v/>
      </c>
      <c r="H2223" t="inlineStr">
        <is>
          <t>A1118D69B730789B</t>
        </is>
      </c>
      <c r="J2223" t="inlineStr">
        <is>
          <t>A1118D69B730789B</t>
        </is>
      </c>
    </row>
    <row r="2224">
      <c r="B2224">
        <f>IFERROR(INDEX(Companies!$A$3:$A$101,MATCH(A2224,Companies!$B$3:$B$101,0)),"")</f>
        <v/>
      </c>
      <c r="D2224" t="inlineStr">
        <is>
          <t>F7A3B9CF74A1</t>
        </is>
      </c>
      <c r="E2224" s="24">
        <f>LEFT(D2224,2)&amp;":"&amp;MID(D2224,3,2)&amp;":"&amp;MID(D2224,5,2)&amp;":"&amp;MID(D2224,7,2)&amp;":"&amp;MID(D2224,9,2)&amp;":"&amp;RIGHT(D2224,2)</f>
        <v/>
      </c>
      <c r="H2224" t="inlineStr">
        <is>
          <t>0C046F9B68799849</t>
        </is>
      </c>
      <c r="J2224" t="inlineStr">
        <is>
          <t>0C046F9B68799849</t>
        </is>
      </c>
    </row>
    <row r="2225">
      <c r="B2225">
        <f>IFERROR(INDEX(Companies!$A$3:$A$101,MATCH(A2225,Companies!$B$3:$B$101,0)),"")</f>
        <v/>
      </c>
      <c r="D2225" t="inlineStr">
        <is>
          <t>E484493F4B92</t>
        </is>
      </c>
      <c r="E2225" s="24">
        <f>LEFT(D2225,2)&amp;":"&amp;MID(D2225,3,2)&amp;":"&amp;MID(D2225,5,2)&amp;":"&amp;MID(D2225,7,2)&amp;":"&amp;MID(D2225,9,2)&amp;":"&amp;RIGHT(D2225,2)</f>
        <v/>
      </c>
      <c r="H2225" t="inlineStr">
        <is>
          <t>CA2EA7BD69FAC098</t>
        </is>
      </c>
      <c r="J2225" t="inlineStr">
        <is>
          <t>CA2EA7BD69FAC098</t>
        </is>
      </c>
    </row>
    <row r="2226">
      <c r="B2226">
        <f>IFERROR(INDEX(Companies!$A$3:$A$101,MATCH(A2226,Companies!$B$3:$B$101,0)),"")</f>
        <v/>
      </c>
      <c r="D2226" t="inlineStr">
        <is>
          <t>E8E8979390B9</t>
        </is>
      </c>
      <c r="E2226" s="24">
        <f>LEFT(D2226,2)&amp;":"&amp;MID(D2226,3,2)&amp;":"&amp;MID(D2226,5,2)&amp;":"&amp;MID(D2226,7,2)&amp;":"&amp;MID(D2226,9,2)&amp;":"&amp;RIGHT(D2226,2)</f>
        <v/>
      </c>
      <c r="H2226" t="inlineStr">
        <is>
          <t>562AED8948C66E0F</t>
        </is>
      </c>
      <c r="J2226" t="inlineStr">
        <is>
          <t>562AED8948C66E0F</t>
        </is>
      </c>
    </row>
    <row r="2227">
      <c r="B2227">
        <f>IFERROR(INDEX(Companies!$A$3:$A$101,MATCH(A2227,Companies!$B$3:$B$101,0)),"")</f>
        <v/>
      </c>
      <c r="D2227" t="inlineStr">
        <is>
          <t>D365C3B8CFC7</t>
        </is>
      </c>
      <c r="E2227" s="24">
        <f>LEFT(D2227,2)&amp;":"&amp;MID(D2227,3,2)&amp;":"&amp;MID(D2227,5,2)&amp;":"&amp;MID(D2227,7,2)&amp;":"&amp;MID(D2227,9,2)&amp;":"&amp;RIGHT(D2227,2)</f>
        <v/>
      </c>
      <c r="H2227" t="inlineStr">
        <is>
          <t>CB20742F21149C34</t>
        </is>
      </c>
      <c r="J2227" t="inlineStr">
        <is>
          <t>CB20742F21149C34</t>
        </is>
      </c>
    </row>
    <row r="2228">
      <c r="B2228">
        <f>IFERROR(INDEX(Companies!$A$3:$A$101,MATCH(A2228,Companies!$B$3:$B$101,0)),"")</f>
        <v/>
      </c>
      <c r="D2228" t="inlineStr">
        <is>
          <t>FB1E6639381C</t>
        </is>
      </c>
      <c r="E2228" s="24">
        <f>LEFT(D2228,2)&amp;":"&amp;MID(D2228,3,2)&amp;":"&amp;MID(D2228,5,2)&amp;":"&amp;MID(D2228,7,2)&amp;":"&amp;MID(D2228,9,2)&amp;":"&amp;RIGHT(D2228,2)</f>
        <v/>
      </c>
      <c r="H2228" t="inlineStr">
        <is>
          <t>6604BFBCF2B802D6</t>
        </is>
      </c>
      <c r="J2228" t="inlineStr">
        <is>
          <t>6604BFBCF2B802D6</t>
        </is>
      </c>
    </row>
    <row r="2229">
      <c r="B2229">
        <f>IFERROR(INDEX(Companies!$A$3:$A$101,MATCH(A2229,Companies!$B$3:$B$101,0)),"")</f>
        <v/>
      </c>
      <c r="D2229" t="inlineStr">
        <is>
          <t>EC99076BEFF5</t>
        </is>
      </c>
      <c r="E2229" s="24">
        <f>LEFT(D2229,2)&amp;":"&amp;MID(D2229,3,2)&amp;":"&amp;MID(D2229,5,2)&amp;":"&amp;MID(D2229,7,2)&amp;":"&amp;MID(D2229,9,2)&amp;":"&amp;RIGHT(D2229,2)</f>
        <v/>
      </c>
      <c r="H2229" t="inlineStr">
        <is>
          <t>6B69555DF22AB618</t>
        </is>
      </c>
      <c r="J2229" t="inlineStr">
        <is>
          <t>6B69555DF22AB618</t>
        </is>
      </c>
    </row>
    <row r="2230">
      <c r="B2230">
        <f>IFERROR(INDEX(Companies!$A$3:$A$101,MATCH(A2230,Companies!$B$3:$B$101,0)),"")</f>
        <v/>
      </c>
      <c r="D2230" t="inlineStr">
        <is>
          <t>D63028144804</t>
        </is>
      </c>
      <c r="E2230" s="24">
        <f>LEFT(D2230,2)&amp;":"&amp;MID(D2230,3,2)&amp;":"&amp;MID(D2230,5,2)&amp;":"&amp;MID(D2230,7,2)&amp;":"&amp;MID(D2230,9,2)&amp;":"&amp;RIGHT(D2230,2)</f>
        <v/>
      </c>
      <c r="H2230" t="inlineStr">
        <is>
          <t>722661D0E51C270F</t>
        </is>
      </c>
      <c r="J2230" t="inlineStr">
        <is>
          <t>722661D0E51C270F</t>
        </is>
      </c>
    </row>
    <row r="2231">
      <c r="B2231">
        <f>IFERROR(INDEX(Companies!$A$3:$A$101,MATCH(A2231,Companies!$B$3:$B$101,0)),"")</f>
        <v/>
      </c>
      <c r="D2231" t="inlineStr">
        <is>
          <t>ECB9AD7C8F0F</t>
        </is>
      </c>
      <c r="E2231" s="24">
        <f>LEFT(D2231,2)&amp;":"&amp;MID(D2231,3,2)&amp;":"&amp;MID(D2231,5,2)&amp;":"&amp;MID(D2231,7,2)&amp;":"&amp;MID(D2231,9,2)&amp;":"&amp;RIGHT(D2231,2)</f>
        <v/>
      </c>
      <c r="H2231" t="inlineStr">
        <is>
          <t>F5D06CC5071BCBFA</t>
        </is>
      </c>
      <c r="J2231" t="inlineStr">
        <is>
          <t>F5D06CC5071BCBFA</t>
        </is>
      </c>
    </row>
    <row r="2232">
      <c r="B2232">
        <f>IFERROR(INDEX(Companies!$A$3:$A$101,MATCH(A2232,Companies!$B$3:$B$101,0)),"")</f>
        <v/>
      </c>
      <c r="D2232" t="inlineStr">
        <is>
          <t>CEA56D259A01</t>
        </is>
      </c>
      <c r="E2232" s="24">
        <f>LEFT(D2232,2)&amp;":"&amp;MID(D2232,3,2)&amp;":"&amp;MID(D2232,5,2)&amp;":"&amp;MID(D2232,7,2)&amp;":"&amp;MID(D2232,9,2)&amp;":"&amp;RIGHT(D2232,2)</f>
        <v/>
      </c>
      <c r="H2232" t="inlineStr">
        <is>
          <t>79E264D5218354DC</t>
        </is>
      </c>
      <c r="J2232" t="inlineStr">
        <is>
          <t>79E264D5218354DC</t>
        </is>
      </c>
    </row>
    <row r="2233">
      <c r="B2233">
        <f>IFERROR(INDEX(Companies!$A$3:$A$101,MATCH(A2233,Companies!$B$3:$B$101,0)),"")</f>
        <v/>
      </c>
      <c r="D2233" t="inlineStr">
        <is>
          <t>CC019B0ACC8E</t>
        </is>
      </c>
      <c r="E2233" s="24">
        <f>LEFT(D2233,2)&amp;":"&amp;MID(D2233,3,2)&amp;":"&amp;MID(D2233,5,2)&amp;":"&amp;MID(D2233,7,2)&amp;":"&amp;MID(D2233,9,2)&amp;":"&amp;RIGHT(D2233,2)</f>
        <v/>
      </c>
      <c r="H2233" t="inlineStr">
        <is>
          <t>974CB0CA2F7225F0</t>
        </is>
      </c>
      <c r="J2233" t="inlineStr">
        <is>
          <t>974CB0CA2F7225F0</t>
        </is>
      </c>
    </row>
    <row r="2234">
      <c r="B2234">
        <f>IFERROR(INDEX(Companies!$A$3:$A$101,MATCH(A2234,Companies!$B$3:$B$101,0)),"")</f>
        <v/>
      </c>
      <c r="D2234" t="inlineStr">
        <is>
          <t>C3F5A4371F85</t>
        </is>
      </c>
      <c r="E2234" s="24">
        <f>LEFT(D2234,2)&amp;":"&amp;MID(D2234,3,2)&amp;":"&amp;MID(D2234,5,2)&amp;":"&amp;MID(D2234,7,2)&amp;":"&amp;MID(D2234,9,2)&amp;":"&amp;RIGHT(D2234,2)</f>
        <v/>
      </c>
      <c r="H2234" s="18" t="inlineStr">
        <is>
          <t>27E2037A67BB1A6E</t>
        </is>
      </c>
      <c r="J2234" t="inlineStr">
        <is>
          <t>27E2037A67BB1A6E</t>
        </is>
      </c>
    </row>
    <row r="2235">
      <c r="B2235">
        <f>IFERROR(INDEX(Companies!$A$3:$A$101,MATCH(A2235,Companies!$B$3:$B$101,0)),"")</f>
        <v/>
      </c>
      <c r="D2235" t="inlineStr">
        <is>
          <t>E52CE3F7595F</t>
        </is>
      </c>
      <c r="E2235" s="24">
        <f>LEFT(D2235,2)&amp;":"&amp;MID(D2235,3,2)&amp;":"&amp;MID(D2235,5,2)&amp;":"&amp;MID(D2235,7,2)&amp;":"&amp;MID(D2235,9,2)&amp;":"&amp;RIGHT(D2235,2)</f>
        <v/>
      </c>
      <c r="H2235" t="inlineStr">
        <is>
          <t>FB43A534F39C563F</t>
        </is>
      </c>
      <c r="J2235" t="inlineStr">
        <is>
          <t>FB43A534F39C563F</t>
        </is>
      </c>
    </row>
    <row r="2236">
      <c r="B2236">
        <f>IFERROR(INDEX(Companies!$A$3:$A$101,MATCH(A2236,Companies!$B$3:$B$101,0)),"")</f>
        <v/>
      </c>
      <c r="D2236" t="inlineStr">
        <is>
          <t>F78DC2388930</t>
        </is>
      </c>
      <c r="E2236" s="24">
        <f>LEFT(D2236,2)&amp;":"&amp;MID(D2236,3,2)&amp;":"&amp;MID(D2236,5,2)&amp;":"&amp;MID(D2236,7,2)&amp;":"&amp;MID(D2236,9,2)&amp;":"&amp;RIGHT(D2236,2)</f>
        <v/>
      </c>
      <c r="H2236" t="inlineStr">
        <is>
          <t>23F5D980D26AC91C</t>
        </is>
      </c>
      <c r="J2236" t="inlineStr">
        <is>
          <t>23F5D980D26AC91C</t>
        </is>
      </c>
    </row>
    <row r="2237">
      <c r="B2237">
        <f>IFERROR(INDEX(Companies!$A$3:$A$101,MATCH(A2237,Companies!$B$3:$B$101,0)),"")</f>
        <v/>
      </c>
      <c r="D2237" t="inlineStr">
        <is>
          <t>C72B8991B44F</t>
        </is>
      </c>
      <c r="E2237" s="24">
        <f>LEFT(D2237,2)&amp;":"&amp;MID(D2237,3,2)&amp;":"&amp;MID(D2237,5,2)&amp;":"&amp;MID(D2237,7,2)&amp;":"&amp;MID(D2237,9,2)&amp;":"&amp;RIGHT(D2237,2)</f>
        <v/>
      </c>
      <c r="H2237" t="inlineStr">
        <is>
          <t>A3562774272898BA</t>
        </is>
      </c>
      <c r="J2237" t="inlineStr">
        <is>
          <t>A3562774272898BA</t>
        </is>
      </c>
    </row>
    <row r="2238">
      <c r="B2238">
        <f>IFERROR(INDEX(Companies!$A$3:$A$101,MATCH(A2238,Companies!$B$3:$B$101,0)),"")</f>
        <v/>
      </c>
      <c r="D2238" t="inlineStr">
        <is>
          <t>D4EED6B9741E</t>
        </is>
      </c>
      <c r="E2238" s="24">
        <f>LEFT(D2238,2)&amp;":"&amp;MID(D2238,3,2)&amp;":"&amp;MID(D2238,5,2)&amp;":"&amp;MID(D2238,7,2)&amp;":"&amp;MID(D2238,9,2)&amp;":"&amp;RIGHT(D2238,2)</f>
        <v/>
      </c>
      <c r="H2238" t="inlineStr">
        <is>
          <t>FA9F86996C0B53E5</t>
        </is>
      </c>
      <c r="J2238" t="inlineStr">
        <is>
          <t>FA9F86996C0B53E5</t>
        </is>
      </c>
    </row>
    <row r="2239">
      <c r="B2239">
        <f>IFERROR(INDEX(Companies!$A$3:$A$101,MATCH(A2239,Companies!$B$3:$B$101,0)),"")</f>
        <v/>
      </c>
      <c r="D2239" t="inlineStr">
        <is>
          <t>C97582FCCE19</t>
        </is>
      </c>
      <c r="E2239" s="24">
        <f>LEFT(D2239,2)&amp;":"&amp;MID(D2239,3,2)&amp;":"&amp;MID(D2239,5,2)&amp;":"&amp;MID(D2239,7,2)&amp;":"&amp;MID(D2239,9,2)&amp;":"&amp;RIGHT(D2239,2)</f>
        <v/>
      </c>
      <c r="H2239" t="inlineStr">
        <is>
          <t>071B08E6E5A3DAAF</t>
        </is>
      </c>
      <c r="J2239" t="inlineStr">
        <is>
          <t>071B08E6E5A3DAAF</t>
        </is>
      </c>
    </row>
    <row r="2240">
      <c r="B2240">
        <f>IFERROR(INDEX(Companies!$A$3:$A$101,MATCH(A2240,Companies!$B$3:$B$101,0)),"")</f>
        <v/>
      </c>
      <c r="D2240" t="inlineStr">
        <is>
          <t>D890F7184758</t>
        </is>
      </c>
      <c r="E2240" s="24">
        <f>LEFT(D2240,2)&amp;":"&amp;MID(D2240,3,2)&amp;":"&amp;MID(D2240,5,2)&amp;":"&amp;MID(D2240,7,2)&amp;":"&amp;MID(D2240,9,2)&amp;":"&amp;RIGHT(D2240,2)</f>
        <v/>
      </c>
      <c r="H2240" t="inlineStr">
        <is>
          <t>4DA54737597E85B1</t>
        </is>
      </c>
      <c r="J2240" t="inlineStr">
        <is>
          <t>4DA54737597E85B1</t>
        </is>
      </c>
    </row>
    <row r="2241">
      <c r="B2241">
        <f>IFERROR(INDEX(Companies!$A$3:$A$101,MATCH(A2241,Companies!$B$3:$B$101,0)),"")</f>
        <v/>
      </c>
      <c r="D2241" t="inlineStr">
        <is>
          <t>C96CB5384265</t>
        </is>
      </c>
      <c r="E2241" s="24">
        <f>LEFT(D2241,2)&amp;":"&amp;MID(D2241,3,2)&amp;":"&amp;MID(D2241,5,2)&amp;":"&amp;MID(D2241,7,2)&amp;":"&amp;MID(D2241,9,2)&amp;":"&amp;RIGHT(D2241,2)</f>
        <v/>
      </c>
      <c r="H2241" t="inlineStr">
        <is>
          <t>5232CA9751043114</t>
        </is>
      </c>
      <c r="J2241" t="inlineStr">
        <is>
          <t>5232CA9751043114</t>
        </is>
      </c>
    </row>
    <row r="2242">
      <c r="B2242">
        <f>IFERROR(INDEX(Companies!$A$3:$A$101,MATCH(A2242,Companies!$B$3:$B$101,0)),"")</f>
        <v/>
      </c>
      <c r="D2242" t="inlineStr">
        <is>
          <t>F0D246D7B4DE</t>
        </is>
      </c>
      <c r="E2242" s="24">
        <f>LEFT(D2242,2)&amp;":"&amp;MID(D2242,3,2)&amp;":"&amp;MID(D2242,5,2)&amp;":"&amp;MID(D2242,7,2)&amp;":"&amp;MID(D2242,9,2)&amp;":"&amp;RIGHT(D2242,2)</f>
        <v/>
      </c>
      <c r="H2242" t="inlineStr">
        <is>
          <t>489521D8DBD22B53</t>
        </is>
      </c>
      <c r="J2242" t="inlineStr">
        <is>
          <t>489521D8DBD22B53</t>
        </is>
      </c>
    </row>
    <row r="2243">
      <c r="B2243">
        <f>IFERROR(INDEX(Companies!$A$3:$A$101,MATCH(A2243,Companies!$B$3:$B$101,0)),"")</f>
        <v/>
      </c>
      <c r="D2243" t="inlineStr">
        <is>
          <t>E347EDB545A8</t>
        </is>
      </c>
      <c r="E2243" s="24">
        <f>LEFT(D2243,2)&amp;":"&amp;MID(D2243,3,2)&amp;":"&amp;MID(D2243,5,2)&amp;":"&amp;MID(D2243,7,2)&amp;":"&amp;MID(D2243,9,2)&amp;":"&amp;RIGHT(D2243,2)</f>
        <v/>
      </c>
      <c r="H2243" t="inlineStr">
        <is>
          <t>EA3F7F97A64383BE</t>
        </is>
      </c>
      <c r="J2243" t="inlineStr">
        <is>
          <t>EA3F7F97A64383BE</t>
        </is>
      </c>
    </row>
    <row r="2244">
      <c r="B2244">
        <f>IFERROR(INDEX(Companies!$A$3:$A$101,MATCH(A2244,Companies!$B$3:$B$101,0)),"")</f>
        <v/>
      </c>
      <c r="D2244" t="inlineStr">
        <is>
          <t>E6A6B5C3B766</t>
        </is>
      </c>
      <c r="E2244" s="24">
        <f>LEFT(D2244,2)&amp;":"&amp;MID(D2244,3,2)&amp;":"&amp;MID(D2244,5,2)&amp;":"&amp;MID(D2244,7,2)&amp;":"&amp;MID(D2244,9,2)&amp;":"&amp;RIGHT(D2244,2)</f>
        <v/>
      </c>
      <c r="H2244" t="inlineStr">
        <is>
          <t>71D85C365C7F7105</t>
        </is>
      </c>
      <c r="J2244" t="inlineStr">
        <is>
          <t>71D85C365C7F7105</t>
        </is>
      </c>
    </row>
    <row r="2245">
      <c r="B2245">
        <f>IFERROR(INDEX(Companies!$A$3:$A$101,MATCH(A2245,Companies!$B$3:$B$101,0)),"")</f>
        <v/>
      </c>
      <c r="D2245" t="inlineStr">
        <is>
          <t>F4F204CA7A35</t>
        </is>
      </c>
      <c r="E2245" s="24">
        <f>LEFT(D2245,2)&amp;":"&amp;MID(D2245,3,2)&amp;":"&amp;MID(D2245,5,2)&amp;":"&amp;MID(D2245,7,2)&amp;":"&amp;MID(D2245,9,2)&amp;":"&amp;RIGHT(D2245,2)</f>
        <v/>
      </c>
      <c r="H2245" t="inlineStr">
        <is>
          <t>26F079D2BBBA428C</t>
        </is>
      </c>
      <c r="J2245" t="inlineStr">
        <is>
          <t>26F079D2BBBA428C</t>
        </is>
      </c>
    </row>
    <row r="2246">
      <c r="B2246">
        <f>IFERROR(INDEX(Companies!$A$3:$A$101,MATCH(A2246,Companies!$B$3:$B$101,0)),"")</f>
        <v/>
      </c>
      <c r="D2246" t="inlineStr">
        <is>
          <t>C48746DB5AC8</t>
        </is>
      </c>
      <c r="E2246" s="24">
        <f>LEFT(D2246,2)&amp;":"&amp;MID(D2246,3,2)&amp;":"&amp;MID(D2246,5,2)&amp;":"&amp;MID(D2246,7,2)&amp;":"&amp;MID(D2246,9,2)&amp;":"&amp;RIGHT(D2246,2)</f>
        <v/>
      </c>
      <c r="H2246" t="inlineStr">
        <is>
          <t>C066B6F37A41CCE9</t>
        </is>
      </c>
      <c r="J2246" t="inlineStr">
        <is>
          <t>C066B6F37A41CCE9</t>
        </is>
      </c>
    </row>
    <row r="2247">
      <c r="B2247">
        <f>IFERROR(INDEX(Companies!$A$3:$A$101,MATCH(A2247,Companies!$B$3:$B$101,0)),"")</f>
        <v/>
      </c>
      <c r="D2247" t="inlineStr">
        <is>
          <t>D3E6AB52ECC2</t>
        </is>
      </c>
      <c r="E2247" s="24">
        <f>LEFT(D2247,2)&amp;":"&amp;MID(D2247,3,2)&amp;":"&amp;MID(D2247,5,2)&amp;":"&amp;MID(D2247,7,2)&amp;":"&amp;MID(D2247,9,2)&amp;":"&amp;RIGHT(D2247,2)</f>
        <v/>
      </c>
      <c r="H2247" t="inlineStr">
        <is>
          <t>B9BB1708D014B2AA</t>
        </is>
      </c>
      <c r="J2247" t="inlineStr">
        <is>
          <t>B9BB1708D014B2AA</t>
        </is>
      </c>
    </row>
    <row r="2248">
      <c r="B2248">
        <f>IFERROR(INDEX(Companies!$A$3:$A$101,MATCH(A2248,Companies!$B$3:$B$101,0)),"")</f>
        <v/>
      </c>
      <c r="D2248" t="inlineStr">
        <is>
          <t>D573C9821D36</t>
        </is>
      </c>
      <c r="E2248" s="24">
        <f>LEFT(D2248,2)&amp;":"&amp;MID(D2248,3,2)&amp;":"&amp;MID(D2248,5,2)&amp;":"&amp;MID(D2248,7,2)&amp;":"&amp;MID(D2248,9,2)&amp;":"&amp;RIGHT(D2248,2)</f>
        <v/>
      </c>
      <c r="H2248" t="inlineStr">
        <is>
          <t>41928C366FEEDD62</t>
        </is>
      </c>
      <c r="J2248" t="inlineStr">
        <is>
          <t>41928C366FEEDD62</t>
        </is>
      </c>
    </row>
    <row r="2249">
      <c r="B2249">
        <f>IFERROR(INDEX(Companies!$A$3:$A$101,MATCH(A2249,Companies!$B$3:$B$101,0)),"")</f>
        <v/>
      </c>
      <c r="D2249" t="inlineStr">
        <is>
          <t>E7512668D37C</t>
        </is>
      </c>
      <c r="E2249" s="24">
        <f>LEFT(D2249,2)&amp;":"&amp;MID(D2249,3,2)&amp;":"&amp;MID(D2249,5,2)&amp;":"&amp;MID(D2249,7,2)&amp;":"&amp;MID(D2249,9,2)&amp;":"&amp;RIGHT(D2249,2)</f>
        <v/>
      </c>
      <c r="H2249" t="inlineStr">
        <is>
          <t>7E7F96FC6B27EA43</t>
        </is>
      </c>
      <c r="J2249" t="inlineStr">
        <is>
          <t>7E7F96FC6B27EA43</t>
        </is>
      </c>
    </row>
    <row r="2250">
      <c r="B2250">
        <f>IFERROR(INDEX(Companies!$A$3:$A$101,MATCH(A2250,Companies!$B$3:$B$101,0)),"")</f>
        <v/>
      </c>
      <c r="D2250" t="inlineStr">
        <is>
          <t>E84E34AF9068</t>
        </is>
      </c>
      <c r="E2250" s="24">
        <f>LEFT(D2250,2)&amp;":"&amp;MID(D2250,3,2)&amp;":"&amp;MID(D2250,5,2)&amp;":"&amp;MID(D2250,7,2)&amp;":"&amp;MID(D2250,9,2)&amp;":"&amp;RIGHT(D2250,2)</f>
        <v/>
      </c>
      <c r="H2250" t="inlineStr">
        <is>
          <t>5924842F8828EBCA</t>
        </is>
      </c>
      <c r="J2250" t="inlineStr">
        <is>
          <t>5924842F8828EBCA</t>
        </is>
      </c>
    </row>
    <row r="2251">
      <c r="B2251">
        <f>IFERROR(INDEX(Companies!$A$3:$A$101,MATCH(A2251,Companies!$B$3:$B$101,0)),"")</f>
        <v/>
      </c>
      <c r="D2251" t="inlineStr">
        <is>
          <t>F1EE12905FFA</t>
        </is>
      </c>
      <c r="E2251" s="24">
        <f>LEFT(D2251,2)&amp;":"&amp;MID(D2251,3,2)&amp;":"&amp;MID(D2251,5,2)&amp;":"&amp;MID(D2251,7,2)&amp;":"&amp;MID(D2251,9,2)&amp;":"&amp;RIGHT(D2251,2)</f>
        <v/>
      </c>
      <c r="H2251" t="inlineStr">
        <is>
          <t>A2B3EDE703FC8FED</t>
        </is>
      </c>
      <c r="J2251" t="inlineStr">
        <is>
          <t>A2B3EDE703FC8FED</t>
        </is>
      </c>
    </row>
    <row r="2252">
      <c r="B2252">
        <f>IFERROR(INDEX(Companies!$A$3:$A$101,MATCH(A2252,Companies!$B$3:$B$101,0)),"")</f>
        <v/>
      </c>
      <c r="D2252" t="inlineStr">
        <is>
          <t>CC5D18AC1B45</t>
        </is>
      </c>
      <c r="E2252" s="24">
        <f>LEFT(D2252,2)&amp;":"&amp;MID(D2252,3,2)&amp;":"&amp;MID(D2252,5,2)&amp;":"&amp;MID(D2252,7,2)&amp;":"&amp;MID(D2252,9,2)&amp;":"&amp;RIGHT(D2252,2)</f>
        <v/>
      </c>
      <c r="H2252" t="inlineStr">
        <is>
          <t>4F9A2738F4CC73A4</t>
        </is>
      </c>
      <c r="J2252" t="inlineStr">
        <is>
          <t>4F9A2738F4CC73A4</t>
        </is>
      </c>
    </row>
    <row r="2253">
      <c r="B2253">
        <f>IFERROR(INDEX(Companies!$A$3:$A$101,MATCH(A2253,Companies!$B$3:$B$101,0)),"")</f>
        <v/>
      </c>
      <c r="D2253" t="inlineStr">
        <is>
          <t>FB37F35A01CE</t>
        </is>
      </c>
      <c r="E2253" s="24">
        <f>LEFT(D2253,2)&amp;":"&amp;MID(D2253,3,2)&amp;":"&amp;MID(D2253,5,2)&amp;":"&amp;MID(D2253,7,2)&amp;":"&amp;MID(D2253,9,2)&amp;":"&amp;RIGHT(D2253,2)</f>
        <v/>
      </c>
      <c r="H2253" t="inlineStr">
        <is>
          <t>09D1FC24519BA8B5</t>
        </is>
      </c>
      <c r="J2253" t="inlineStr">
        <is>
          <t>09D1FC24519BA8B5</t>
        </is>
      </c>
    </row>
    <row r="2254">
      <c r="B2254">
        <f>IFERROR(INDEX(Companies!$A$3:$A$101,MATCH(A2254,Companies!$B$3:$B$101,0)),"")</f>
        <v/>
      </c>
      <c r="D2254" t="inlineStr">
        <is>
          <t>E36E44522668</t>
        </is>
      </c>
      <c r="E2254" s="24">
        <f>LEFT(D2254,2)&amp;":"&amp;MID(D2254,3,2)&amp;":"&amp;MID(D2254,5,2)&amp;":"&amp;MID(D2254,7,2)&amp;":"&amp;MID(D2254,9,2)&amp;":"&amp;RIGHT(D2254,2)</f>
        <v/>
      </c>
      <c r="H2254" t="inlineStr">
        <is>
          <t>D51110DEE4A9A298</t>
        </is>
      </c>
      <c r="J2254" t="inlineStr">
        <is>
          <t>D51110DEE4A9A298</t>
        </is>
      </c>
    </row>
    <row r="2255">
      <c r="B2255">
        <f>IFERROR(INDEX(Companies!$A$3:$A$101,MATCH(A2255,Companies!$B$3:$B$101,0)),"")</f>
        <v/>
      </c>
      <c r="D2255" t="inlineStr">
        <is>
          <t>FAB59F71F17E</t>
        </is>
      </c>
      <c r="E2255" s="24">
        <f>LEFT(D2255,2)&amp;":"&amp;MID(D2255,3,2)&amp;":"&amp;MID(D2255,5,2)&amp;":"&amp;MID(D2255,7,2)&amp;":"&amp;MID(D2255,9,2)&amp;":"&amp;RIGHT(D2255,2)</f>
        <v/>
      </c>
      <c r="H2255" t="inlineStr">
        <is>
          <t>DA60E507F47EAAC3</t>
        </is>
      </c>
      <c r="J2255" t="inlineStr">
        <is>
          <t>DA60E507F47EAAC3</t>
        </is>
      </c>
    </row>
    <row r="2256">
      <c r="B2256">
        <f>IFERROR(INDEX(Companies!$A$3:$A$101,MATCH(A2256,Companies!$B$3:$B$101,0)),"")</f>
        <v/>
      </c>
      <c r="D2256" t="inlineStr">
        <is>
          <t>C3DD8F9B43BB</t>
        </is>
      </c>
      <c r="E2256" s="24">
        <f>LEFT(D2256,2)&amp;":"&amp;MID(D2256,3,2)&amp;":"&amp;MID(D2256,5,2)&amp;":"&amp;MID(D2256,7,2)&amp;":"&amp;MID(D2256,9,2)&amp;":"&amp;RIGHT(D2256,2)</f>
        <v/>
      </c>
      <c r="H2256" t="inlineStr">
        <is>
          <t>D451A03532680952</t>
        </is>
      </c>
      <c r="J2256" t="inlineStr">
        <is>
          <t>D451A03532680952</t>
        </is>
      </c>
    </row>
    <row r="2257">
      <c r="B2257">
        <f>IFERROR(INDEX(Companies!$A$3:$A$101,MATCH(A2257,Companies!$B$3:$B$101,0)),"")</f>
        <v/>
      </c>
      <c r="D2257" t="inlineStr">
        <is>
          <t>D15681AC8AAF</t>
        </is>
      </c>
      <c r="E2257" s="24">
        <f>LEFT(D2257,2)&amp;":"&amp;MID(D2257,3,2)&amp;":"&amp;MID(D2257,5,2)&amp;":"&amp;MID(D2257,7,2)&amp;":"&amp;MID(D2257,9,2)&amp;":"&amp;RIGHT(D2257,2)</f>
        <v/>
      </c>
      <c r="H2257" t="inlineStr">
        <is>
          <t>DDCB99D0EA941EE7</t>
        </is>
      </c>
      <c r="J2257" t="inlineStr">
        <is>
          <t>DDCB99D0EA941EE7</t>
        </is>
      </c>
    </row>
    <row r="2258">
      <c r="B2258">
        <f>IFERROR(INDEX(Companies!$A$3:$A$101,MATCH(A2258,Companies!$B$3:$B$101,0)),"")</f>
        <v/>
      </c>
      <c r="D2258" t="inlineStr">
        <is>
          <t>DC39E01777BD</t>
        </is>
      </c>
      <c r="E2258" s="24">
        <f>LEFT(D2258,2)&amp;":"&amp;MID(D2258,3,2)&amp;":"&amp;MID(D2258,5,2)&amp;":"&amp;MID(D2258,7,2)&amp;":"&amp;MID(D2258,9,2)&amp;":"&amp;RIGHT(D2258,2)</f>
        <v/>
      </c>
      <c r="H2258" t="inlineStr">
        <is>
          <t>DDDA3AE20F51943C</t>
        </is>
      </c>
      <c r="J2258" t="inlineStr">
        <is>
          <t>DDDA3AE20F51943C</t>
        </is>
      </c>
    </row>
    <row r="2259">
      <c r="B2259">
        <f>IFERROR(INDEX(Companies!$A$3:$A$101,MATCH(A2259,Companies!$B$3:$B$101,0)),"")</f>
        <v/>
      </c>
      <c r="D2259" t="inlineStr">
        <is>
          <t>F80CA49E87B5</t>
        </is>
      </c>
      <c r="E2259" s="24">
        <f>LEFT(D2259,2)&amp;":"&amp;MID(D2259,3,2)&amp;":"&amp;MID(D2259,5,2)&amp;":"&amp;MID(D2259,7,2)&amp;":"&amp;MID(D2259,9,2)&amp;":"&amp;RIGHT(D2259,2)</f>
        <v/>
      </c>
      <c r="H2259" t="inlineStr">
        <is>
          <t>15E38AFD3A1020FE</t>
        </is>
      </c>
      <c r="J2259" t="inlineStr">
        <is>
          <t>15E38AFD3A1020FE</t>
        </is>
      </c>
    </row>
    <row r="2260">
      <c r="B2260">
        <f>IFERROR(INDEX(Companies!$A$3:$A$101,MATCH(A2260,Companies!$B$3:$B$101,0)),"")</f>
        <v/>
      </c>
      <c r="D2260" t="inlineStr">
        <is>
          <t>D8A0B3C27A46</t>
        </is>
      </c>
      <c r="E2260" s="24">
        <f>LEFT(D2260,2)&amp;":"&amp;MID(D2260,3,2)&amp;":"&amp;MID(D2260,5,2)&amp;":"&amp;MID(D2260,7,2)&amp;":"&amp;MID(D2260,9,2)&amp;":"&amp;RIGHT(D2260,2)</f>
        <v/>
      </c>
      <c r="H2260" t="inlineStr">
        <is>
          <t>C0B5F896C84C31C9</t>
        </is>
      </c>
      <c r="J2260" t="inlineStr">
        <is>
          <t>C0B5F896C84C31C9</t>
        </is>
      </c>
    </row>
    <row r="2261">
      <c r="B2261">
        <f>IFERROR(INDEX(Companies!$A$3:$A$101,MATCH(A2261,Companies!$B$3:$B$101,0)),"")</f>
        <v/>
      </c>
      <c r="D2261" t="inlineStr">
        <is>
          <t>EC1AA79F2B23</t>
        </is>
      </c>
      <c r="E2261" s="24">
        <f>LEFT(D2261,2)&amp;":"&amp;MID(D2261,3,2)&amp;":"&amp;MID(D2261,5,2)&amp;":"&amp;MID(D2261,7,2)&amp;":"&amp;MID(D2261,9,2)&amp;":"&amp;RIGHT(D2261,2)</f>
        <v/>
      </c>
      <c r="H2261" t="inlineStr">
        <is>
          <t>BF0F7BD22605BF24</t>
        </is>
      </c>
      <c r="J2261" t="inlineStr">
        <is>
          <t>BF0F7BD22605BF24</t>
        </is>
      </c>
    </row>
    <row r="2262">
      <c r="B2262">
        <f>IFERROR(INDEX(Companies!$A$3:$A$101,MATCH(A2262,Companies!$B$3:$B$101,0)),"")</f>
        <v/>
      </c>
      <c r="D2262" t="inlineStr">
        <is>
          <t>D93E911942BF</t>
        </is>
      </c>
      <c r="E2262" s="24">
        <f>LEFT(D2262,2)&amp;":"&amp;MID(D2262,3,2)&amp;":"&amp;MID(D2262,5,2)&amp;":"&amp;MID(D2262,7,2)&amp;":"&amp;MID(D2262,9,2)&amp;":"&amp;RIGHT(D2262,2)</f>
        <v/>
      </c>
      <c r="H2262" t="inlineStr">
        <is>
          <t>D4C19A84DA640964</t>
        </is>
      </c>
      <c r="J2262" t="inlineStr">
        <is>
          <t>D4C19A84DA640964</t>
        </is>
      </c>
    </row>
    <row r="2263">
      <c r="B2263">
        <f>IFERROR(INDEX(Companies!$A$3:$A$101,MATCH(A2263,Companies!$B$3:$B$101,0)),"")</f>
        <v/>
      </c>
      <c r="D2263" t="inlineStr">
        <is>
          <t>EAF98FE23B1E</t>
        </is>
      </c>
      <c r="E2263" s="24">
        <f>LEFT(D2263,2)&amp;":"&amp;MID(D2263,3,2)&amp;":"&amp;MID(D2263,5,2)&amp;":"&amp;MID(D2263,7,2)&amp;":"&amp;MID(D2263,9,2)&amp;":"&amp;RIGHT(D2263,2)</f>
        <v/>
      </c>
      <c r="H2263" t="inlineStr">
        <is>
          <t>6F67FA45C5D9E80A</t>
        </is>
      </c>
      <c r="J2263" t="inlineStr">
        <is>
          <t>6F67FA45C5D9E80A</t>
        </is>
      </c>
    </row>
    <row r="2264">
      <c r="B2264">
        <f>IFERROR(INDEX(Companies!$A$3:$A$101,MATCH(A2264,Companies!$B$3:$B$101,0)),"")</f>
        <v/>
      </c>
      <c r="D2264" t="inlineStr">
        <is>
          <t>E3F86A108BB9</t>
        </is>
      </c>
      <c r="E2264" s="24">
        <f>LEFT(D2264,2)&amp;":"&amp;MID(D2264,3,2)&amp;":"&amp;MID(D2264,5,2)&amp;":"&amp;MID(D2264,7,2)&amp;":"&amp;MID(D2264,9,2)&amp;":"&amp;RIGHT(D2264,2)</f>
        <v/>
      </c>
      <c r="H2264" t="inlineStr">
        <is>
          <t>8916DFD0998E2088</t>
        </is>
      </c>
      <c r="J2264" t="inlineStr">
        <is>
          <t>8916DFD0998E2088</t>
        </is>
      </c>
    </row>
    <row r="2265">
      <c r="B2265">
        <f>IFERROR(INDEX(Companies!$A$3:$A$101,MATCH(A2265,Companies!$B$3:$B$101,0)),"")</f>
        <v/>
      </c>
      <c r="D2265" t="inlineStr">
        <is>
          <t>EBF7BF4E3D95</t>
        </is>
      </c>
      <c r="E2265" s="24">
        <f>LEFT(D2265,2)&amp;":"&amp;MID(D2265,3,2)&amp;":"&amp;MID(D2265,5,2)&amp;":"&amp;MID(D2265,7,2)&amp;":"&amp;MID(D2265,9,2)&amp;":"&amp;RIGHT(D2265,2)</f>
        <v/>
      </c>
      <c r="H2265" t="inlineStr">
        <is>
          <t>83BCE0EF0FF79317</t>
        </is>
      </c>
      <c r="J2265" t="inlineStr">
        <is>
          <t>83BCE0EF0FF79317</t>
        </is>
      </c>
    </row>
    <row r="2266">
      <c r="B2266">
        <f>IFERROR(INDEX(Companies!$A$3:$A$101,MATCH(A2266,Companies!$B$3:$B$101,0)),"")</f>
        <v/>
      </c>
      <c r="D2266" t="inlineStr">
        <is>
          <t>C43F3995BC99</t>
        </is>
      </c>
      <c r="E2266" s="24">
        <f>LEFT(D2266,2)&amp;":"&amp;MID(D2266,3,2)&amp;":"&amp;MID(D2266,5,2)&amp;":"&amp;MID(D2266,7,2)&amp;":"&amp;MID(D2266,9,2)&amp;":"&amp;RIGHT(D2266,2)</f>
        <v/>
      </c>
      <c r="H2266" t="inlineStr">
        <is>
          <t>C344A494B9CDB732</t>
        </is>
      </c>
      <c r="J2266" t="inlineStr">
        <is>
          <t>C344A494B9CDB732</t>
        </is>
      </c>
    </row>
    <row r="2267">
      <c r="B2267">
        <f>IFERROR(INDEX(Companies!$A$3:$A$101,MATCH(A2267,Companies!$B$3:$B$101,0)),"")</f>
        <v/>
      </c>
      <c r="D2267" t="inlineStr">
        <is>
          <t>C7B2C34EA45C</t>
        </is>
      </c>
      <c r="E2267" s="24">
        <f>LEFT(D2267,2)&amp;":"&amp;MID(D2267,3,2)&amp;":"&amp;MID(D2267,5,2)&amp;":"&amp;MID(D2267,7,2)&amp;":"&amp;MID(D2267,9,2)&amp;":"&amp;RIGHT(D2267,2)</f>
        <v/>
      </c>
      <c r="H2267" t="inlineStr">
        <is>
          <t>C6FA0146210E3925</t>
        </is>
      </c>
      <c r="J2267" t="inlineStr">
        <is>
          <t>C6FA0146210E3925</t>
        </is>
      </c>
    </row>
    <row r="2268">
      <c r="B2268">
        <f>IFERROR(INDEX(Companies!$A$3:$A$101,MATCH(A2268,Companies!$B$3:$B$101,0)),"")</f>
        <v/>
      </c>
      <c r="D2268" t="inlineStr">
        <is>
          <t>F1DEEED0AC54</t>
        </is>
      </c>
      <c r="E2268" s="24">
        <f>LEFT(D2268,2)&amp;":"&amp;MID(D2268,3,2)&amp;":"&amp;MID(D2268,5,2)&amp;":"&amp;MID(D2268,7,2)&amp;":"&amp;MID(D2268,9,2)&amp;":"&amp;RIGHT(D2268,2)</f>
        <v/>
      </c>
      <c r="H2268" t="inlineStr">
        <is>
          <t>8E3E9589651C74D8</t>
        </is>
      </c>
      <c r="J2268" t="inlineStr">
        <is>
          <t>8E3E9589651C74D8</t>
        </is>
      </c>
    </row>
    <row r="2269">
      <c r="B2269">
        <f>IFERROR(INDEX(Companies!$A$3:$A$101,MATCH(A2269,Companies!$B$3:$B$101,0)),"")</f>
        <v/>
      </c>
      <c r="D2269" t="inlineStr">
        <is>
          <t>F40AFD9D3DA6</t>
        </is>
      </c>
      <c r="E2269" s="24">
        <f>LEFT(D2269,2)&amp;":"&amp;MID(D2269,3,2)&amp;":"&amp;MID(D2269,5,2)&amp;":"&amp;MID(D2269,7,2)&amp;":"&amp;MID(D2269,9,2)&amp;":"&amp;RIGHT(D2269,2)</f>
        <v/>
      </c>
      <c r="H2269" t="inlineStr">
        <is>
          <t>22EF441917D73332</t>
        </is>
      </c>
      <c r="J2269" t="inlineStr">
        <is>
          <t>22EF441917D73332</t>
        </is>
      </c>
    </row>
    <row r="2270">
      <c r="B2270">
        <f>IFERROR(INDEX(Companies!$A$3:$A$101,MATCH(A2270,Companies!$B$3:$B$101,0)),"")</f>
        <v/>
      </c>
      <c r="D2270" t="inlineStr">
        <is>
          <t>F722C4F35709</t>
        </is>
      </c>
      <c r="E2270" s="24">
        <f>LEFT(D2270,2)&amp;":"&amp;MID(D2270,3,2)&amp;":"&amp;MID(D2270,5,2)&amp;":"&amp;MID(D2270,7,2)&amp;":"&amp;MID(D2270,9,2)&amp;":"&amp;RIGHT(D2270,2)</f>
        <v/>
      </c>
      <c r="H2270" t="inlineStr">
        <is>
          <t>784E0ECAD508C48C</t>
        </is>
      </c>
      <c r="J2270" t="inlineStr">
        <is>
          <t>784E0ECAD508C48C</t>
        </is>
      </c>
    </row>
    <row r="2271">
      <c r="B2271">
        <f>IFERROR(INDEX(Companies!$A$3:$A$101,MATCH(A2271,Companies!$B$3:$B$101,0)),"")</f>
        <v/>
      </c>
      <c r="D2271" t="inlineStr">
        <is>
          <t>F305985B430A</t>
        </is>
      </c>
      <c r="E2271" s="24">
        <f>LEFT(D2271,2)&amp;":"&amp;MID(D2271,3,2)&amp;":"&amp;MID(D2271,5,2)&amp;":"&amp;MID(D2271,7,2)&amp;":"&amp;MID(D2271,9,2)&amp;":"&amp;RIGHT(D2271,2)</f>
        <v/>
      </c>
      <c r="H2271" t="inlineStr">
        <is>
          <t>BF8D6C9135A3476C</t>
        </is>
      </c>
      <c r="J2271" t="inlineStr">
        <is>
          <t>BF8D6C9135A3476C</t>
        </is>
      </c>
    </row>
    <row r="2272">
      <c r="B2272">
        <f>IFERROR(INDEX(Companies!$A$3:$A$101,MATCH(A2272,Companies!$B$3:$B$101,0)),"")</f>
        <v/>
      </c>
      <c r="D2272" t="inlineStr">
        <is>
          <t>C1A6B6DD24C0</t>
        </is>
      </c>
      <c r="E2272" s="24">
        <f>LEFT(D2272,2)&amp;":"&amp;MID(D2272,3,2)&amp;":"&amp;MID(D2272,5,2)&amp;":"&amp;MID(D2272,7,2)&amp;":"&amp;MID(D2272,9,2)&amp;":"&amp;RIGHT(D2272,2)</f>
        <v/>
      </c>
      <c r="H2272" t="inlineStr">
        <is>
          <t>A5C9E85BF39F6086</t>
        </is>
      </c>
      <c r="J2272" t="inlineStr">
        <is>
          <t>A5C9E85BF39F6086</t>
        </is>
      </c>
    </row>
    <row r="2273">
      <c r="B2273">
        <f>IFERROR(INDEX(Companies!$A$3:$A$101,MATCH(A2273,Companies!$B$3:$B$101,0)),"")</f>
        <v/>
      </c>
      <c r="D2273" t="inlineStr">
        <is>
          <t>D98EC4B8C6BC</t>
        </is>
      </c>
      <c r="E2273" s="24">
        <f>LEFT(D2273,2)&amp;":"&amp;MID(D2273,3,2)&amp;":"&amp;MID(D2273,5,2)&amp;":"&amp;MID(D2273,7,2)&amp;":"&amp;MID(D2273,9,2)&amp;":"&amp;RIGHT(D2273,2)</f>
        <v/>
      </c>
      <c r="H2273" t="inlineStr">
        <is>
          <t>8801A83D158F17CC</t>
        </is>
      </c>
      <c r="J2273" t="inlineStr">
        <is>
          <t>8801A83D158F17CC</t>
        </is>
      </c>
    </row>
    <row r="2274">
      <c r="B2274">
        <f>IFERROR(INDEX(Companies!$A$3:$A$101,MATCH(A2274,Companies!$B$3:$B$101,0)),"")</f>
        <v/>
      </c>
      <c r="D2274" t="inlineStr">
        <is>
          <t>F9D259DD70E5</t>
        </is>
      </c>
      <c r="E2274" s="24">
        <f>LEFT(D2274,2)&amp;":"&amp;MID(D2274,3,2)&amp;":"&amp;MID(D2274,5,2)&amp;":"&amp;MID(D2274,7,2)&amp;":"&amp;MID(D2274,9,2)&amp;":"&amp;RIGHT(D2274,2)</f>
        <v/>
      </c>
      <c r="H2274" t="inlineStr">
        <is>
          <t>365DA927B9391FD9</t>
        </is>
      </c>
      <c r="J2274" t="inlineStr">
        <is>
          <t>365DA927B9391FD9</t>
        </is>
      </c>
    </row>
    <row r="2275">
      <c r="B2275">
        <f>IFERROR(INDEX(Companies!$A$3:$A$101,MATCH(A2275,Companies!$B$3:$B$101,0)),"")</f>
        <v/>
      </c>
      <c r="D2275" t="inlineStr">
        <is>
          <t>D52CC52DCE6B</t>
        </is>
      </c>
      <c r="E2275" s="24">
        <f>LEFT(D2275,2)&amp;":"&amp;MID(D2275,3,2)&amp;":"&amp;MID(D2275,5,2)&amp;":"&amp;MID(D2275,7,2)&amp;":"&amp;MID(D2275,9,2)&amp;":"&amp;RIGHT(D2275,2)</f>
        <v/>
      </c>
      <c r="H2275" t="inlineStr">
        <is>
          <t>A8C65C0BCF4CE559</t>
        </is>
      </c>
      <c r="J2275" t="inlineStr">
        <is>
          <t>A8C65C0BCF4CE559</t>
        </is>
      </c>
    </row>
    <row r="2276">
      <c r="B2276">
        <f>IFERROR(INDEX(Companies!$A$3:$A$101,MATCH(A2276,Companies!$B$3:$B$101,0)),"")</f>
        <v/>
      </c>
      <c r="D2276" t="inlineStr">
        <is>
          <t>D9AF8E4793CD</t>
        </is>
      </c>
      <c r="E2276" s="24">
        <f>LEFT(D2276,2)&amp;":"&amp;MID(D2276,3,2)&amp;":"&amp;MID(D2276,5,2)&amp;":"&amp;MID(D2276,7,2)&amp;":"&amp;MID(D2276,9,2)&amp;":"&amp;RIGHT(D2276,2)</f>
        <v/>
      </c>
      <c r="H2276" t="inlineStr">
        <is>
          <t>B131243CBBAA39FC</t>
        </is>
      </c>
      <c r="J2276" t="inlineStr">
        <is>
          <t>B131243CBBAA39FC</t>
        </is>
      </c>
    </row>
    <row r="2277">
      <c r="B2277">
        <f>IFERROR(INDEX(Companies!$A$3:$A$101,MATCH(A2277,Companies!$B$3:$B$101,0)),"")</f>
        <v/>
      </c>
      <c r="D2277" t="inlineStr">
        <is>
          <t>E1293B2766EF</t>
        </is>
      </c>
      <c r="E2277" s="24">
        <f>LEFT(D2277,2)&amp;":"&amp;MID(D2277,3,2)&amp;":"&amp;MID(D2277,5,2)&amp;":"&amp;MID(D2277,7,2)&amp;":"&amp;MID(D2277,9,2)&amp;":"&amp;RIGHT(D2277,2)</f>
        <v/>
      </c>
      <c r="H2277" t="inlineStr">
        <is>
          <t>43A6065F5F153474</t>
        </is>
      </c>
      <c r="J2277" t="inlineStr">
        <is>
          <t>43A6065F5F153474</t>
        </is>
      </c>
    </row>
    <row r="2278">
      <c r="B2278">
        <f>IFERROR(INDEX(Companies!$A$3:$A$101,MATCH(A2278,Companies!$B$3:$B$101,0)),"")</f>
        <v/>
      </c>
      <c r="D2278" t="inlineStr">
        <is>
          <t>C3DA1AF94798</t>
        </is>
      </c>
      <c r="E2278" s="24">
        <f>LEFT(D2278,2)&amp;":"&amp;MID(D2278,3,2)&amp;":"&amp;MID(D2278,5,2)&amp;":"&amp;MID(D2278,7,2)&amp;":"&amp;MID(D2278,9,2)&amp;":"&amp;RIGHT(D2278,2)</f>
        <v/>
      </c>
      <c r="H2278" t="inlineStr">
        <is>
          <t>3F10A9ED614D21DA</t>
        </is>
      </c>
      <c r="J2278" t="inlineStr">
        <is>
          <t>3F10A9ED614D21DA</t>
        </is>
      </c>
    </row>
    <row r="2279">
      <c r="B2279">
        <f>IFERROR(INDEX(Companies!$A$3:$A$101,MATCH(A2279,Companies!$B$3:$B$101,0)),"")</f>
        <v/>
      </c>
      <c r="D2279" t="inlineStr">
        <is>
          <t>C66D59B422FE</t>
        </is>
      </c>
      <c r="E2279" s="24">
        <f>LEFT(D2279,2)&amp;":"&amp;MID(D2279,3,2)&amp;":"&amp;MID(D2279,5,2)&amp;":"&amp;MID(D2279,7,2)&amp;":"&amp;MID(D2279,9,2)&amp;":"&amp;RIGHT(D2279,2)</f>
        <v/>
      </c>
      <c r="H2279" t="inlineStr">
        <is>
          <t>44C62A8297868560</t>
        </is>
      </c>
      <c r="J2279" t="inlineStr">
        <is>
          <t>44C62A8297868560</t>
        </is>
      </c>
    </row>
    <row r="2280">
      <c r="B2280">
        <f>IFERROR(INDEX(Companies!$A$3:$A$101,MATCH(A2280,Companies!$B$3:$B$101,0)),"")</f>
        <v/>
      </c>
      <c r="D2280" t="inlineStr">
        <is>
          <t>DCE7612A4383</t>
        </is>
      </c>
      <c r="E2280" s="24">
        <f>LEFT(D2280,2)&amp;":"&amp;MID(D2280,3,2)&amp;":"&amp;MID(D2280,5,2)&amp;":"&amp;MID(D2280,7,2)&amp;":"&amp;MID(D2280,9,2)&amp;":"&amp;RIGHT(D2280,2)</f>
        <v/>
      </c>
      <c r="H2280" t="inlineStr">
        <is>
          <t>55B09040AE756C18</t>
        </is>
      </c>
      <c r="J2280" t="inlineStr">
        <is>
          <t>55B09040AE756C18</t>
        </is>
      </c>
    </row>
    <row r="2281">
      <c r="B2281">
        <f>IFERROR(INDEX(Companies!$A$3:$A$101,MATCH(A2281,Companies!$B$3:$B$101,0)),"")</f>
        <v/>
      </c>
      <c r="D2281" t="inlineStr">
        <is>
          <t>CBC691A8A6A9</t>
        </is>
      </c>
      <c r="E2281" s="24">
        <f>LEFT(D2281,2)&amp;":"&amp;MID(D2281,3,2)&amp;":"&amp;MID(D2281,5,2)&amp;":"&amp;MID(D2281,7,2)&amp;":"&amp;MID(D2281,9,2)&amp;":"&amp;RIGHT(D2281,2)</f>
        <v/>
      </c>
      <c r="H2281" t="inlineStr">
        <is>
          <t>A239605EC4150695</t>
        </is>
      </c>
      <c r="J2281" t="inlineStr">
        <is>
          <t>A239605EC4150695</t>
        </is>
      </c>
    </row>
    <row r="2282">
      <c r="B2282">
        <f>IFERROR(INDEX(Companies!$A$3:$A$101,MATCH(A2282,Companies!$B$3:$B$101,0)),"")</f>
        <v/>
      </c>
      <c r="D2282" t="inlineStr">
        <is>
          <t>C80AF1D34D92</t>
        </is>
      </c>
      <c r="E2282" s="24">
        <f>LEFT(D2282,2)&amp;":"&amp;MID(D2282,3,2)&amp;":"&amp;MID(D2282,5,2)&amp;":"&amp;MID(D2282,7,2)&amp;":"&amp;MID(D2282,9,2)&amp;":"&amp;RIGHT(D2282,2)</f>
        <v/>
      </c>
      <c r="H2282" t="inlineStr">
        <is>
          <t>3BF6D2276E77E0C0</t>
        </is>
      </c>
      <c r="J2282" t="inlineStr">
        <is>
          <t>3BF6D2276E77E0C0</t>
        </is>
      </c>
    </row>
    <row r="2283">
      <c r="B2283">
        <f>IFERROR(INDEX(Companies!$A$3:$A$101,MATCH(A2283,Companies!$B$3:$B$101,0)),"")</f>
        <v/>
      </c>
      <c r="D2283" t="inlineStr">
        <is>
          <t>D1B4A41D2063</t>
        </is>
      </c>
      <c r="E2283" s="24">
        <f>LEFT(D2283,2)&amp;":"&amp;MID(D2283,3,2)&amp;":"&amp;MID(D2283,5,2)&amp;":"&amp;MID(D2283,7,2)&amp;":"&amp;MID(D2283,9,2)&amp;":"&amp;RIGHT(D2283,2)</f>
        <v/>
      </c>
      <c r="H2283" t="inlineStr">
        <is>
          <t>5BB89CDF3462C3E7</t>
        </is>
      </c>
      <c r="J2283" t="inlineStr">
        <is>
          <t>5BB89CDF3462C3E7</t>
        </is>
      </c>
    </row>
    <row r="2284">
      <c r="B2284">
        <f>IFERROR(INDEX(Companies!$A$3:$A$101,MATCH(A2284,Companies!$B$3:$B$101,0)),"")</f>
        <v/>
      </c>
      <c r="D2284" t="inlineStr">
        <is>
          <t>D6350B59359D</t>
        </is>
      </c>
      <c r="E2284" s="24">
        <f>LEFT(D2284,2)&amp;":"&amp;MID(D2284,3,2)&amp;":"&amp;MID(D2284,5,2)&amp;":"&amp;MID(D2284,7,2)&amp;":"&amp;MID(D2284,9,2)&amp;":"&amp;RIGHT(D2284,2)</f>
        <v/>
      </c>
      <c r="H2284" t="inlineStr">
        <is>
          <t>CB2E7A23F11F93E5</t>
        </is>
      </c>
      <c r="J2284" t="inlineStr">
        <is>
          <t>CB2E7A23F11F93E5</t>
        </is>
      </c>
    </row>
    <row r="2285">
      <c r="B2285">
        <f>IFERROR(INDEX(Companies!$A$3:$A$101,MATCH(A2285,Companies!$B$3:$B$101,0)),"")</f>
        <v/>
      </c>
      <c r="D2285" t="inlineStr">
        <is>
          <t>E17334C947DA</t>
        </is>
      </c>
      <c r="E2285" s="24">
        <f>LEFT(D2285,2)&amp;":"&amp;MID(D2285,3,2)&amp;":"&amp;MID(D2285,5,2)&amp;":"&amp;MID(D2285,7,2)&amp;":"&amp;MID(D2285,9,2)&amp;":"&amp;RIGHT(D2285,2)</f>
        <v/>
      </c>
      <c r="H2285" t="inlineStr">
        <is>
          <t>0EC90FF7E2D4B5C4</t>
        </is>
      </c>
      <c r="J2285" t="inlineStr">
        <is>
          <t>0EC90FF7E2D4B5C4</t>
        </is>
      </c>
    </row>
    <row r="2286">
      <c r="B2286">
        <f>IFERROR(INDEX(Companies!$A$3:$A$101,MATCH(A2286,Companies!$B$3:$B$101,0)),"")</f>
        <v/>
      </c>
      <c r="D2286" t="inlineStr">
        <is>
          <t>C41806207231</t>
        </is>
      </c>
      <c r="E2286" s="24">
        <f>LEFT(D2286,2)&amp;":"&amp;MID(D2286,3,2)&amp;":"&amp;MID(D2286,5,2)&amp;":"&amp;MID(D2286,7,2)&amp;":"&amp;MID(D2286,9,2)&amp;":"&amp;RIGHT(D2286,2)</f>
        <v/>
      </c>
      <c r="H2286" t="inlineStr">
        <is>
          <t>4F34BBB6CC17C263</t>
        </is>
      </c>
      <c r="J2286" t="inlineStr">
        <is>
          <t>4F34BBB6CC17C263</t>
        </is>
      </c>
    </row>
    <row r="2287">
      <c r="B2287">
        <f>IFERROR(INDEX(Companies!$A$3:$A$101,MATCH(A2287,Companies!$B$3:$B$101,0)),"")</f>
        <v/>
      </c>
      <c r="D2287" t="inlineStr">
        <is>
          <t>CA2D5F12F002</t>
        </is>
      </c>
      <c r="E2287" s="24">
        <f>LEFT(D2287,2)&amp;":"&amp;MID(D2287,3,2)&amp;":"&amp;MID(D2287,5,2)&amp;":"&amp;MID(D2287,7,2)&amp;":"&amp;MID(D2287,9,2)&amp;":"&amp;RIGHT(D2287,2)</f>
        <v/>
      </c>
      <c r="H2287" t="inlineStr">
        <is>
          <t>3DCECDCAFB2D5769</t>
        </is>
      </c>
      <c r="J2287" t="inlineStr">
        <is>
          <t>3DCECDCAFB2D5769</t>
        </is>
      </c>
    </row>
    <row r="2288">
      <c r="B2288">
        <f>IFERROR(INDEX(Companies!$A$3:$A$101,MATCH(A2288,Companies!$B$3:$B$101,0)),"")</f>
        <v/>
      </c>
      <c r="D2288" t="inlineStr">
        <is>
          <t>E30F78D342C9</t>
        </is>
      </c>
      <c r="E2288" s="24">
        <f>LEFT(D2288,2)&amp;":"&amp;MID(D2288,3,2)&amp;":"&amp;MID(D2288,5,2)&amp;":"&amp;MID(D2288,7,2)&amp;":"&amp;MID(D2288,9,2)&amp;":"&amp;RIGHT(D2288,2)</f>
        <v/>
      </c>
      <c r="H2288" t="inlineStr">
        <is>
          <t>8135F9B944A5A822</t>
        </is>
      </c>
      <c r="J2288" t="inlineStr">
        <is>
          <t>8135F9B944A5A822</t>
        </is>
      </c>
    </row>
    <row r="2289">
      <c r="B2289">
        <f>IFERROR(INDEX(Companies!$A$3:$A$101,MATCH(A2289,Companies!$B$3:$B$101,0)),"")</f>
        <v/>
      </c>
      <c r="D2289" t="inlineStr">
        <is>
          <t>D649D726D550</t>
        </is>
      </c>
      <c r="E2289" s="24">
        <f>LEFT(D2289,2)&amp;":"&amp;MID(D2289,3,2)&amp;":"&amp;MID(D2289,5,2)&amp;":"&amp;MID(D2289,7,2)&amp;":"&amp;MID(D2289,9,2)&amp;":"&amp;RIGHT(D2289,2)</f>
        <v/>
      </c>
      <c r="H2289" t="inlineStr">
        <is>
          <t>E422D36083946A60</t>
        </is>
      </c>
      <c r="J2289" t="inlineStr">
        <is>
          <t>E422D36083946A60</t>
        </is>
      </c>
    </row>
    <row r="2290">
      <c r="B2290">
        <f>IFERROR(INDEX(Companies!$A$3:$A$101,MATCH(A2290,Companies!$B$3:$B$101,0)),"")</f>
        <v/>
      </c>
      <c r="D2290" t="inlineStr">
        <is>
          <t>CECD840525A5</t>
        </is>
      </c>
      <c r="E2290" s="24">
        <f>LEFT(D2290,2)&amp;":"&amp;MID(D2290,3,2)&amp;":"&amp;MID(D2290,5,2)&amp;":"&amp;MID(D2290,7,2)&amp;":"&amp;MID(D2290,9,2)&amp;":"&amp;RIGHT(D2290,2)</f>
        <v/>
      </c>
      <c r="H2290" t="inlineStr">
        <is>
          <t>3528E5D20AD3714B</t>
        </is>
      </c>
      <c r="J2290" t="inlineStr">
        <is>
          <t>3528E5D20AD3714B</t>
        </is>
      </c>
    </row>
    <row r="2291">
      <c r="B2291">
        <f>IFERROR(INDEX(Companies!$A$3:$A$101,MATCH(A2291,Companies!$B$3:$B$101,0)),"")</f>
        <v/>
      </c>
      <c r="D2291" t="inlineStr">
        <is>
          <t>E698F19BB2AA</t>
        </is>
      </c>
      <c r="E2291" s="24">
        <f>LEFT(D2291,2)&amp;":"&amp;MID(D2291,3,2)&amp;":"&amp;MID(D2291,5,2)&amp;":"&amp;MID(D2291,7,2)&amp;":"&amp;MID(D2291,9,2)&amp;":"&amp;RIGHT(D2291,2)</f>
        <v/>
      </c>
      <c r="H2291" s="18" t="inlineStr">
        <is>
          <t>54E623528CF792A5</t>
        </is>
      </c>
      <c r="J2291" t="inlineStr">
        <is>
          <t>54E623528CF792A5</t>
        </is>
      </c>
    </row>
    <row r="2292">
      <c r="B2292">
        <f>IFERROR(INDEX(Companies!$A$3:$A$101,MATCH(A2292,Companies!$B$3:$B$101,0)),"")</f>
        <v/>
      </c>
      <c r="D2292" t="inlineStr">
        <is>
          <t>D54340C36436</t>
        </is>
      </c>
      <c r="E2292" s="24">
        <f>LEFT(D2292,2)&amp;":"&amp;MID(D2292,3,2)&amp;":"&amp;MID(D2292,5,2)&amp;":"&amp;MID(D2292,7,2)&amp;":"&amp;MID(D2292,9,2)&amp;":"&amp;RIGHT(D2292,2)</f>
        <v/>
      </c>
      <c r="H2292" t="inlineStr">
        <is>
          <t>2384FB02CFAA740F</t>
        </is>
      </c>
      <c r="J2292" t="inlineStr">
        <is>
          <t>2384FB02CFAA740F</t>
        </is>
      </c>
    </row>
    <row r="2293">
      <c r="B2293">
        <f>IFERROR(INDEX(Companies!$A$3:$A$101,MATCH(A2293,Companies!$B$3:$B$101,0)),"")</f>
        <v/>
      </c>
      <c r="D2293" t="inlineStr">
        <is>
          <t>D0DFE7C2047A</t>
        </is>
      </c>
      <c r="E2293" s="24">
        <f>LEFT(D2293,2)&amp;":"&amp;MID(D2293,3,2)&amp;":"&amp;MID(D2293,5,2)&amp;":"&amp;MID(D2293,7,2)&amp;":"&amp;MID(D2293,9,2)&amp;":"&amp;RIGHT(D2293,2)</f>
        <v/>
      </c>
      <c r="H2293" t="inlineStr">
        <is>
          <t>EA418D37FDAD9C30</t>
        </is>
      </c>
      <c r="J2293" t="inlineStr">
        <is>
          <t>EA418D37FDAD9C30</t>
        </is>
      </c>
    </row>
    <row r="2294">
      <c r="B2294">
        <f>IFERROR(INDEX(Companies!$A$3:$A$101,MATCH(A2294,Companies!$B$3:$B$101,0)),"")</f>
        <v/>
      </c>
      <c r="D2294" t="inlineStr">
        <is>
          <t>DE03E379E4DE</t>
        </is>
      </c>
      <c r="E2294" s="24">
        <f>LEFT(D2294,2)&amp;":"&amp;MID(D2294,3,2)&amp;":"&amp;MID(D2294,5,2)&amp;":"&amp;MID(D2294,7,2)&amp;":"&amp;MID(D2294,9,2)&amp;":"&amp;RIGHT(D2294,2)</f>
        <v/>
      </c>
      <c r="H2294" t="inlineStr">
        <is>
          <t>083B72A0AE3BB1D5</t>
        </is>
      </c>
      <c r="J2294" t="inlineStr">
        <is>
          <t>083B72A0AE3BB1D5</t>
        </is>
      </c>
    </row>
    <row r="2295">
      <c r="B2295">
        <f>IFERROR(INDEX(Companies!$A$3:$A$101,MATCH(A2295,Companies!$B$3:$B$101,0)),"")</f>
        <v/>
      </c>
      <c r="D2295" t="inlineStr">
        <is>
          <t>D617987654AC</t>
        </is>
      </c>
      <c r="E2295" s="24">
        <f>LEFT(D2295,2)&amp;":"&amp;MID(D2295,3,2)&amp;":"&amp;MID(D2295,5,2)&amp;":"&amp;MID(D2295,7,2)&amp;":"&amp;MID(D2295,9,2)&amp;":"&amp;RIGHT(D2295,2)</f>
        <v/>
      </c>
      <c r="H2295" t="inlineStr">
        <is>
          <t>97D48A6AC1871232</t>
        </is>
      </c>
      <c r="J2295" t="inlineStr">
        <is>
          <t>97D48A6AC1871232</t>
        </is>
      </c>
    </row>
    <row r="2296">
      <c r="B2296">
        <f>IFERROR(INDEX(Companies!$A$3:$A$101,MATCH(A2296,Companies!$B$3:$B$101,0)),"")</f>
        <v/>
      </c>
      <c r="D2296" t="inlineStr">
        <is>
          <t>CDB1EBB65399</t>
        </is>
      </c>
      <c r="E2296" s="24">
        <f>LEFT(D2296,2)&amp;":"&amp;MID(D2296,3,2)&amp;":"&amp;MID(D2296,5,2)&amp;":"&amp;MID(D2296,7,2)&amp;":"&amp;MID(D2296,9,2)&amp;":"&amp;RIGHT(D2296,2)</f>
        <v/>
      </c>
      <c r="H2296" t="inlineStr">
        <is>
          <t>6C34746E929A6C1F</t>
        </is>
      </c>
      <c r="J2296" t="inlineStr">
        <is>
          <t>6C34746E929A6C1F</t>
        </is>
      </c>
    </row>
    <row r="2297">
      <c r="B2297">
        <f>IFERROR(INDEX(Companies!$A$3:$A$101,MATCH(A2297,Companies!$B$3:$B$101,0)),"")</f>
        <v/>
      </c>
      <c r="D2297" t="inlineStr">
        <is>
          <t>DB8A349A9651</t>
        </is>
      </c>
      <c r="E2297" s="24">
        <f>LEFT(D2297,2)&amp;":"&amp;MID(D2297,3,2)&amp;":"&amp;MID(D2297,5,2)&amp;":"&amp;MID(D2297,7,2)&amp;":"&amp;MID(D2297,9,2)&amp;":"&amp;RIGHT(D2297,2)</f>
        <v/>
      </c>
      <c r="H2297" t="inlineStr">
        <is>
          <t>50D77844FA0316F6</t>
        </is>
      </c>
      <c r="J2297" t="inlineStr">
        <is>
          <t>50D77844FA0316F6</t>
        </is>
      </c>
    </row>
    <row r="2298">
      <c r="B2298">
        <f>IFERROR(INDEX(Companies!$A$3:$A$101,MATCH(A2298,Companies!$B$3:$B$101,0)),"")</f>
        <v/>
      </c>
      <c r="D2298" t="inlineStr">
        <is>
          <t>C8618E54E4BF</t>
        </is>
      </c>
      <c r="E2298" s="24">
        <f>LEFT(D2298,2)&amp;":"&amp;MID(D2298,3,2)&amp;":"&amp;MID(D2298,5,2)&amp;":"&amp;MID(D2298,7,2)&amp;":"&amp;MID(D2298,9,2)&amp;":"&amp;RIGHT(D2298,2)</f>
        <v/>
      </c>
      <c r="H2298" t="inlineStr">
        <is>
          <t>E2657AE924F59020</t>
        </is>
      </c>
      <c r="J2298" t="inlineStr">
        <is>
          <t>E2657AE924F59020</t>
        </is>
      </c>
    </row>
    <row r="2299">
      <c r="B2299">
        <f>IFERROR(INDEX(Companies!$A$3:$A$101,MATCH(A2299,Companies!$B$3:$B$101,0)),"")</f>
        <v/>
      </c>
      <c r="D2299" t="inlineStr">
        <is>
          <t>F5CF0CDAB04D</t>
        </is>
      </c>
      <c r="E2299" s="24">
        <f>LEFT(D2299,2)&amp;":"&amp;MID(D2299,3,2)&amp;":"&amp;MID(D2299,5,2)&amp;":"&amp;MID(D2299,7,2)&amp;":"&amp;MID(D2299,9,2)&amp;":"&amp;RIGHT(D2299,2)</f>
        <v/>
      </c>
      <c r="H2299" t="inlineStr">
        <is>
          <t>3160C9C15ECA945B</t>
        </is>
      </c>
      <c r="J2299" t="inlineStr">
        <is>
          <t>3160C9C15ECA945B</t>
        </is>
      </c>
    </row>
    <row r="2300">
      <c r="B2300">
        <f>IFERROR(INDEX(Companies!$A$3:$A$101,MATCH(A2300,Companies!$B$3:$B$101,0)),"")</f>
        <v/>
      </c>
      <c r="D2300" t="inlineStr">
        <is>
          <t>ECB9ED1977B4</t>
        </is>
      </c>
      <c r="E2300" s="24">
        <f>LEFT(D2300,2)&amp;":"&amp;MID(D2300,3,2)&amp;":"&amp;MID(D2300,5,2)&amp;":"&amp;MID(D2300,7,2)&amp;":"&amp;MID(D2300,9,2)&amp;":"&amp;RIGHT(D2300,2)</f>
        <v/>
      </c>
      <c r="H2300" t="inlineStr">
        <is>
          <t>E858786D2D25F943</t>
        </is>
      </c>
      <c r="J2300" t="inlineStr">
        <is>
          <t>E858786D2D25F943</t>
        </is>
      </c>
    </row>
    <row r="2301">
      <c r="B2301">
        <f>IFERROR(INDEX(Companies!$A$3:$A$101,MATCH(A2301,Companies!$B$3:$B$101,0)),"")</f>
        <v/>
      </c>
      <c r="D2301" t="inlineStr">
        <is>
          <t>E7626B8C1FCE</t>
        </is>
      </c>
      <c r="E2301" s="24">
        <f>LEFT(D2301,2)&amp;":"&amp;MID(D2301,3,2)&amp;":"&amp;MID(D2301,5,2)&amp;":"&amp;MID(D2301,7,2)&amp;":"&amp;MID(D2301,9,2)&amp;":"&amp;RIGHT(D2301,2)</f>
        <v/>
      </c>
      <c r="H2301" t="inlineStr">
        <is>
          <t>2C5CABB83F6FE22B</t>
        </is>
      </c>
      <c r="J2301" t="inlineStr">
        <is>
          <t>2C5CABB83F6FE22B</t>
        </is>
      </c>
    </row>
    <row r="2302">
      <c r="B2302">
        <f>IFERROR(INDEX(Companies!$A$3:$A$101,MATCH(A2302,Companies!$B$3:$B$101,0)),"")</f>
        <v/>
      </c>
      <c r="D2302" t="inlineStr">
        <is>
          <t>D95FE8F1ACEA</t>
        </is>
      </c>
      <c r="E2302" s="24">
        <f>LEFT(D2302,2)&amp;":"&amp;MID(D2302,3,2)&amp;":"&amp;MID(D2302,5,2)&amp;":"&amp;MID(D2302,7,2)&amp;":"&amp;MID(D2302,9,2)&amp;":"&amp;RIGHT(D2302,2)</f>
        <v/>
      </c>
      <c r="H2302" t="inlineStr">
        <is>
          <t>2F18A8A7C4096233</t>
        </is>
      </c>
      <c r="J2302" t="inlineStr">
        <is>
          <t>2F18A8A7C4096233</t>
        </is>
      </c>
    </row>
    <row r="2303">
      <c r="B2303">
        <f>IFERROR(INDEX(Companies!$A$3:$A$101,MATCH(A2303,Companies!$B$3:$B$101,0)),"")</f>
        <v/>
      </c>
      <c r="D2303" t="inlineStr">
        <is>
          <t>F4F2F0401E68</t>
        </is>
      </c>
      <c r="E2303" s="24">
        <f>LEFT(D2303,2)&amp;":"&amp;MID(D2303,3,2)&amp;":"&amp;MID(D2303,5,2)&amp;":"&amp;MID(D2303,7,2)&amp;":"&amp;MID(D2303,9,2)&amp;":"&amp;RIGHT(D2303,2)</f>
        <v/>
      </c>
      <c r="H2303" t="inlineStr">
        <is>
          <t>6F1B565F0280256A</t>
        </is>
      </c>
      <c r="J2303" t="inlineStr">
        <is>
          <t>6F1B565F0280256A</t>
        </is>
      </c>
    </row>
    <row r="2304">
      <c r="B2304">
        <f>IFERROR(INDEX(Companies!$A$3:$A$101,MATCH(A2304,Companies!$B$3:$B$101,0)),"")</f>
        <v/>
      </c>
      <c r="D2304" t="inlineStr">
        <is>
          <t>E409AE227441</t>
        </is>
      </c>
      <c r="E2304" s="24">
        <f>LEFT(D2304,2)&amp;":"&amp;MID(D2304,3,2)&amp;":"&amp;MID(D2304,5,2)&amp;":"&amp;MID(D2304,7,2)&amp;":"&amp;MID(D2304,9,2)&amp;":"&amp;RIGHT(D2304,2)</f>
        <v/>
      </c>
      <c r="H2304" t="inlineStr">
        <is>
          <t>2B8088B6749AE021</t>
        </is>
      </c>
      <c r="J2304" t="inlineStr">
        <is>
          <t>2B8088B6749AE021</t>
        </is>
      </c>
    </row>
    <row r="2305">
      <c r="B2305">
        <f>IFERROR(INDEX(Companies!$A$3:$A$101,MATCH(A2305,Companies!$B$3:$B$101,0)),"")</f>
        <v/>
      </c>
      <c r="D2305" t="inlineStr">
        <is>
          <t>EB9B96A90AE8</t>
        </is>
      </c>
      <c r="E2305" s="24">
        <f>LEFT(D2305,2)&amp;":"&amp;MID(D2305,3,2)&amp;":"&amp;MID(D2305,5,2)&amp;":"&amp;MID(D2305,7,2)&amp;":"&amp;MID(D2305,9,2)&amp;":"&amp;RIGHT(D2305,2)</f>
        <v/>
      </c>
      <c r="H2305" t="inlineStr">
        <is>
          <t>240166164347C0ED</t>
        </is>
      </c>
      <c r="J2305" t="inlineStr">
        <is>
          <t>240166164347C0ED</t>
        </is>
      </c>
    </row>
    <row r="2306">
      <c r="B2306">
        <f>IFERROR(INDEX(Companies!$A$3:$A$101,MATCH(A2306,Companies!$B$3:$B$101,0)),"")</f>
        <v/>
      </c>
      <c r="D2306" t="inlineStr">
        <is>
          <t>E91CED8161FC</t>
        </is>
      </c>
      <c r="E2306" s="24">
        <f>LEFT(D2306,2)&amp;":"&amp;MID(D2306,3,2)&amp;":"&amp;MID(D2306,5,2)&amp;":"&amp;MID(D2306,7,2)&amp;":"&amp;MID(D2306,9,2)&amp;":"&amp;RIGHT(D2306,2)</f>
        <v/>
      </c>
      <c r="H2306" t="inlineStr">
        <is>
          <t>4B21C735AC814A20</t>
        </is>
      </c>
      <c r="J2306" t="inlineStr">
        <is>
          <t>4B21C735AC814A20</t>
        </is>
      </c>
    </row>
    <row r="2307">
      <c r="B2307">
        <f>IFERROR(INDEX(Companies!$A$3:$A$101,MATCH(A2307,Companies!$B$3:$B$101,0)),"")</f>
        <v/>
      </c>
      <c r="D2307" t="inlineStr">
        <is>
          <t>F43874690DB0</t>
        </is>
      </c>
      <c r="E2307" s="24">
        <f>LEFT(D2307,2)&amp;":"&amp;MID(D2307,3,2)&amp;":"&amp;MID(D2307,5,2)&amp;":"&amp;MID(D2307,7,2)&amp;":"&amp;MID(D2307,9,2)&amp;":"&amp;RIGHT(D2307,2)</f>
        <v/>
      </c>
      <c r="H2307" t="inlineStr">
        <is>
          <t>1D74B89526A13439</t>
        </is>
      </c>
      <c r="J2307" t="inlineStr">
        <is>
          <t>1D74B89526A13439</t>
        </is>
      </c>
    </row>
    <row r="2308">
      <c r="B2308">
        <f>IFERROR(INDEX(Companies!$A$3:$A$101,MATCH(A2308,Companies!$B$3:$B$101,0)),"")</f>
        <v/>
      </c>
      <c r="D2308" t="inlineStr">
        <is>
          <t>C77A144567D4</t>
        </is>
      </c>
      <c r="E2308" s="24">
        <f>LEFT(D2308,2)&amp;":"&amp;MID(D2308,3,2)&amp;":"&amp;MID(D2308,5,2)&amp;":"&amp;MID(D2308,7,2)&amp;":"&amp;MID(D2308,9,2)&amp;":"&amp;RIGHT(D2308,2)</f>
        <v/>
      </c>
      <c r="H2308" t="inlineStr">
        <is>
          <t>212C2EA2EC6761A4</t>
        </is>
      </c>
      <c r="J2308" t="inlineStr">
        <is>
          <t>212C2EA2EC6761A4</t>
        </is>
      </c>
    </row>
    <row r="2309">
      <c r="B2309">
        <f>IFERROR(INDEX(Companies!$A$3:$A$101,MATCH(A2309,Companies!$B$3:$B$101,0)),"")</f>
        <v/>
      </c>
      <c r="D2309" t="inlineStr">
        <is>
          <t>DBCE754CEF3E</t>
        </is>
      </c>
      <c r="E2309" s="24">
        <f>LEFT(D2309,2)&amp;":"&amp;MID(D2309,3,2)&amp;":"&amp;MID(D2309,5,2)&amp;":"&amp;MID(D2309,7,2)&amp;":"&amp;MID(D2309,9,2)&amp;":"&amp;RIGHT(D2309,2)</f>
        <v/>
      </c>
      <c r="H2309" t="inlineStr">
        <is>
          <t>560D541F0E45D082</t>
        </is>
      </c>
      <c r="J2309" t="inlineStr">
        <is>
          <t>560D541F0E45D082</t>
        </is>
      </c>
    </row>
    <row r="2310">
      <c r="B2310">
        <f>IFERROR(INDEX(Companies!$A$3:$A$101,MATCH(A2310,Companies!$B$3:$B$101,0)),"")</f>
        <v/>
      </c>
      <c r="D2310" t="inlineStr">
        <is>
          <t>CF99ABE1FB5D</t>
        </is>
      </c>
      <c r="E2310" s="24">
        <f>LEFT(D2310,2)&amp;":"&amp;MID(D2310,3,2)&amp;":"&amp;MID(D2310,5,2)&amp;":"&amp;MID(D2310,7,2)&amp;":"&amp;MID(D2310,9,2)&amp;":"&amp;RIGHT(D2310,2)</f>
        <v/>
      </c>
      <c r="H2310" t="inlineStr">
        <is>
          <t>3F4BA56B97022CC0</t>
        </is>
      </c>
      <c r="J2310" t="inlineStr">
        <is>
          <t>3F4BA56B97022CC0</t>
        </is>
      </c>
    </row>
    <row r="2311">
      <c r="B2311">
        <f>IFERROR(INDEX(Companies!$A$3:$A$101,MATCH(A2311,Companies!$B$3:$B$101,0)),"")</f>
        <v/>
      </c>
      <c r="D2311" t="inlineStr">
        <is>
          <t>E32CE62ABF7B</t>
        </is>
      </c>
      <c r="E2311" s="24">
        <f>LEFT(D2311,2)&amp;":"&amp;MID(D2311,3,2)&amp;":"&amp;MID(D2311,5,2)&amp;":"&amp;MID(D2311,7,2)&amp;":"&amp;MID(D2311,9,2)&amp;":"&amp;RIGHT(D2311,2)</f>
        <v/>
      </c>
      <c r="H2311" t="inlineStr">
        <is>
          <t>A4E51AAF10200B89</t>
        </is>
      </c>
      <c r="J2311" t="inlineStr">
        <is>
          <t>A4E51AAF10200B89</t>
        </is>
      </c>
    </row>
    <row r="2312">
      <c r="B2312">
        <f>IFERROR(INDEX(Companies!$A$3:$A$101,MATCH(A2312,Companies!$B$3:$B$101,0)),"")</f>
        <v/>
      </c>
      <c r="D2312" t="inlineStr">
        <is>
          <t>E1B8D3572111</t>
        </is>
      </c>
      <c r="E2312" s="24">
        <f>LEFT(D2312,2)&amp;":"&amp;MID(D2312,3,2)&amp;":"&amp;MID(D2312,5,2)&amp;":"&amp;MID(D2312,7,2)&amp;":"&amp;MID(D2312,9,2)&amp;":"&amp;RIGHT(D2312,2)</f>
        <v/>
      </c>
      <c r="H2312" t="inlineStr">
        <is>
          <t>6C3535833B2C6634</t>
        </is>
      </c>
      <c r="J2312" t="inlineStr">
        <is>
          <t>6C3535833B2C6634</t>
        </is>
      </c>
    </row>
    <row r="2313">
      <c r="B2313">
        <f>IFERROR(INDEX(Companies!$A$3:$A$101,MATCH(A2313,Companies!$B$3:$B$101,0)),"")</f>
        <v/>
      </c>
      <c r="D2313" t="inlineStr">
        <is>
          <t>CACED2D6DF03</t>
        </is>
      </c>
      <c r="E2313" s="24">
        <f>LEFT(D2313,2)&amp;":"&amp;MID(D2313,3,2)&amp;":"&amp;MID(D2313,5,2)&amp;":"&amp;MID(D2313,7,2)&amp;":"&amp;MID(D2313,9,2)&amp;":"&amp;RIGHT(D2313,2)</f>
        <v/>
      </c>
      <c r="H2313" t="inlineStr">
        <is>
          <t>ACCB8416A6B7BA2B</t>
        </is>
      </c>
      <c r="J2313" t="inlineStr">
        <is>
          <t>ACCB8416A6B7BA2B</t>
        </is>
      </c>
    </row>
    <row r="2314">
      <c r="B2314">
        <f>IFERROR(INDEX(Companies!$A$3:$A$101,MATCH(A2314,Companies!$B$3:$B$101,0)),"")</f>
        <v/>
      </c>
      <c r="D2314" t="inlineStr">
        <is>
          <t>CE361286FAEB</t>
        </is>
      </c>
      <c r="E2314" s="24">
        <f>LEFT(D2314,2)&amp;":"&amp;MID(D2314,3,2)&amp;":"&amp;MID(D2314,5,2)&amp;":"&amp;MID(D2314,7,2)&amp;":"&amp;MID(D2314,9,2)&amp;":"&amp;RIGHT(D2314,2)</f>
        <v/>
      </c>
      <c r="H2314" t="inlineStr">
        <is>
          <t>DCAA56371FDD5F16</t>
        </is>
      </c>
      <c r="J2314" t="inlineStr">
        <is>
          <t>DCAA56371FDD5F16</t>
        </is>
      </c>
    </row>
    <row r="2315">
      <c r="B2315">
        <f>IFERROR(INDEX(Companies!$A$3:$A$101,MATCH(A2315,Companies!$B$3:$B$101,0)),"")</f>
        <v/>
      </c>
      <c r="D2315" t="inlineStr">
        <is>
          <t>C819997DF57F</t>
        </is>
      </c>
      <c r="E2315" s="24">
        <f>LEFT(D2315,2)&amp;":"&amp;MID(D2315,3,2)&amp;":"&amp;MID(D2315,5,2)&amp;":"&amp;MID(D2315,7,2)&amp;":"&amp;MID(D2315,9,2)&amp;":"&amp;RIGHT(D2315,2)</f>
        <v/>
      </c>
      <c r="H2315" t="inlineStr">
        <is>
          <t>D190CC35F1854257</t>
        </is>
      </c>
      <c r="J2315" t="inlineStr">
        <is>
          <t>D190CC35F1854257</t>
        </is>
      </c>
    </row>
    <row r="2316">
      <c r="B2316">
        <f>IFERROR(INDEX(Companies!$A$3:$A$101,MATCH(A2316,Companies!$B$3:$B$101,0)),"")</f>
        <v/>
      </c>
      <c r="D2316" t="inlineStr">
        <is>
          <t>C960464CEA24</t>
        </is>
      </c>
      <c r="E2316" s="24">
        <f>LEFT(D2316,2)&amp;":"&amp;MID(D2316,3,2)&amp;":"&amp;MID(D2316,5,2)&amp;":"&amp;MID(D2316,7,2)&amp;":"&amp;MID(D2316,9,2)&amp;":"&amp;RIGHT(D2316,2)</f>
        <v/>
      </c>
      <c r="H2316" t="inlineStr">
        <is>
          <t>D2CD70FDD75FB13B</t>
        </is>
      </c>
      <c r="J2316" t="inlineStr">
        <is>
          <t>D2CD70FDD75FB13B</t>
        </is>
      </c>
    </row>
    <row r="2317">
      <c r="B2317">
        <f>IFERROR(INDEX(Companies!$A$3:$A$101,MATCH(A2317,Companies!$B$3:$B$101,0)),"")</f>
        <v/>
      </c>
      <c r="D2317" t="inlineStr">
        <is>
          <t>DA880D4D3108</t>
        </is>
      </c>
      <c r="E2317" s="24">
        <f>LEFT(D2317,2)&amp;":"&amp;MID(D2317,3,2)&amp;":"&amp;MID(D2317,5,2)&amp;":"&amp;MID(D2317,7,2)&amp;":"&amp;MID(D2317,9,2)&amp;":"&amp;RIGHT(D2317,2)</f>
        <v/>
      </c>
      <c r="H2317" t="inlineStr">
        <is>
          <t>666BAAF6770DE7B1</t>
        </is>
      </c>
      <c r="J2317" t="inlineStr">
        <is>
          <t>666BAAF6770DE7B1</t>
        </is>
      </c>
    </row>
    <row r="2318">
      <c r="B2318">
        <f>IFERROR(INDEX(Companies!$A$3:$A$101,MATCH(A2318,Companies!$B$3:$B$101,0)),"")</f>
        <v/>
      </c>
      <c r="D2318" t="inlineStr">
        <is>
          <t>ED5AF24B293B</t>
        </is>
      </c>
      <c r="E2318" s="24">
        <f>LEFT(D2318,2)&amp;":"&amp;MID(D2318,3,2)&amp;":"&amp;MID(D2318,5,2)&amp;":"&amp;MID(D2318,7,2)&amp;":"&amp;MID(D2318,9,2)&amp;":"&amp;RIGHT(D2318,2)</f>
        <v/>
      </c>
      <c r="H2318" t="inlineStr">
        <is>
          <t>E3BDC6A82DA7211D</t>
        </is>
      </c>
      <c r="J2318" t="inlineStr">
        <is>
          <t>E3BDC6A82DA7211D</t>
        </is>
      </c>
    </row>
    <row r="2319">
      <c r="B2319">
        <f>IFERROR(INDEX(Companies!$A$3:$A$101,MATCH(A2319,Companies!$B$3:$B$101,0)),"")</f>
        <v/>
      </c>
      <c r="D2319" t="inlineStr">
        <is>
          <t>E62E4E14ECCD</t>
        </is>
      </c>
      <c r="E2319" s="24">
        <f>LEFT(D2319,2)&amp;":"&amp;MID(D2319,3,2)&amp;":"&amp;MID(D2319,5,2)&amp;":"&amp;MID(D2319,7,2)&amp;":"&amp;MID(D2319,9,2)&amp;":"&amp;RIGHT(D2319,2)</f>
        <v/>
      </c>
      <c r="H2319" t="inlineStr">
        <is>
          <t>99BECBE9E32AE4A2</t>
        </is>
      </c>
      <c r="J2319" t="inlineStr">
        <is>
          <t>99BECBE9E32AE4A2</t>
        </is>
      </c>
    </row>
    <row r="2320">
      <c r="B2320">
        <f>IFERROR(INDEX(Companies!$A$3:$A$101,MATCH(A2320,Companies!$B$3:$B$101,0)),"")</f>
        <v/>
      </c>
      <c r="D2320" t="inlineStr">
        <is>
          <t>E68E8A8F671B</t>
        </is>
      </c>
      <c r="E2320" s="24">
        <f>LEFT(D2320,2)&amp;":"&amp;MID(D2320,3,2)&amp;":"&amp;MID(D2320,5,2)&amp;":"&amp;MID(D2320,7,2)&amp;":"&amp;MID(D2320,9,2)&amp;":"&amp;RIGHT(D2320,2)</f>
        <v/>
      </c>
      <c r="H2320" t="inlineStr">
        <is>
          <t>A1E236EC94381AFC</t>
        </is>
      </c>
      <c r="J2320" t="inlineStr">
        <is>
          <t>A1E236EC94381AFC</t>
        </is>
      </c>
    </row>
    <row r="2321">
      <c r="B2321">
        <f>IFERROR(INDEX(Companies!$A$3:$A$101,MATCH(A2321,Companies!$B$3:$B$101,0)),"")</f>
        <v/>
      </c>
      <c r="D2321" t="inlineStr">
        <is>
          <t>F62193F3BEBC</t>
        </is>
      </c>
      <c r="E2321" s="24">
        <f>LEFT(D2321,2)&amp;":"&amp;MID(D2321,3,2)&amp;":"&amp;MID(D2321,5,2)&amp;":"&amp;MID(D2321,7,2)&amp;":"&amp;MID(D2321,9,2)&amp;":"&amp;RIGHT(D2321,2)</f>
        <v/>
      </c>
      <c r="H2321" t="inlineStr">
        <is>
          <t>3EEE585F3D136A8B</t>
        </is>
      </c>
      <c r="J2321" t="inlineStr">
        <is>
          <t>3EEE585F3D136A8B</t>
        </is>
      </c>
    </row>
    <row r="2322">
      <c r="B2322">
        <f>IFERROR(INDEX(Companies!$A$3:$A$101,MATCH(A2322,Companies!$B$3:$B$101,0)),"")</f>
        <v/>
      </c>
      <c r="D2322" t="inlineStr">
        <is>
          <t>EB04E092F3F6</t>
        </is>
      </c>
      <c r="E2322" s="24">
        <f>LEFT(D2322,2)&amp;":"&amp;MID(D2322,3,2)&amp;":"&amp;MID(D2322,5,2)&amp;":"&amp;MID(D2322,7,2)&amp;":"&amp;MID(D2322,9,2)&amp;":"&amp;RIGHT(D2322,2)</f>
        <v/>
      </c>
      <c r="H2322" t="inlineStr">
        <is>
          <t>1F3C5D25A2A19D89</t>
        </is>
      </c>
      <c r="J2322" t="inlineStr">
        <is>
          <t>1F3C5D25A2A19D89</t>
        </is>
      </c>
    </row>
    <row r="2323">
      <c r="B2323">
        <f>IFERROR(INDEX(Companies!$A$3:$A$101,MATCH(A2323,Companies!$B$3:$B$101,0)),"")</f>
        <v/>
      </c>
      <c r="D2323" t="inlineStr">
        <is>
          <t>D6A2B9C19094</t>
        </is>
      </c>
      <c r="E2323" s="24">
        <f>LEFT(D2323,2)&amp;":"&amp;MID(D2323,3,2)&amp;":"&amp;MID(D2323,5,2)&amp;":"&amp;MID(D2323,7,2)&amp;":"&amp;MID(D2323,9,2)&amp;":"&amp;RIGHT(D2323,2)</f>
        <v/>
      </c>
      <c r="H2323" t="inlineStr">
        <is>
          <t>5A21AD36117D6C3A</t>
        </is>
      </c>
      <c r="J2323" t="inlineStr">
        <is>
          <t>5A21AD36117D6C3A</t>
        </is>
      </c>
    </row>
    <row r="2324">
      <c r="B2324">
        <f>IFERROR(INDEX(Companies!$A$3:$A$101,MATCH(A2324,Companies!$B$3:$B$101,0)),"")</f>
        <v/>
      </c>
      <c r="D2324" t="inlineStr">
        <is>
          <t>D68C24B9413B</t>
        </is>
      </c>
      <c r="E2324" s="24">
        <f>LEFT(D2324,2)&amp;":"&amp;MID(D2324,3,2)&amp;":"&amp;MID(D2324,5,2)&amp;":"&amp;MID(D2324,7,2)&amp;":"&amp;MID(D2324,9,2)&amp;":"&amp;RIGHT(D2324,2)</f>
        <v/>
      </c>
      <c r="H2324" t="inlineStr">
        <is>
          <t>0DE0E299D9806BE3</t>
        </is>
      </c>
      <c r="J2324" t="inlineStr">
        <is>
          <t>0DE0E299D9806BE3</t>
        </is>
      </c>
    </row>
    <row r="2325">
      <c r="A2325" s="32" t="inlineStr">
        <is>
          <t>MULTIMEDA</t>
        </is>
      </c>
      <c r="B2325">
        <f>IFERROR(INDEX(Companies!$A$3:$A$101,MATCH(A2325,Companies!$B$3:$B$101,0)),"")</f>
        <v/>
      </c>
      <c r="D2325" t="inlineStr">
        <is>
          <t>C37DA1168B78</t>
        </is>
      </c>
      <c r="E2325" s="24">
        <f>LEFT(D2325,2)&amp;":"&amp;MID(D2325,3,2)&amp;":"&amp;MID(D2325,5,2)&amp;":"&amp;MID(D2325,7,2)&amp;":"&amp;MID(D2325,9,2)&amp;":"&amp;RIGHT(D2325,2)</f>
        <v/>
      </c>
      <c r="H2325" t="inlineStr">
        <is>
          <t>85B2B20DE56829E7</t>
        </is>
      </c>
      <c r="J2325" t="inlineStr">
        <is>
          <t>MULTI_VEN7</t>
        </is>
      </c>
      <c r="K2325" s="27" t="inlineStr">
        <is>
          <t>blue</t>
        </is>
      </c>
    </row>
    <row r="2326">
      <c r="A2326" s="32" t="inlineStr">
        <is>
          <t>MULTIMEDA</t>
        </is>
      </c>
      <c r="B2326">
        <f>IFERROR(INDEX(Companies!$A$3:$A$101,MATCH(A2326,Companies!$B$3:$B$101,0)),"")</f>
        <v/>
      </c>
      <c r="D2326" t="inlineStr">
        <is>
          <t>E68C777B68A5</t>
        </is>
      </c>
      <c r="E2326" s="24">
        <f>LEFT(D2326,2)&amp;":"&amp;MID(D2326,3,2)&amp;":"&amp;MID(D2326,5,2)&amp;":"&amp;MID(D2326,7,2)&amp;":"&amp;MID(D2326,9,2)&amp;":"&amp;RIGHT(D2326,2)</f>
        <v/>
      </c>
      <c r="H2326" t="inlineStr">
        <is>
          <t>B2F90D9094E90BF2</t>
        </is>
      </c>
      <c r="J2326" t="inlineStr">
        <is>
          <t>MULTI_OB1</t>
        </is>
      </c>
      <c r="K2326" s="27" t="inlineStr">
        <is>
          <t>red</t>
        </is>
      </c>
    </row>
    <row r="2327">
      <c r="A2327" s="32" t="inlineStr">
        <is>
          <t>MULTIMEDA</t>
        </is>
      </c>
      <c r="B2327">
        <f>IFERROR(INDEX(Companies!$A$3:$A$101,MATCH(A2327,Companies!$B$3:$B$101,0)),"")</f>
        <v/>
      </c>
      <c r="D2327" t="inlineStr">
        <is>
          <t>F687AF04D901</t>
        </is>
      </c>
      <c r="E2327" s="24">
        <f>LEFT(D2327,2)&amp;":"&amp;MID(D2327,3,2)&amp;":"&amp;MID(D2327,5,2)&amp;":"&amp;MID(D2327,7,2)&amp;":"&amp;MID(D2327,9,2)&amp;":"&amp;RIGHT(D2327,2)</f>
        <v/>
      </c>
      <c r="H2327" t="inlineStr">
        <is>
          <t>1CF2A2210E8AE831</t>
        </is>
      </c>
      <c r="J2327" t="inlineStr">
        <is>
          <t>MULTI_OB4</t>
        </is>
      </c>
      <c r="K2327" s="27" t="inlineStr">
        <is>
          <t>green</t>
        </is>
      </c>
    </row>
    <row r="2328">
      <c r="A2328" s="32" t="inlineStr">
        <is>
          <t>MULTIMEDA</t>
        </is>
      </c>
      <c r="B2328">
        <f>IFERROR(INDEX(Companies!$A$3:$A$101,MATCH(A2328,Companies!$B$3:$B$101,0)),"")</f>
        <v/>
      </c>
      <c r="D2328" t="inlineStr">
        <is>
          <t>FD0A03B64AA0</t>
        </is>
      </c>
      <c r="E2328" s="24">
        <f>LEFT(D2328,2)&amp;":"&amp;MID(D2328,3,2)&amp;":"&amp;MID(D2328,5,2)&amp;":"&amp;MID(D2328,7,2)&amp;":"&amp;MID(D2328,9,2)&amp;":"&amp;RIGHT(D2328,2)</f>
        <v/>
      </c>
      <c r="H2328" t="inlineStr">
        <is>
          <t>8F7F76F2B4349665</t>
        </is>
      </c>
      <c r="J2328" t="inlineStr">
        <is>
          <t>MULTI_VEN6</t>
        </is>
      </c>
      <c r="K2328" s="27" t="inlineStr">
        <is>
          <t>blue</t>
        </is>
      </c>
    </row>
    <row r="2329">
      <c r="A2329" s="32" t="inlineStr">
        <is>
          <t>MULTIMEDA</t>
        </is>
      </c>
      <c r="B2329">
        <f>IFERROR(INDEX(Companies!$A$3:$A$101,MATCH(A2329,Companies!$B$3:$B$101,0)),"")</f>
        <v/>
      </c>
      <c r="D2329" t="inlineStr">
        <is>
          <t>DD25C1F204F9</t>
        </is>
      </c>
      <c r="E2329" s="24">
        <f>LEFT(D2329,2)&amp;":"&amp;MID(D2329,3,2)&amp;":"&amp;MID(D2329,5,2)&amp;":"&amp;MID(D2329,7,2)&amp;":"&amp;MID(D2329,9,2)&amp;":"&amp;RIGHT(D2329,2)</f>
        <v/>
      </c>
      <c r="H2329" t="inlineStr">
        <is>
          <t>F04C94F4460B5CB8</t>
        </is>
      </c>
      <c r="J2329" t="inlineStr">
        <is>
          <t>MULTI_VEN3</t>
        </is>
      </c>
      <c r="K2329" s="27" t="inlineStr">
        <is>
          <t>yellow</t>
        </is>
      </c>
    </row>
    <row r="2330">
      <c r="B2330">
        <f>IFERROR(INDEX(Companies!$A$3:$A$101,MATCH(A2330,Companies!$B$3:$B$101,0)),"")</f>
        <v/>
      </c>
      <c r="D2330" t="inlineStr">
        <is>
          <t>C5D9C5D64E56</t>
        </is>
      </c>
      <c r="E2330" s="24">
        <f>LEFT(D2330,2)&amp;":"&amp;MID(D2330,3,2)&amp;":"&amp;MID(D2330,5,2)&amp;":"&amp;MID(D2330,7,2)&amp;":"&amp;MID(D2330,9,2)&amp;":"&amp;RIGHT(D2330,2)</f>
        <v/>
      </c>
      <c r="H2330" t="inlineStr">
        <is>
          <t>F8F395454906FB92</t>
        </is>
      </c>
      <c r="J2330" t="inlineStr">
        <is>
          <t>F8F395454906FB92</t>
        </is>
      </c>
    </row>
    <row r="2331">
      <c r="B2331">
        <f>IFERROR(INDEX(Companies!$A$3:$A$101,MATCH(A2331,Companies!$B$3:$B$101,0)),"")</f>
        <v/>
      </c>
      <c r="D2331" t="inlineStr">
        <is>
          <t>E04CE2CD9AEA</t>
        </is>
      </c>
      <c r="E2331" s="24">
        <f>LEFT(D2331,2)&amp;":"&amp;MID(D2331,3,2)&amp;":"&amp;MID(D2331,5,2)&amp;":"&amp;MID(D2331,7,2)&amp;":"&amp;MID(D2331,9,2)&amp;":"&amp;RIGHT(D2331,2)</f>
        <v/>
      </c>
      <c r="H2331" t="inlineStr">
        <is>
          <t>202B449BC02DD6AC</t>
        </is>
      </c>
    </row>
    <row r="2332">
      <c r="B2332">
        <f>IFERROR(INDEX(Companies!$A$3:$A$101,MATCH(A2332,Companies!$B$3:$B$101,0)),"")</f>
        <v/>
      </c>
      <c r="D2332" t="inlineStr">
        <is>
          <t>EF544CA6C301</t>
        </is>
      </c>
      <c r="E2332" s="24">
        <f>LEFT(D2332,2)&amp;":"&amp;MID(D2332,3,2)&amp;":"&amp;MID(D2332,5,2)&amp;":"&amp;MID(D2332,7,2)&amp;":"&amp;MID(D2332,9,2)&amp;":"&amp;RIGHT(D2332,2)</f>
        <v/>
      </c>
      <c r="H2332" t="inlineStr">
        <is>
          <t>22456BCB339C500B</t>
        </is>
      </c>
      <c r="J2332" t="inlineStr">
        <is>
          <t>22456BCB339C500B</t>
        </is>
      </c>
    </row>
    <row r="2333">
      <c r="B2333">
        <f>IFERROR(INDEX(Companies!$A$3:$A$101,MATCH(A2333,Companies!$B$3:$B$101,0)),"")</f>
        <v/>
      </c>
      <c r="D2333" t="inlineStr">
        <is>
          <t>DF1E30A5DAA4</t>
        </is>
      </c>
      <c r="E2333" s="24">
        <f>LEFT(D2333,2)&amp;":"&amp;MID(D2333,3,2)&amp;":"&amp;MID(D2333,5,2)&amp;":"&amp;MID(D2333,7,2)&amp;":"&amp;MID(D2333,9,2)&amp;":"&amp;RIGHT(D2333,2)</f>
        <v/>
      </c>
      <c r="H2333" t="inlineStr">
        <is>
          <t>8A0A01F6CCD44896</t>
        </is>
      </c>
      <c r="J2333" t="inlineStr">
        <is>
          <t>8A0A01F6CCD44896</t>
        </is>
      </c>
    </row>
    <row r="2334">
      <c r="B2334">
        <f>IFERROR(INDEX(Companies!$A$3:$A$101,MATCH(A2334,Companies!$B$3:$B$101,0)),"")</f>
        <v/>
      </c>
      <c r="D2334" t="inlineStr">
        <is>
          <t>DB933A8BE955</t>
        </is>
      </c>
      <c r="E2334" s="24">
        <f>LEFT(D2334,2)&amp;":"&amp;MID(D2334,3,2)&amp;":"&amp;MID(D2334,5,2)&amp;":"&amp;MID(D2334,7,2)&amp;":"&amp;MID(D2334,9,2)&amp;":"&amp;RIGHT(D2334,2)</f>
        <v/>
      </c>
      <c r="H2334" t="inlineStr">
        <is>
          <t>20073BA495027184</t>
        </is>
      </c>
      <c r="J2334" t="inlineStr">
        <is>
          <t>20073BA495027184</t>
        </is>
      </c>
    </row>
    <row r="2335">
      <c r="B2335">
        <f>IFERROR(INDEX(Companies!$A$3:$A$101,MATCH(A2335,Companies!$B$3:$B$101,0)),"")</f>
        <v/>
      </c>
      <c r="D2335" t="inlineStr">
        <is>
          <t>C548996EE260</t>
        </is>
      </c>
      <c r="E2335" s="24">
        <f>LEFT(D2335,2)&amp;":"&amp;MID(D2335,3,2)&amp;":"&amp;MID(D2335,5,2)&amp;":"&amp;MID(D2335,7,2)&amp;":"&amp;MID(D2335,9,2)&amp;":"&amp;RIGHT(D2335,2)</f>
        <v/>
      </c>
      <c r="H2335" t="inlineStr">
        <is>
          <t>45BFC880832BD00F</t>
        </is>
      </c>
      <c r="J2335" t="inlineStr">
        <is>
          <t>45BFC880832BD00F</t>
        </is>
      </c>
    </row>
    <row r="2336">
      <c r="B2336">
        <f>IFERROR(INDEX(Companies!$A$3:$A$101,MATCH(A2336,Companies!$B$3:$B$101,0)),"")</f>
        <v/>
      </c>
      <c r="D2336" t="inlineStr">
        <is>
          <t>ED62D52548F9</t>
        </is>
      </c>
      <c r="E2336" s="24">
        <f>LEFT(D2336,2)&amp;":"&amp;MID(D2336,3,2)&amp;":"&amp;MID(D2336,5,2)&amp;":"&amp;MID(D2336,7,2)&amp;":"&amp;MID(D2336,9,2)&amp;":"&amp;RIGHT(D2336,2)</f>
        <v/>
      </c>
      <c r="H2336" t="inlineStr">
        <is>
          <t>D556F85186885C68</t>
        </is>
      </c>
      <c r="J2336" t="inlineStr">
        <is>
          <t>D556F85186885C68</t>
        </is>
      </c>
    </row>
    <row r="2337">
      <c r="B2337">
        <f>IFERROR(INDEX(Companies!$A$3:$A$101,MATCH(A2337,Companies!$B$3:$B$101,0)),"")</f>
        <v/>
      </c>
      <c r="D2337" t="inlineStr">
        <is>
          <t>C827B501BD20</t>
        </is>
      </c>
      <c r="E2337" s="24">
        <f>LEFT(D2337,2)&amp;":"&amp;MID(D2337,3,2)&amp;":"&amp;MID(D2337,5,2)&amp;":"&amp;MID(D2337,7,2)&amp;":"&amp;MID(D2337,9,2)&amp;":"&amp;RIGHT(D2337,2)</f>
        <v/>
      </c>
      <c r="H2337" t="inlineStr">
        <is>
          <t>E73476B2EFD22714</t>
        </is>
      </c>
      <c r="J2337" t="inlineStr">
        <is>
          <t>E73476B2EFD22714</t>
        </is>
      </c>
    </row>
    <row r="2338">
      <c r="B2338">
        <f>IFERROR(INDEX(Companies!$A$3:$A$101,MATCH(A2338,Companies!$B$3:$B$101,0)),"")</f>
        <v/>
      </c>
      <c r="D2338" t="inlineStr">
        <is>
          <t>D69F5BCE3CD6</t>
        </is>
      </c>
      <c r="E2338" s="24">
        <f>LEFT(D2338,2)&amp;":"&amp;MID(D2338,3,2)&amp;":"&amp;MID(D2338,5,2)&amp;":"&amp;MID(D2338,7,2)&amp;":"&amp;MID(D2338,9,2)&amp;":"&amp;RIGHT(D2338,2)</f>
        <v/>
      </c>
      <c r="H2338" t="inlineStr">
        <is>
          <t>B6BE8D1C8DB543C8</t>
        </is>
      </c>
      <c r="J2338" t="inlineStr">
        <is>
          <t>B6BE8D1C8DB543C8</t>
        </is>
      </c>
    </row>
    <row r="2339">
      <c r="B2339">
        <f>IFERROR(INDEX(Companies!$A$3:$A$101,MATCH(A2339,Companies!$B$3:$B$101,0)),"")</f>
        <v/>
      </c>
      <c r="D2339" t="inlineStr">
        <is>
          <t>CD07C8353CC0</t>
        </is>
      </c>
      <c r="E2339" s="24">
        <f>LEFT(D2339,2)&amp;":"&amp;MID(D2339,3,2)&amp;":"&amp;MID(D2339,5,2)&amp;":"&amp;MID(D2339,7,2)&amp;":"&amp;MID(D2339,9,2)&amp;":"&amp;RIGHT(D2339,2)</f>
        <v/>
      </c>
      <c r="H2339" t="inlineStr">
        <is>
          <t>C11323C1C5B8898B</t>
        </is>
      </c>
      <c r="J2339" t="inlineStr">
        <is>
          <t>C11323C1C5B8898B</t>
        </is>
      </c>
    </row>
    <row r="2340">
      <c r="B2340">
        <f>IFERROR(INDEX(Companies!$A$3:$A$101,MATCH(A2340,Companies!$B$3:$B$101,0)),"")</f>
        <v/>
      </c>
      <c r="D2340" t="inlineStr">
        <is>
          <t>D4B6239556F3</t>
        </is>
      </c>
      <c r="E2340" s="24">
        <f>LEFT(D2340,2)&amp;":"&amp;MID(D2340,3,2)&amp;":"&amp;MID(D2340,5,2)&amp;":"&amp;MID(D2340,7,2)&amp;":"&amp;MID(D2340,9,2)&amp;":"&amp;RIGHT(D2340,2)</f>
        <v/>
      </c>
      <c r="H2340" t="inlineStr">
        <is>
          <t>C9E4574DE690CCBE</t>
        </is>
      </c>
      <c r="J2340" t="inlineStr">
        <is>
          <t>C9E4574DE690CCBE</t>
        </is>
      </c>
    </row>
    <row r="2341">
      <c r="B2341">
        <f>IFERROR(INDEX(Companies!$A$3:$A$101,MATCH(A2341,Companies!$B$3:$B$101,0)),"")</f>
        <v/>
      </c>
      <c r="D2341" t="inlineStr">
        <is>
          <t>F643A7E52A79</t>
        </is>
      </c>
      <c r="E2341" s="24">
        <f>LEFT(D2341,2)&amp;":"&amp;MID(D2341,3,2)&amp;":"&amp;MID(D2341,5,2)&amp;":"&amp;MID(D2341,7,2)&amp;":"&amp;MID(D2341,9,2)&amp;":"&amp;RIGHT(D2341,2)</f>
        <v/>
      </c>
      <c r="H2341" t="inlineStr">
        <is>
          <t>11D59292DF9A7F9D</t>
        </is>
      </c>
      <c r="J2341" t="inlineStr">
        <is>
          <t>11D59292DF9A7F9D</t>
        </is>
      </c>
    </row>
    <row r="2342">
      <c r="B2342">
        <f>IFERROR(INDEX(Companies!$A$3:$A$101,MATCH(A2342,Companies!$B$3:$B$101,0)),"")</f>
        <v/>
      </c>
      <c r="D2342" t="inlineStr">
        <is>
          <t>CFF7115988B7</t>
        </is>
      </c>
      <c r="E2342" s="24">
        <f>LEFT(D2342,2)&amp;":"&amp;MID(D2342,3,2)&amp;":"&amp;MID(D2342,5,2)&amp;":"&amp;MID(D2342,7,2)&amp;":"&amp;MID(D2342,9,2)&amp;":"&amp;RIGHT(D2342,2)</f>
        <v/>
      </c>
      <c r="H2342" t="inlineStr">
        <is>
          <t>7C2EF66463C07DFB</t>
        </is>
      </c>
      <c r="J2342" t="inlineStr">
        <is>
          <t>7C2EF66463C07DFB</t>
        </is>
      </c>
    </row>
    <row r="2343">
      <c r="B2343">
        <f>IFERROR(INDEX(Companies!$A$3:$A$101,MATCH(A2343,Companies!$B$3:$B$101,0)),"")</f>
        <v/>
      </c>
      <c r="D2343" t="inlineStr">
        <is>
          <t>C4FCD62AAD1D</t>
        </is>
      </c>
      <c r="E2343" s="24">
        <f>LEFT(D2343,2)&amp;":"&amp;MID(D2343,3,2)&amp;":"&amp;MID(D2343,5,2)&amp;":"&amp;MID(D2343,7,2)&amp;":"&amp;MID(D2343,9,2)&amp;":"&amp;RIGHT(D2343,2)</f>
        <v/>
      </c>
      <c r="H2343" t="inlineStr">
        <is>
          <t>ABD6A97DA2424B71</t>
        </is>
      </c>
      <c r="J2343" t="inlineStr">
        <is>
          <t>ABD6A97DA2424B71</t>
        </is>
      </c>
    </row>
    <row r="2344">
      <c r="B2344">
        <f>IFERROR(INDEX(Companies!$A$3:$A$101,MATCH(A2344,Companies!$B$3:$B$101,0)),"")</f>
        <v/>
      </c>
      <c r="D2344" t="inlineStr">
        <is>
          <t>CB1AE2D6CBA3</t>
        </is>
      </c>
      <c r="E2344" s="24">
        <f>LEFT(D2344,2)&amp;":"&amp;MID(D2344,3,2)&amp;":"&amp;MID(D2344,5,2)&amp;":"&amp;MID(D2344,7,2)&amp;":"&amp;MID(D2344,9,2)&amp;":"&amp;RIGHT(D2344,2)</f>
        <v/>
      </c>
      <c r="H2344" t="inlineStr">
        <is>
          <t>46B12FCFB094C3C0</t>
        </is>
      </c>
      <c r="J2344" t="inlineStr">
        <is>
          <t>46B12FCFB094C3C0</t>
        </is>
      </c>
    </row>
    <row r="2345">
      <c r="B2345">
        <f>IFERROR(INDEX(Companies!$A$3:$A$101,MATCH(A2345,Companies!$B$3:$B$101,0)),"")</f>
        <v/>
      </c>
      <c r="D2345" t="inlineStr">
        <is>
          <t>FE4A13819F4C</t>
        </is>
      </c>
      <c r="E2345" s="24">
        <f>LEFT(D2345,2)&amp;":"&amp;MID(D2345,3,2)&amp;":"&amp;MID(D2345,5,2)&amp;":"&amp;MID(D2345,7,2)&amp;":"&amp;MID(D2345,9,2)&amp;":"&amp;RIGHT(D2345,2)</f>
        <v/>
      </c>
      <c r="H2345" t="inlineStr">
        <is>
          <t>EB018382D2854792</t>
        </is>
      </c>
      <c r="J2345" t="inlineStr">
        <is>
          <t>EB018382D2854792</t>
        </is>
      </c>
    </row>
    <row r="2346">
      <c r="B2346">
        <f>IFERROR(INDEX(Companies!$A$3:$A$101,MATCH(A2346,Companies!$B$3:$B$101,0)),"")</f>
        <v/>
      </c>
      <c r="D2346" t="inlineStr">
        <is>
          <t>C73009CE3EF4</t>
        </is>
      </c>
      <c r="E2346" s="24">
        <f>LEFT(D2346,2)&amp;":"&amp;MID(D2346,3,2)&amp;":"&amp;MID(D2346,5,2)&amp;":"&amp;MID(D2346,7,2)&amp;":"&amp;MID(D2346,9,2)&amp;":"&amp;RIGHT(D2346,2)</f>
        <v/>
      </c>
      <c r="H2346" t="inlineStr">
        <is>
          <t>32E0A2FB06EF88E8</t>
        </is>
      </c>
    </row>
    <row r="2347">
      <c r="B2347">
        <f>IFERROR(INDEX(Companies!$A$3:$A$101,MATCH(A2347,Companies!$B$3:$B$101,0)),"")</f>
        <v/>
      </c>
      <c r="D2347" t="inlineStr">
        <is>
          <t>F29629754AE4</t>
        </is>
      </c>
      <c r="E2347" s="24">
        <f>LEFT(D2347,2)&amp;":"&amp;MID(D2347,3,2)&amp;":"&amp;MID(D2347,5,2)&amp;":"&amp;MID(D2347,7,2)&amp;":"&amp;MID(D2347,9,2)&amp;":"&amp;RIGHT(D2347,2)</f>
        <v/>
      </c>
      <c r="H2347" t="inlineStr">
        <is>
          <t>66ACF929AE1869B9</t>
        </is>
      </c>
      <c r="J2347" t="inlineStr">
        <is>
          <t>66ACF929AE1869B9</t>
        </is>
      </c>
    </row>
    <row r="2348">
      <c r="B2348">
        <f>IFERROR(INDEX(Companies!$A$3:$A$101,MATCH(A2348,Companies!$B$3:$B$101,0)),"")</f>
        <v/>
      </c>
      <c r="D2348" t="inlineStr">
        <is>
          <t>D02B844448B2</t>
        </is>
      </c>
      <c r="E2348" s="24">
        <f>LEFT(D2348,2)&amp;":"&amp;MID(D2348,3,2)&amp;":"&amp;MID(D2348,5,2)&amp;":"&amp;MID(D2348,7,2)&amp;":"&amp;MID(D2348,9,2)&amp;":"&amp;RIGHT(D2348,2)</f>
        <v/>
      </c>
      <c r="H2348" t="inlineStr">
        <is>
          <t>D6F6E13815296A75</t>
        </is>
      </c>
      <c r="J2348" t="inlineStr">
        <is>
          <t>D6F6E13815296A75</t>
        </is>
      </c>
    </row>
    <row r="2349">
      <c r="B2349">
        <f>IFERROR(INDEX(Companies!$A$3:$A$101,MATCH(A2349,Companies!$B$3:$B$101,0)),"")</f>
        <v/>
      </c>
      <c r="D2349" t="inlineStr">
        <is>
          <t>FB5DD824BD88</t>
        </is>
      </c>
      <c r="E2349" s="24">
        <f>LEFT(D2349,2)&amp;":"&amp;MID(D2349,3,2)&amp;":"&amp;MID(D2349,5,2)&amp;":"&amp;MID(D2349,7,2)&amp;":"&amp;MID(D2349,9,2)&amp;":"&amp;RIGHT(D2349,2)</f>
        <v/>
      </c>
      <c r="H2349" t="inlineStr">
        <is>
          <t>69BD883119733491</t>
        </is>
      </c>
      <c r="J2349" t="inlineStr">
        <is>
          <t>69BD883119733491</t>
        </is>
      </c>
    </row>
    <row r="2350">
      <c r="B2350">
        <f>IFERROR(INDEX(Companies!$A$3:$A$101,MATCH(A2350,Companies!$B$3:$B$101,0)),"")</f>
        <v/>
      </c>
      <c r="D2350" t="inlineStr">
        <is>
          <t>DE7A1BED3211</t>
        </is>
      </c>
      <c r="E2350" s="24">
        <f>LEFT(D2350,2)&amp;":"&amp;MID(D2350,3,2)&amp;":"&amp;MID(D2350,5,2)&amp;":"&amp;MID(D2350,7,2)&amp;":"&amp;MID(D2350,9,2)&amp;":"&amp;RIGHT(D2350,2)</f>
        <v/>
      </c>
      <c r="H2350" t="inlineStr">
        <is>
          <t>A346F272AD3553DC</t>
        </is>
      </c>
      <c r="J2350" t="inlineStr">
        <is>
          <t>A346F272AD3553DC</t>
        </is>
      </c>
    </row>
    <row r="2351">
      <c r="D2351" t="inlineStr">
        <is>
          <t>D29B1A69371F</t>
        </is>
      </c>
      <c r="E2351" s="24">
        <f>LEFT(D2351,2)&amp;":"&amp;MID(D2351,3,2)&amp;":"&amp;MID(D2351,5,2)&amp;":"&amp;MID(D2351,7,2)&amp;":"&amp;MID(D2351,9,2)&amp;":"&amp;RIGHT(D2351,2)</f>
        <v/>
      </c>
      <c r="H2351" s="18" t="inlineStr">
        <is>
          <t>6E049270E27B285F</t>
        </is>
      </c>
    </row>
    <row r="2352">
      <c r="B2352">
        <f>IFERROR(INDEX(Companies!$A$3:$A$101,MATCH(A2352,Companies!$B$3:$B$101,0)),"")</f>
        <v/>
      </c>
      <c r="D2352" t="inlineStr">
        <is>
          <t>DD6E3D8D6925</t>
        </is>
      </c>
      <c r="E2352" s="24">
        <f>LEFT(D2352,2)&amp;":"&amp;MID(D2352,3,2)&amp;":"&amp;MID(D2352,5,2)&amp;":"&amp;MID(D2352,7,2)&amp;":"&amp;MID(D2352,9,2)&amp;":"&amp;RIGHT(D2352,2)</f>
        <v/>
      </c>
      <c r="H2352" t="inlineStr">
        <is>
          <t>C116EDE67D041BC0</t>
        </is>
      </c>
      <c r="J2352" t="inlineStr">
        <is>
          <t>C116EDE67D041BC0</t>
        </is>
      </c>
    </row>
    <row r="2353">
      <c r="B2353">
        <f>IFERROR(INDEX(Companies!$A$3:$A$101,MATCH(A2353,Companies!$B$3:$B$101,0)),"")</f>
        <v/>
      </c>
      <c r="D2353" t="inlineStr">
        <is>
          <t>C8BF4FA64072</t>
        </is>
      </c>
      <c r="E2353" s="24">
        <f>LEFT(D2353,2)&amp;":"&amp;MID(D2353,3,2)&amp;":"&amp;MID(D2353,5,2)&amp;":"&amp;MID(D2353,7,2)&amp;":"&amp;MID(D2353,9,2)&amp;":"&amp;RIGHT(D2353,2)</f>
        <v/>
      </c>
      <c r="H2353" t="inlineStr">
        <is>
          <t>EE5289049671867D</t>
        </is>
      </c>
      <c r="J2353" t="inlineStr">
        <is>
          <t>EE5289049671867D</t>
        </is>
      </c>
    </row>
    <row r="2354">
      <c r="A2354" s="32" t="inlineStr">
        <is>
          <t>MULTIMEDA</t>
        </is>
      </c>
      <c r="B2354">
        <f>IFERROR(INDEX(Companies!$A$3:$A$101,MATCH(A2354,Companies!$B$3:$B$101,0)),"")</f>
        <v/>
      </c>
      <c r="D2354" t="inlineStr">
        <is>
          <t>D4CFF4B0F3DB</t>
        </is>
      </c>
      <c r="E2354" s="24">
        <f>LEFT(D2354,2)&amp;":"&amp;MID(D2354,3,2)&amp;":"&amp;MID(D2354,5,2)&amp;":"&amp;MID(D2354,7,2)&amp;":"&amp;MID(D2354,9,2)&amp;":"&amp;RIGHT(D2354,2)</f>
        <v/>
      </c>
      <c r="H2354" t="inlineStr">
        <is>
          <t>9EE29CAB31132A24</t>
        </is>
      </c>
      <c r="J2354" t="inlineStr">
        <is>
          <t>MULTI_VEN5</t>
        </is>
      </c>
      <c r="K2354" s="27" t="inlineStr">
        <is>
          <t>blue</t>
        </is>
      </c>
    </row>
    <row r="2355">
      <c r="B2355">
        <f>IFERROR(INDEX(Companies!$A$3:$A$101,MATCH(A2355,Companies!$B$3:$B$101,0)),"")</f>
        <v/>
      </c>
      <c r="D2355" t="inlineStr">
        <is>
          <t>DA54B6E7A3A0</t>
        </is>
      </c>
      <c r="E2355" s="24">
        <f>LEFT(D2355,2)&amp;":"&amp;MID(D2355,3,2)&amp;":"&amp;MID(D2355,5,2)&amp;":"&amp;MID(D2355,7,2)&amp;":"&amp;MID(D2355,9,2)&amp;":"&amp;RIGHT(D2355,2)</f>
        <v/>
      </c>
      <c r="H2355" t="inlineStr">
        <is>
          <t>B01CED4A30ED4D67</t>
        </is>
      </c>
      <c r="J2355" t="inlineStr">
        <is>
          <t>B01CED4A30ED4D67</t>
        </is>
      </c>
    </row>
    <row r="2356">
      <c r="B2356">
        <f>IFERROR(INDEX(Companies!$A$3:$A$101,MATCH(A2356,Companies!$B$3:$B$101,0)),"")</f>
        <v/>
      </c>
      <c r="D2356" t="inlineStr">
        <is>
          <t>FBE991B4CFAD</t>
        </is>
      </c>
      <c r="E2356" s="24">
        <f>LEFT(D2356,2)&amp;":"&amp;MID(D2356,3,2)&amp;":"&amp;MID(D2356,5,2)&amp;":"&amp;MID(D2356,7,2)&amp;":"&amp;MID(D2356,9,2)&amp;":"&amp;RIGHT(D2356,2)</f>
        <v/>
      </c>
      <c r="H2356" t="inlineStr">
        <is>
          <t>B9C42B3E0CE137EE</t>
        </is>
      </c>
    </row>
    <row r="2357">
      <c r="B2357">
        <f>IFERROR(INDEX(Companies!$A$3:$A$101,MATCH(A2357,Companies!$B$3:$B$101,0)),"")</f>
        <v/>
      </c>
      <c r="D2357" t="inlineStr">
        <is>
          <t>C4398FE11F45</t>
        </is>
      </c>
      <c r="E2357" s="24">
        <f>LEFT(D2357,2)&amp;":"&amp;MID(D2357,3,2)&amp;":"&amp;MID(D2357,5,2)&amp;":"&amp;MID(D2357,7,2)&amp;":"&amp;MID(D2357,9,2)&amp;":"&amp;RIGHT(D2357,2)</f>
        <v/>
      </c>
      <c r="H2357" t="inlineStr">
        <is>
          <t>A8852AA043C9EBB1</t>
        </is>
      </c>
      <c r="J2357" t="inlineStr">
        <is>
          <t>A8852AA043C9EBB1</t>
        </is>
      </c>
    </row>
    <row r="2358">
      <c r="A2358" s="32" t="inlineStr">
        <is>
          <t>MULTIMEDA</t>
        </is>
      </c>
      <c r="B2358">
        <f>IFERROR(INDEX(Companies!$A$3:$A$101,MATCH(A2358,Companies!$B$3:$B$101,0)),"")</f>
        <v/>
      </c>
      <c r="D2358" t="inlineStr">
        <is>
          <t>E8587DE158E5</t>
        </is>
      </c>
      <c r="E2358" s="24">
        <f>LEFT(D2358,2)&amp;":"&amp;MID(D2358,3,2)&amp;":"&amp;MID(D2358,5,2)&amp;":"&amp;MID(D2358,7,2)&amp;":"&amp;MID(D2358,9,2)&amp;":"&amp;RIGHT(D2358,2)</f>
        <v/>
      </c>
      <c r="H2358" t="inlineStr">
        <is>
          <t>D2AF5B29420970C5</t>
        </is>
      </c>
      <c r="J2358" t="inlineStr">
        <is>
          <t>MULTI_VEN2</t>
        </is>
      </c>
      <c r="K2358" s="27" t="inlineStr">
        <is>
          <t>yellow</t>
        </is>
      </c>
    </row>
    <row r="2359">
      <c r="B2359">
        <f>IFERROR(INDEX(Companies!$A$3:$A$101,MATCH(A2359,Companies!$B$3:$B$101,0)),"")</f>
        <v/>
      </c>
      <c r="D2359" t="inlineStr">
        <is>
          <t>C59E1747D6A7</t>
        </is>
      </c>
      <c r="E2359" s="24">
        <f>LEFT(D2359,2)&amp;":"&amp;MID(D2359,3,2)&amp;":"&amp;MID(D2359,5,2)&amp;":"&amp;MID(D2359,7,2)&amp;":"&amp;MID(D2359,9,2)&amp;":"&amp;RIGHT(D2359,2)</f>
        <v/>
      </c>
      <c r="H2359" t="inlineStr">
        <is>
          <t>D254CF6F1B07333B</t>
        </is>
      </c>
      <c r="J2359" t="inlineStr">
        <is>
          <t>D254CF6F1B07333B</t>
        </is>
      </c>
    </row>
    <row r="2360">
      <c r="B2360">
        <f>IFERROR(INDEX(Companies!$A$3:$A$101,MATCH(A2360,Companies!$B$3:$B$101,0)),"")</f>
        <v/>
      </c>
      <c r="D2360" t="inlineStr">
        <is>
          <t>F7944BDF88C4</t>
        </is>
      </c>
      <c r="E2360" s="24">
        <f>LEFT(D2360,2)&amp;":"&amp;MID(D2360,3,2)&amp;":"&amp;MID(D2360,5,2)&amp;":"&amp;MID(D2360,7,2)&amp;":"&amp;MID(D2360,9,2)&amp;":"&amp;RIGHT(D2360,2)</f>
        <v/>
      </c>
      <c r="H2360" t="inlineStr">
        <is>
          <t>FA4D9FDBD43DC503</t>
        </is>
      </c>
      <c r="J2360" t="inlineStr">
        <is>
          <t>FA4D9FDBD43DC503</t>
        </is>
      </c>
    </row>
    <row r="2361">
      <c r="B2361">
        <f>IFERROR(INDEX(Companies!$A$3:$A$101,MATCH(A2361,Companies!$B$3:$B$101,0)),"")</f>
        <v/>
      </c>
      <c r="D2361" t="inlineStr">
        <is>
          <t>C1AF95721EBF</t>
        </is>
      </c>
      <c r="E2361" s="24">
        <f>LEFT(D2361,2)&amp;":"&amp;MID(D2361,3,2)&amp;":"&amp;MID(D2361,5,2)&amp;":"&amp;MID(D2361,7,2)&amp;":"&amp;MID(D2361,9,2)&amp;":"&amp;RIGHT(D2361,2)</f>
        <v/>
      </c>
      <c r="H2361" t="inlineStr">
        <is>
          <t>094D03A7CA498C3E</t>
        </is>
      </c>
      <c r="J2361" t="inlineStr">
        <is>
          <t>094D03A7CA498C3E</t>
        </is>
      </c>
    </row>
    <row r="2362">
      <c r="A2362" s="32" t="inlineStr">
        <is>
          <t>MULTIMEDA</t>
        </is>
      </c>
      <c r="B2362">
        <f>IFERROR(INDEX(Companies!$A$3:$A$101,MATCH(A2362,Companies!$B$3:$B$101,0)),"")</f>
        <v/>
      </c>
      <c r="D2362" t="inlineStr">
        <is>
          <t>D59DEB9E5272</t>
        </is>
      </c>
      <c r="E2362" s="24">
        <f>LEFT(D2362,2)&amp;":"&amp;MID(D2362,3,2)&amp;":"&amp;MID(D2362,5,2)&amp;":"&amp;MID(D2362,7,2)&amp;":"&amp;MID(D2362,9,2)&amp;":"&amp;RIGHT(D2362,2)</f>
        <v/>
      </c>
      <c r="H2362" t="inlineStr">
        <is>
          <t>7BF7853D1936F105</t>
        </is>
      </c>
      <c r="J2362" t="inlineStr">
        <is>
          <t>MULTI_VEN1</t>
        </is>
      </c>
      <c r="K2362" s="27" t="inlineStr">
        <is>
          <t>yellow</t>
        </is>
      </c>
    </row>
    <row r="2363">
      <c r="A2363" s="32" t="inlineStr">
        <is>
          <t>MULTIMEDA</t>
        </is>
      </c>
      <c r="B2363">
        <f>IFERROR(INDEX(Companies!$A$3:$A$101,MATCH(A2363,Companies!$B$3:$B$101,0)),"")</f>
        <v/>
      </c>
      <c r="D2363" t="inlineStr">
        <is>
          <t>D54F8003776C</t>
        </is>
      </c>
      <c r="E2363" s="24">
        <f>LEFT(D2363,2)&amp;":"&amp;MID(D2363,3,2)&amp;":"&amp;MID(D2363,5,2)&amp;":"&amp;MID(D2363,7,2)&amp;":"&amp;MID(D2363,9,2)&amp;":"&amp;RIGHT(D2363,2)</f>
        <v/>
      </c>
      <c r="H2363" t="inlineStr">
        <is>
          <t>C9BC3FF8B9790B3B</t>
        </is>
      </c>
      <c r="J2363" t="inlineStr">
        <is>
          <t>MULTI_VEN8</t>
        </is>
      </c>
      <c r="K2363" s="27" t="inlineStr">
        <is>
          <t>blue</t>
        </is>
      </c>
    </row>
    <row r="2364">
      <c r="B2364">
        <f>IFERROR(INDEX(Companies!$A$3:$A$101,MATCH(A2364,Companies!$B$3:$B$101,0)),"")</f>
        <v/>
      </c>
      <c r="D2364" t="inlineStr">
        <is>
          <t>DC7B3C27AD81</t>
        </is>
      </c>
      <c r="E2364" s="24">
        <f>LEFT(D2364,2)&amp;":"&amp;MID(D2364,3,2)&amp;":"&amp;MID(D2364,5,2)&amp;":"&amp;MID(D2364,7,2)&amp;":"&amp;MID(D2364,9,2)&amp;":"&amp;RIGHT(D2364,2)</f>
        <v/>
      </c>
      <c r="H2364" t="inlineStr">
        <is>
          <t>55AC8DB1040E019A</t>
        </is>
      </c>
      <c r="J2364" t="inlineStr">
        <is>
          <t>55AC8DB1040E019A</t>
        </is>
      </c>
    </row>
    <row r="2365">
      <c r="B2365">
        <f>IFERROR(INDEX(Companies!$A$3:$A$101,MATCH(A2365,Companies!$B$3:$B$101,0)),"")</f>
        <v/>
      </c>
      <c r="D2365" t="inlineStr">
        <is>
          <t>C13C8A6D264C</t>
        </is>
      </c>
      <c r="E2365" s="24">
        <f>LEFT(D2365,2)&amp;":"&amp;MID(D2365,3,2)&amp;":"&amp;MID(D2365,5,2)&amp;":"&amp;MID(D2365,7,2)&amp;":"&amp;MID(D2365,9,2)&amp;":"&amp;RIGHT(D2365,2)</f>
        <v/>
      </c>
      <c r="H2365" t="inlineStr">
        <is>
          <t>74D07840C5030582</t>
        </is>
      </c>
      <c r="J2365" t="inlineStr">
        <is>
          <t>74D07840C5030582</t>
        </is>
      </c>
    </row>
    <row r="2366">
      <c r="B2366">
        <f>IFERROR(INDEX(Companies!$A$3:$A$101,MATCH(A2366,Companies!$B$3:$B$101,0)),"")</f>
        <v/>
      </c>
      <c r="D2366" t="inlineStr">
        <is>
          <t>FB027ABC111C</t>
        </is>
      </c>
      <c r="E2366" s="24">
        <f>LEFT(D2366,2)&amp;":"&amp;MID(D2366,3,2)&amp;":"&amp;MID(D2366,5,2)&amp;":"&amp;MID(D2366,7,2)&amp;":"&amp;MID(D2366,9,2)&amp;":"&amp;RIGHT(D2366,2)</f>
        <v/>
      </c>
      <c r="H2366" t="inlineStr">
        <is>
          <t>4910F7055DB2E22E</t>
        </is>
      </c>
      <c r="J2366" t="inlineStr">
        <is>
          <t>4910F7055DB2E22E</t>
        </is>
      </c>
    </row>
    <row r="2367">
      <c r="B2367">
        <f>IFERROR(INDEX(Companies!$A$3:$A$101,MATCH(A2367,Companies!$B$3:$B$101,0)),"")</f>
        <v/>
      </c>
      <c r="D2367" t="inlineStr">
        <is>
          <t>FA9CAF4A997A</t>
        </is>
      </c>
      <c r="E2367" s="24">
        <f>LEFT(D2367,2)&amp;":"&amp;MID(D2367,3,2)&amp;":"&amp;MID(D2367,5,2)&amp;":"&amp;MID(D2367,7,2)&amp;":"&amp;MID(D2367,9,2)&amp;":"&amp;RIGHT(D2367,2)</f>
        <v/>
      </c>
      <c r="H2367" t="inlineStr">
        <is>
          <t>BA30AF42ABFC8C23</t>
        </is>
      </c>
      <c r="J2367" t="inlineStr">
        <is>
          <t>BA30AF42ABFC8C23</t>
        </is>
      </c>
    </row>
    <row r="2368">
      <c r="B2368">
        <f>IFERROR(INDEX(Companies!$A$3:$A$101,MATCH(A2368,Companies!$B$3:$B$101,0)),"")</f>
        <v/>
      </c>
      <c r="D2368" t="inlineStr">
        <is>
          <t>E2BC2B58722E</t>
        </is>
      </c>
      <c r="E2368" s="24">
        <f>LEFT(D2368,2)&amp;":"&amp;MID(D2368,3,2)&amp;":"&amp;MID(D2368,5,2)&amp;":"&amp;MID(D2368,7,2)&amp;":"&amp;MID(D2368,9,2)&amp;":"&amp;RIGHT(D2368,2)</f>
        <v/>
      </c>
      <c r="H2368" t="inlineStr">
        <is>
          <t>E4C966B2071E8E59</t>
        </is>
      </c>
      <c r="J2368" t="inlineStr">
        <is>
          <t>E4C966B2071E8E59</t>
        </is>
      </c>
    </row>
    <row r="2369">
      <c r="A2369" s="32" t="inlineStr">
        <is>
          <t>MULTIMEDA</t>
        </is>
      </c>
      <c r="B2369">
        <f>IFERROR(INDEX(Companies!$A$3:$A$101,MATCH(A2369,Companies!$B$3:$B$101,0)),"")</f>
        <v/>
      </c>
      <c r="D2369" t="inlineStr">
        <is>
          <t>EF703CDE10EE</t>
        </is>
      </c>
      <c r="E2369" s="24">
        <f>LEFT(D2369,2)&amp;":"&amp;MID(D2369,3,2)&amp;":"&amp;MID(D2369,5,2)&amp;":"&amp;MID(D2369,7,2)&amp;":"&amp;MID(D2369,9,2)&amp;":"&amp;RIGHT(D2369,2)</f>
        <v/>
      </c>
      <c r="H2369" t="inlineStr">
        <is>
          <t>2A8AE9E53DB64729</t>
        </is>
      </c>
      <c r="J2369" t="inlineStr">
        <is>
          <t>MULTI_OB2</t>
        </is>
      </c>
      <c r="K2369" s="27" t="inlineStr">
        <is>
          <t>red</t>
        </is>
      </c>
    </row>
    <row r="2370">
      <c r="A2370" s="32" t="inlineStr">
        <is>
          <t>MULTIMEDA</t>
        </is>
      </c>
      <c r="B2370">
        <f>IFERROR(INDEX(Companies!$A$3:$A$101,MATCH(A2370,Companies!$B$3:$B$101,0)),"")</f>
        <v/>
      </c>
      <c r="D2370" t="inlineStr">
        <is>
          <t>FDB0CF370D23</t>
        </is>
      </c>
      <c r="E2370" s="24">
        <f>LEFT(D2370,2)&amp;":"&amp;MID(D2370,3,2)&amp;":"&amp;MID(D2370,5,2)&amp;":"&amp;MID(D2370,7,2)&amp;":"&amp;MID(D2370,9,2)&amp;":"&amp;RIGHT(D2370,2)</f>
        <v/>
      </c>
      <c r="H2370" t="inlineStr">
        <is>
          <t>10A88B550532FB20</t>
        </is>
      </c>
      <c r="J2370" t="inlineStr">
        <is>
          <t>MULTI_VEN4</t>
        </is>
      </c>
      <c r="K2370" s="27" t="inlineStr">
        <is>
          <t>yellow</t>
        </is>
      </c>
    </row>
    <row r="2371">
      <c r="B2371">
        <f>IFERROR(INDEX(Companies!$A$3:$A$101,MATCH(A2371,Companies!$B$3:$B$101,0)),"")</f>
        <v/>
      </c>
      <c r="D2371" t="inlineStr">
        <is>
          <t>DA34B64BC614</t>
        </is>
      </c>
      <c r="E2371" s="24">
        <f>LEFT(D2371,2)&amp;":"&amp;MID(D2371,3,2)&amp;":"&amp;MID(D2371,5,2)&amp;":"&amp;MID(D2371,7,2)&amp;":"&amp;MID(D2371,9,2)&amp;":"&amp;RIGHT(D2371,2)</f>
        <v/>
      </c>
      <c r="H2371" t="inlineStr">
        <is>
          <t>F31C2171028D5399</t>
        </is>
      </c>
      <c r="J2371" t="inlineStr">
        <is>
          <t>F31C2171028D5399</t>
        </is>
      </c>
    </row>
    <row r="2372">
      <c r="A2372" s="32" t="inlineStr">
        <is>
          <t>MULTIMEDA</t>
        </is>
      </c>
      <c r="B2372">
        <f>IFERROR(INDEX(Companies!$A$3:$A$101,MATCH(A2372,Companies!$B$3:$B$101,0)),"")</f>
        <v/>
      </c>
      <c r="D2372" t="inlineStr">
        <is>
          <t>C7FEA1A594D5</t>
        </is>
      </c>
      <c r="E2372" s="24">
        <f>LEFT(D2372,2)&amp;":"&amp;MID(D2372,3,2)&amp;":"&amp;MID(D2372,5,2)&amp;":"&amp;MID(D2372,7,2)&amp;":"&amp;MID(D2372,9,2)&amp;":"&amp;RIGHT(D2372,2)</f>
        <v/>
      </c>
      <c r="H2372" t="inlineStr">
        <is>
          <t>AD066E09F4C322F4</t>
        </is>
      </c>
      <c r="J2372" t="inlineStr">
        <is>
          <t>MULTI_OB3</t>
        </is>
      </c>
      <c r="K2372" s="27" t="inlineStr">
        <is>
          <t>red</t>
        </is>
      </c>
    </row>
    <row r="2373">
      <c r="A2373" s="32" t="inlineStr">
        <is>
          <t>MULTIMEDA</t>
        </is>
      </c>
      <c r="B2373">
        <f>IFERROR(INDEX(Companies!$A$3:$A$101,MATCH(A2373,Companies!$B$3:$B$101,0)),"")</f>
        <v/>
      </c>
      <c r="D2373" t="inlineStr">
        <is>
          <t>D457C05F270D</t>
        </is>
      </c>
      <c r="E2373" s="24">
        <f>LEFT(D2373,2)&amp;":"&amp;MID(D2373,3,2)&amp;":"&amp;MID(D2373,5,2)&amp;":"&amp;MID(D2373,7,2)&amp;":"&amp;MID(D2373,9,2)&amp;":"&amp;RIGHT(D2373,2)</f>
        <v/>
      </c>
      <c r="H2373" t="inlineStr">
        <is>
          <t>17B3DD72B6E63637</t>
        </is>
      </c>
      <c r="J2373" t="inlineStr">
        <is>
          <t>MULTI_OB5</t>
        </is>
      </c>
      <c r="K2373" s="27" t="inlineStr">
        <is>
          <t>green</t>
        </is>
      </c>
    </row>
    <row r="2374">
      <c r="B2374">
        <f>IFERROR(INDEX(Companies!$A$3:$A$101,MATCH(A2374,Companies!$B$3:$B$101,0)),"")</f>
        <v/>
      </c>
      <c r="D2374" t="inlineStr">
        <is>
          <t>FCD59E04666E</t>
        </is>
      </c>
      <c r="E2374" s="24">
        <f>LEFT(D2374,2)&amp;":"&amp;MID(D2374,3,2)&amp;":"&amp;MID(D2374,5,2)&amp;":"&amp;MID(D2374,7,2)&amp;":"&amp;MID(D2374,9,2)&amp;":"&amp;RIGHT(D2374,2)</f>
        <v/>
      </c>
      <c r="H2374" t="inlineStr">
        <is>
          <t>2158FB635AB31AE5</t>
        </is>
      </c>
    </row>
    <row r="2375">
      <c r="B2375">
        <f>IFERROR(INDEX(Companies!$A$3:$A$101,MATCH(A2375,Companies!$B$3:$B$101,0)),"")</f>
        <v/>
      </c>
      <c r="D2375" t="inlineStr">
        <is>
          <t>D3A01C2BD063</t>
        </is>
      </c>
      <c r="E2375" s="24">
        <f>LEFT(D2375,2)&amp;":"&amp;MID(D2375,3,2)&amp;":"&amp;MID(D2375,5,2)&amp;":"&amp;MID(D2375,7,2)&amp;":"&amp;MID(D2375,9,2)&amp;":"&amp;RIGHT(D2375,2)</f>
        <v/>
      </c>
      <c r="H2375" t="inlineStr">
        <is>
          <t>24B0E987A1915205</t>
        </is>
      </c>
      <c r="J2375" t="inlineStr">
        <is>
          <t>24B0E987A1915205</t>
        </is>
      </c>
    </row>
    <row r="2376">
      <c r="B2376">
        <f>IFERROR(INDEX(Companies!$A$3:$A$101,MATCH(A2376,Companies!$B$3:$B$101,0)),"")</f>
        <v/>
      </c>
      <c r="D2376" t="inlineStr">
        <is>
          <t>F9DDF7C4487B</t>
        </is>
      </c>
      <c r="E2376" s="24">
        <f>LEFT(D2376,2)&amp;":"&amp;MID(D2376,3,2)&amp;":"&amp;MID(D2376,5,2)&amp;":"&amp;MID(D2376,7,2)&amp;":"&amp;MID(D2376,9,2)&amp;":"&amp;RIGHT(D2376,2)</f>
        <v/>
      </c>
      <c r="H2376" t="inlineStr">
        <is>
          <t>D7F5F7A9BFED8CD6</t>
        </is>
      </c>
    </row>
    <row r="2377">
      <c r="A2377" s="121" t="n"/>
      <c r="D2377" t="inlineStr">
        <is>
          <t>D2684D2E0510</t>
        </is>
      </c>
      <c r="H2377" t="inlineStr">
        <is>
          <t>1FCA1B9941318E96</t>
        </is>
      </c>
      <c r="J2377" t="inlineStr">
        <is>
          <t>1FCA1B9941318E96</t>
        </is>
      </c>
    </row>
  </sheetData>
  <autoFilter ref="A1:P2376">
    <sortState ref="A119:P1966">
      <sortCondition ref="J1:J2375"/>
    </sortState>
  </autoFilter>
  <conditionalFormatting sqref="D1:D1048576">
    <cfRule type="duplicateValues" priority="14" dxfId="16"/>
  </conditionalFormatting>
  <conditionalFormatting sqref="E1:E1048576">
    <cfRule type="duplicateValues" priority="91" dxfId="16"/>
  </conditionalFormatting>
  <conditionalFormatting sqref="H1:H1048576">
    <cfRule type="duplicateValues" priority="15" dxfId="16"/>
  </conditionalFormatting>
  <conditionalFormatting sqref="J1:J1585 J1587:J1048576">
    <cfRule type="duplicateValues" priority="13" dxfId="16"/>
  </conditionalFormatting>
  <conditionalFormatting sqref="J1586">
    <cfRule type="duplicateValues" priority="1" dxfId="16"/>
  </conditionalFormatting>
  <conditionalFormatting sqref="P1:P1048576">
    <cfRule type="duplicateValues" priority="22" dxfId="16"/>
  </conditionalFormatting>
  <dataValidations count="1">
    <dataValidation sqref="F1:F1048576" showDropDown="0" showInputMessage="1" showErrorMessage="1" allowBlank="0" type="date" operator="greaterThan">
      <formula1>36891</formula1>
    </dataValidation>
  </dataValidations>
  <pageMargins left="0.7" right="0.7" top="0.75" bottom="0.75" header="0.3" footer="0.3"/>
  <pageSetup orientation="landscape" paperSize="261" horizontalDpi="180" verticalDpi="180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3" activePane="bottomLeft" state="frozen"/>
      <selection pane="bottomLeft" activeCell="B39" sqref="B39"/>
    </sheetView>
  </sheetViews>
  <sheetFormatPr baseColWidth="8" defaultColWidth="8.88671875" defaultRowHeight="14.4"/>
  <cols>
    <col width="24.6640625" bestFit="1" customWidth="1" min="1" max="1"/>
    <col width="16.109375" bestFit="1" customWidth="1" min="2" max="2"/>
    <col width="21.109375" bestFit="1" customWidth="1" min="3" max="3"/>
    <col width="10.5546875" customWidth="1" min="4" max="4"/>
  </cols>
  <sheetData>
    <row r="1" ht="28.65" customFormat="1" customHeight="1" s="15">
      <c r="A1" s="15" t="inlineStr">
        <is>
          <t>Company ID from Ubidots</t>
        </is>
      </c>
      <c r="B1" s="15" t="inlineStr">
        <is>
          <t>Company name</t>
        </is>
      </c>
      <c r="C1" s="15" t="inlineStr">
        <is>
          <t>Description</t>
        </is>
      </c>
      <c r="D1" s="15" t="inlineStr">
        <is>
          <t>Sensor count</t>
        </is>
      </c>
    </row>
    <row r="2">
      <c r="A2" t="n">
        <v>0</v>
      </c>
      <c r="C2" t="inlineStr">
        <is>
          <t>Not assigned</t>
        </is>
      </c>
      <c r="D2">
        <f>COUNTIF(Sensors_DynamoDB!A:A,Companies!$B2)</f>
        <v/>
      </c>
    </row>
    <row r="3">
      <c r="A3" t="inlineStr">
        <is>
          <t>6253a7e00d7237fac4873b5f</t>
        </is>
      </c>
      <c r="B3" t="inlineStr">
        <is>
          <t>VIEZO</t>
        </is>
      </c>
      <c r="C3" t="inlineStr">
        <is>
          <t>UAB Nanoenergija</t>
        </is>
      </c>
      <c r="D3">
        <f>COUNTIF(Sensors_DynamoDB!A:A,Companies!$B3)</f>
        <v/>
      </c>
    </row>
    <row r="4">
      <c r="A4" t="inlineStr">
        <is>
          <t>624fc8f3330443aa9315c03f</t>
        </is>
      </c>
      <c r="B4" t="inlineStr">
        <is>
          <t>HVLE</t>
        </is>
      </c>
      <c r="C4" t="inlineStr">
        <is>
          <t>Havelländische Eisenbahn</t>
        </is>
      </c>
      <c r="D4">
        <f>COUNTIF(Sensors_DynamoDB!A:A,Companies!$B4)</f>
        <v/>
      </c>
    </row>
    <row r="5">
      <c r="A5" t="inlineStr">
        <is>
          <t>6252e06ae4fead0698ecb1c2</t>
        </is>
      </c>
      <c r="B5" t="inlineStr">
        <is>
          <t>VTG</t>
        </is>
      </c>
      <c r="D5">
        <f>COUNTIF(Sensors_DynamoDB!A:A,Companies!$B5)</f>
        <v/>
      </c>
    </row>
    <row r="6">
      <c r="A6" t="inlineStr">
        <is>
          <t>6252e05ac4cdf0210339bc38</t>
        </is>
      </c>
      <c r="B6" t="inlineStr">
        <is>
          <t>SGL</t>
        </is>
      </c>
      <c r="D6">
        <f>COUNTIF(Sensors_DynamoDB!A:A,Companies!$B6)</f>
        <v/>
      </c>
    </row>
    <row r="7">
      <c r="A7" t="inlineStr">
        <is>
          <t>6253a699db3e775e431dc685</t>
        </is>
      </c>
      <c r="B7" t="inlineStr">
        <is>
          <t>LTG</t>
        </is>
      </c>
      <c r="C7" t="inlineStr">
        <is>
          <t>Lithuanian Railways</t>
        </is>
      </c>
      <c r="D7">
        <f>COUNTIF(Sensors_DynamoDB!A:A,Companies!$B7)</f>
        <v/>
      </c>
    </row>
    <row r="8">
      <c r="A8" t="inlineStr">
        <is>
          <t>62584ba3be96790af19bb545</t>
        </is>
      </c>
      <c r="B8" t="inlineStr">
        <is>
          <t>PACIFIC</t>
        </is>
      </c>
      <c r="C8" t="inlineStr">
        <is>
          <t>Australia</t>
        </is>
      </c>
      <c r="D8">
        <f>COUNTIF(Sensors_DynamoDB!A:A,Companies!$B8)</f>
        <v/>
      </c>
    </row>
    <row r="9">
      <c r="A9" s="18" t="inlineStr">
        <is>
          <t>62711ed01d64ac000b03f2bd</t>
        </is>
      </c>
      <c r="B9" t="inlineStr">
        <is>
          <t>HUPAC</t>
        </is>
      </c>
      <c r="D9">
        <f>COUNTIF(Sensors_DynamoDB!A:A,Companies!$B9)</f>
        <v/>
      </c>
    </row>
    <row r="10">
      <c r="A10" t="inlineStr">
        <is>
          <t>6260f34542ddde196df5c8e3</t>
        </is>
      </c>
      <c r="B10" t="inlineStr">
        <is>
          <t>MEDWAY</t>
        </is>
      </c>
      <c r="D10">
        <f>COUNTIF(Sensors_DynamoDB!A:A,Companies!$B10)</f>
        <v/>
      </c>
    </row>
    <row r="11">
      <c r="A11" t="inlineStr">
        <is>
          <t>6260f6ceb34bab192344ea55</t>
        </is>
      </c>
      <c r="B11" t="inlineStr">
        <is>
          <t>EIFFAGE</t>
        </is>
      </c>
      <c r="D11">
        <f>COUNTIF(Sensors_DynamoDB!A:A,Companies!$B11)</f>
        <v/>
      </c>
    </row>
    <row r="12">
      <c r="A12" t="inlineStr">
        <is>
          <t>6261004b42ddde1a38b86668</t>
        </is>
      </c>
      <c r="B12" t="inlineStr">
        <is>
          <t>GROUPCAT</t>
        </is>
      </c>
      <c r="D12">
        <f>COUNTIF(Sensors_DynamoDB!A:A,Companies!$B12)</f>
        <v/>
      </c>
    </row>
    <row r="13">
      <c r="A13" t="inlineStr">
        <is>
          <t>6260fc6723fcfa10add59420</t>
        </is>
      </c>
      <c r="B13" t="inlineStr">
        <is>
          <t>FERTAGUS</t>
        </is>
      </c>
      <c r="D13">
        <f>COUNTIF(Sensors_DynamoDB!A:A,Companies!$B13)</f>
        <v/>
      </c>
    </row>
    <row r="14">
      <c r="A14" t="inlineStr">
        <is>
          <t>626abc0670a2920f54e5f7da</t>
        </is>
      </c>
      <c r="B14" t="inlineStr">
        <is>
          <t>FERROTRAMVIARIA</t>
        </is>
      </c>
      <c r="D14">
        <f>COUNTIF(Sensors_DynamoDB!A:A,Companies!$B14)</f>
        <v/>
      </c>
    </row>
    <row r="15">
      <c r="A15" t="inlineStr">
        <is>
          <t>628cda051ecd6f96ea60b96f</t>
        </is>
      </c>
      <c r="B15" t="inlineStr">
        <is>
          <t>EUROWAGON</t>
        </is>
      </c>
      <c r="D15">
        <f>COUNTIF(Sensors_DynamoDB!A:A,Companies!$B15)</f>
        <v/>
      </c>
    </row>
    <row r="16">
      <c r="A16" t="inlineStr">
        <is>
          <t>629787b13d4ed3000b44ba66</t>
        </is>
      </c>
      <c r="B16" t="inlineStr">
        <is>
          <t>TRANSFESA</t>
        </is>
      </c>
      <c r="D16">
        <f>COUNTIF(Sensors_DynamoDB!A:A,Companies!$B16)</f>
        <v/>
      </c>
    </row>
    <row r="17">
      <c r="A17" t="inlineStr">
        <is>
          <t>628238caccc8f309a5a763d2</t>
        </is>
      </c>
      <c r="B17" t="inlineStr">
        <is>
          <t>GFR</t>
        </is>
      </c>
      <c r="D17">
        <f>COUNTIF(Sensors_DynamoDB!A:A,Companies!$B17)</f>
        <v/>
      </c>
    </row>
    <row r="18">
      <c r="A18" t="inlineStr">
        <is>
          <t>62c6a03d34a1ec0471ec669b</t>
        </is>
      </c>
      <c r="B18" t="inlineStr">
        <is>
          <t>AXBENET</t>
        </is>
      </c>
      <c r="D18">
        <f>COUNTIF(Sensors_DynamoDB!A:A,Companies!$B18)</f>
        <v/>
      </c>
    </row>
    <row r="19">
      <c r="A19" t="inlineStr">
        <is>
          <t>62c6a0563f80c801e6b67915</t>
        </is>
      </c>
      <c r="B19" t="inlineStr">
        <is>
          <t>RAILTRANS</t>
        </is>
      </c>
      <c r="D19">
        <f>COUNTIF(Sensors_DynamoDB!A:A,Companies!$B19)</f>
        <v/>
      </c>
    </row>
    <row r="20">
      <c r="A20" t="inlineStr">
        <is>
          <t>62c71c5915ba6418a9fef9df</t>
        </is>
      </c>
      <c r="B20" t="inlineStr">
        <is>
          <t>AMBROGIO</t>
        </is>
      </c>
      <c r="D20">
        <f>COUNTIF(Sensors_DynamoDB!A:A,Companies!$B20)</f>
        <v/>
      </c>
    </row>
    <row r="21">
      <c r="A21" t="inlineStr">
        <is>
          <t>62c71c80f8c89e14a7dcb967</t>
        </is>
      </c>
      <c r="B21" t="inlineStr">
        <is>
          <t>MERCITALIA</t>
        </is>
      </c>
      <c r="D21">
        <f>COUNTIF(Sensors_DynamoDB!A:A,Companies!$B21)</f>
        <v/>
      </c>
    </row>
    <row r="22">
      <c r="A22" t="inlineStr">
        <is>
          <t>62c8513b3363d916f807e2b7</t>
        </is>
      </c>
      <c r="B22" t="inlineStr">
        <is>
          <t>ZSSK CARGO</t>
        </is>
      </c>
      <c r="D22">
        <f>COUNTIF(Sensors_DynamoDB!A:A,Companies!$B22)</f>
        <v/>
      </c>
    </row>
    <row r="23">
      <c r="A23" t="inlineStr">
        <is>
          <t>62d98d0972b17119d8e9c4b9</t>
        </is>
      </c>
      <c r="B23" t="inlineStr">
        <is>
          <t>SBB CARGO</t>
        </is>
      </c>
      <c r="D23">
        <f>COUNTIF(Sensors_DynamoDB!A:A,Companies!$B23)</f>
        <v/>
      </c>
    </row>
    <row r="24">
      <c r="A24" t="inlineStr">
        <is>
          <t>63189b0bd93e8304a30c96b5</t>
        </is>
      </c>
      <c r="B24" t="inlineStr">
        <is>
          <t>RENFE</t>
        </is>
      </c>
      <c r="D24">
        <f>COUNTIF(Sensors_DynamoDB!A:A,Companies!$B24)</f>
        <v/>
      </c>
    </row>
    <row r="25">
      <c r="A25" t="inlineStr">
        <is>
          <t>633a8d944af3d7d4bbab94b1</t>
        </is>
      </c>
      <c r="B25" t="inlineStr">
        <is>
          <t>Railize</t>
        </is>
      </c>
      <c r="D25">
        <f>COUNTIF(Sensors_DynamoDB!A:A,Companies!$B25)</f>
        <v/>
      </c>
    </row>
    <row r="26" ht="14.25" customHeight="1">
      <c r="A26" t="inlineStr">
        <is>
          <t>633fe1daa8cdb11067b7a74e</t>
        </is>
      </c>
      <c r="B26" t="inlineStr">
        <is>
          <t>INTERFRACHT</t>
        </is>
      </c>
      <c r="D26">
        <f>COUNTIF(Sensors_DynamoDB!A:A,Companies!$B26)</f>
        <v/>
      </c>
    </row>
    <row r="27">
      <c r="A27" t="inlineStr">
        <is>
          <t>63d391c736c993000c736ca5</t>
        </is>
      </c>
      <c r="B27" t="inlineStr">
        <is>
          <t>RIOTINTO</t>
        </is>
      </c>
      <c r="D27">
        <f>COUNTIF(Sensors_DynamoDB!A:A,Companies!$B27)</f>
        <v/>
      </c>
    </row>
    <row r="28">
      <c r="A28" t="inlineStr">
        <is>
          <t>63d391e21f5aaa0491f36774</t>
        </is>
      </c>
      <c r="B28" t="inlineStr">
        <is>
          <t>SCHAEFFLER</t>
        </is>
      </c>
      <c r="D28">
        <f>COUNTIF(Sensors_DynamoDB!A:A,Companies!$B28)</f>
        <v/>
      </c>
    </row>
    <row r="29">
      <c r="A29" t="inlineStr">
        <is>
          <t>6437efc02af539000b07a526</t>
        </is>
      </c>
      <c r="B29" t="inlineStr">
        <is>
          <t>GREENCARGO</t>
        </is>
      </c>
      <c r="D29">
        <f>COUNTIF(Sensors_DynamoDB!A:A,Companies!$B29)</f>
        <v/>
      </c>
    </row>
    <row r="30">
      <c r="A30" t="inlineStr">
        <is>
          <t>6437efd8392053000b00ce1b</t>
        </is>
      </c>
      <c r="B30" t="inlineStr">
        <is>
          <t>RAILRELEASE</t>
        </is>
      </c>
      <c r="D30">
        <f>COUNTIF(Sensors_DynamoDB!A:A,Companies!$B30)</f>
        <v/>
      </c>
    </row>
    <row r="31">
      <c r="A31" t="inlineStr">
        <is>
          <t>6437efed9270fa000e12f851</t>
        </is>
      </c>
      <c r="B31" t="inlineStr">
        <is>
          <t>RSA</t>
        </is>
      </c>
      <c r="D31">
        <f>COUNTIF(Sensors_DynamoDB!A:A,Companies!$B31)</f>
        <v/>
      </c>
    </row>
    <row r="32">
      <c r="A32" t="inlineStr">
        <is>
          <t>64818ba10166b80f8d06f5fa</t>
        </is>
      </c>
      <c r="B32" t="inlineStr">
        <is>
          <t>TRANSWAGGON</t>
        </is>
      </c>
      <c r="D32">
        <f>COUNTIF(Sensors_DynamoDB!A:A,Companies!$B32)</f>
        <v/>
      </c>
    </row>
    <row r="33">
      <c r="A33" t="inlineStr">
        <is>
          <t>64afec3647ee87000d3587ae</t>
        </is>
      </c>
      <c r="B33" t="inlineStr">
        <is>
          <t>CFLCARGO</t>
        </is>
      </c>
      <c r="D33">
        <f>COUNTIF(Sensors_DynamoDB!A:A,Companies!$B33)</f>
        <v/>
      </c>
    </row>
    <row r="34">
      <c r="A34" t="inlineStr">
        <is>
          <t>64afec5baf3745000c17fd3b</t>
        </is>
      </c>
      <c r="B34" t="inlineStr">
        <is>
          <t>CARGONET</t>
        </is>
      </c>
      <c r="D34">
        <f>COUNTIF(Sensors_DynamoDB!A:A,Companies!$B34)</f>
        <v/>
      </c>
    </row>
    <row r="35">
      <c r="A35" t="inlineStr">
        <is>
          <t>64b10f6e8dbd20000b1a80b6</t>
        </is>
      </c>
      <c r="B35" t="inlineStr">
        <is>
          <t>DELPHISONIC</t>
        </is>
      </c>
      <c r="D35">
        <f>COUNTIF(Sensors_DynamoDB!A:A,Companies!$B35)</f>
        <v/>
      </c>
    </row>
    <row r="36">
      <c r="A36" t="inlineStr">
        <is>
          <t>651ab621ccb1e4000cd231d4</t>
        </is>
      </c>
      <c r="B36" t="inlineStr">
        <is>
          <t>TANKWAGON</t>
        </is>
      </c>
      <c r="D36">
        <f>COUNTIF(Sensors_DynamoDB!A:A,Companies!$B36)</f>
        <v/>
      </c>
    </row>
    <row r="37">
      <c r="A37" t="inlineStr">
        <is>
          <t>6565cb8c0b41d3000db204d6</t>
        </is>
      </c>
      <c r="B37" t="inlineStr">
        <is>
          <t>TALGO</t>
        </is>
      </c>
      <c r="D37">
        <f>COUNTIF(Sensors_DynamoDB!A:A,Companies!$B37)</f>
        <v/>
      </c>
    </row>
    <row r="38">
      <c r="A38" t="inlineStr">
        <is>
          <t>65bca6234396a6000bc12292</t>
        </is>
      </c>
      <c r="B38" t="inlineStr">
        <is>
          <t>SUJAN</t>
        </is>
      </c>
      <c r="D38">
        <f>COUNTIF(Sensors_DynamoDB!A:A,Companies!$B38)</f>
        <v/>
      </c>
    </row>
    <row r="39">
      <c r="A39" t="inlineStr">
        <is>
          <t>6601886f1586791ef0b15498</t>
        </is>
      </c>
      <c r="B39" t="inlineStr">
        <is>
          <t>MULTIMEDA</t>
        </is>
      </c>
    </row>
  </sheetData>
  <conditionalFormatting sqref="A1:A1048576">
    <cfRule type="duplicateValues" priority="2" dxfId="16"/>
  </conditionalFormatting>
  <conditionalFormatting sqref="B1 B3:B1048576">
    <cfRule type="duplicateValues" priority="4" dxfId="16"/>
  </conditionalFormatting>
  <conditionalFormatting sqref="B1:B1048576">
    <cfRule type="duplicateValues" priority="1" dxfId="16"/>
  </conditionalFormatting>
  <conditionalFormatting sqref="B2">
    <cfRule type="duplicateValues" priority="3" dxfId="16"/>
  </conditionalFormatting>
  <pageMargins left="0.7" right="0.7" top="0.75" bottom="0.75" header="0.3" footer="0.3"/>
  <pageSetup orientation="landscape" paperSize="261" horizontalDpi="180" verticalDpi="18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zoomScale="85" zoomScaleNormal="85" workbookViewId="0">
      <pane ySplit="1" topLeftCell="A86" activePane="bottomLeft" state="frozen"/>
      <selection pane="bottomLeft" activeCell="F136" sqref="F136"/>
    </sheetView>
  </sheetViews>
  <sheetFormatPr baseColWidth="8" defaultColWidth="8.88671875" defaultRowHeight="14.4"/>
  <cols>
    <col width="16.109375" bestFit="1" customWidth="1" min="1" max="1"/>
    <col width="20.6640625" bestFit="1" customWidth="1" style="23" min="2" max="2"/>
    <col width="17.6640625" bestFit="1" customWidth="1" min="3" max="3"/>
    <col width="23.6640625" bestFit="1" customWidth="1" min="4" max="4"/>
  </cols>
  <sheetData>
    <row r="1" ht="20.7" customHeight="1">
      <c r="A1" s="21" t="inlineStr">
        <is>
          <t>Company</t>
        </is>
      </c>
      <c r="B1" s="22" t="inlineStr">
        <is>
          <t>Gateway case nr</t>
        </is>
      </c>
      <c r="C1" t="inlineStr">
        <is>
          <t>Particle S. nr.</t>
        </is>
      </c>
      <c r="D1" t="inlineStr">
        <is>
          <t>Comments/Date Added:</t>
        </is>
      </c>
    </row>
    <row r="2">
      <c r="A2" t="inlineStr">
        <is>
          <t>PACIFIC</t>
        </is>
      </c>
      <c r="B2" s="23" t="inlineStr">
        <is>
          <t>GW2203-033</t>
        </is>
      </c>
    </row>
    <row r="3">
      <c r="A3" t="inlineStr">
        <is>
          <t>PACIFIC</t>
        </is>
      </c>
      <c r="B3" s="23" t="inlineStr">
        <is>
          <t>GW2203-028</t>
        </is>
      </c>
    </row>
    <row r="4">
      <c r="A4" t="inlineStr">
        <is>
          <t>RENFE</t>
        </is>
      </c>
      <c r="B4" s="23" t="inlineStr">
        <is>
          <t>GW2203-009</t>
        </is>
      </c>
      <c r="D4" t="inlineStr">
        <is>
          <t>2023 01 25</t>
        </is>
      </c>
    </row>
    <row r="5">
      <c r="A5" t="inlineStr">
        <is>
          <t>HUPAC</t>
        </is>
      </c>
      <c r="B5" s="23" t="inlineStr">
        <is>
          <t>GW2203-037</t>
        </is>
      </c>
    </row>
    <row r="6">
      <c r="A6" t="inlineStr">
        <is>
          <t>HUPAC</t>
        </is>
      </c>
      <c r="B6" s="23" t="inlineStr">
        <is>
          <t>GW2203-006</t>
        </is>
      </c>
    </row>
    <row r="7">
      <c r="A7" t="inlineStr">
        <is>
          <t>HUPAC</t>
        </is>
      </c>
      <c r="B7" s="23" t="inlineStr">
        <is>
          <t>GW2203-043</t>
        </is>
      </c>
    </row>
    <row r="8">
      <c r="A8" t="inlineStr">
        <is>
          <t>HUPAC</t>
        </is>
      </c>
      <c r="B8" s="23" t="inlineStr">
        <is>
          <t>GW2203-024</t>
        </is>
      </c>
    </row>
    <row r="9">
      <c r="A9" t="inlineStr">
        <is>
          <t>HUPAC</t>
        </is>
      </c>
      <c r="B9" s="23" t="inlineStr">
        <is>
          <t>GW2203-031</t>
        </is>
      </c>
    </row>
    <row r="10">
      <c r="A10" t="inlineStr">
        <is>
          <t>HUPAC</t>
        </is>
      </c>
      <c r="B10" s="23" t="inlineStr">
        <is>
          <t>GW2203-017</t>
        </is>
      </c>
    </row>
    <row r="11">
      <c r="A11" t="inlineStr">
        <is>
          <t>HUPAC</t>
        </is>
      </c>
      <c r="B11" s="23" t="inlineStr">
        <is>
          <t>GW2203-035</t>
        </is>
      </c>
    </row>
    <row r="12">
      <c r="A12" t="inlineStr">
        <is>
          <t>HUPAC</t>
        </is>
      </c>
      <c r="B12" s="23" t="inlineStr">
        <is>
          <t>GW2203-019</t>
        </is>
      </c>
    </row>
    <row r="13">
      <c r="A13" t="inlineStr">
        <is>
          <t>TRANSFESA</t>
        </is>
      </c>
      <c r="B13" s="23" t="inlineStr">
        <is>
          <t>GW2203-30</t>
        </is>
      </c>
    </row>
    <row r="14" customFormat="1" s="25">
      <c r="B14" s="49" t="n">
        <v>44658</v>
      </c>
    </row>
    <row r="15">
      <c r="A15" t="inlineStr">
        <is>
          <t>SBB CARGO</t>
        </is>
      </c>
      <c r="B15" s="23" t="inlineStr">
        <is>
          <t>was_GW2206-043</t>
        </is>
      </c>
      <c r="C15" t="inlineStr">
        <is>
          <t>P025AB029Y2E58M</t>
        </is>
      </c>
    </row>
    <row r="16">
      <c r="A16" t="inlineStr">
        <is>
          <t>HUPAC</t>
        </is>
      </c>
      <c r="C16" t="inlineStr">
        <is>
          <t>P025AB035NST2GY</t>
        </is>
      </c>
      <c r="D16" t="inlineStr">
        <is>
          <t>Warranty</t>
        </is>
      </c>
    </row>
    <row r="17">
      <c r="A17" t="inlineStr">
        <is>
          <t>LTG</t>
        </is>
      </c>
      <c r="B17" s="23" t="inlineStr">
        <is>
          <t>GW2206-085</t>
        </is>
      </c>
      <c r="C17" t="inlineStr">
        <is>
          <t>P025AB106ULSBJC</t>
        </is>
      </c>
    </row>
    <row r="18">
      <c r="A18" t="inlineStr">
        <is>
          <t>HUPAC</t>
        </is>
      </c>
      <c r="B18" s="23" t="inlineStr">
        <is>
          <t>was_GW2206-083</t>
        </is>
      </c>
      <c r="C18" t="inlineStr">
        <is>
          <t>P025AB034UJR8WT</t>
        </is>
      </c>
      <c r="D18" t="inlineStr">
        <is>
          <t>Warranty</t>
        </is>
      </c>
    </row>
    <row r="19">
      <c r="A19" t="inlineStr">
        <is>
          <t>HUPAC</t>
        </is>
      </c>
      <c r="B19" s="23" t="inlineStr">
        <is>
          <t>was_GW2206-094</t>
        </is>
      </c>
      <c r="C19" t="inlineStr">
        <is>
          <t>P025AB110C8YB5K</t>
        </is>
      </c>
      <c r="D19" t="inlineStr">
        <is>
          <t>Warranty</t>
        </is>
      </c>
    </row>
    <row r="20">
      <c r="B20" s="23" t="inlineStr">
        <is>
          <t>GW2206-030</t>
        </is>
      </c>
      <c r="C20" t="inlineStr">
        <is>
          <t>P025AB110JXF9EP</t>
        </is>
      </c>
    </row>
    <row r="21">
      <c r="B21" s="23" t="inlineStr">
        <is>
          <t>GW2206-034</t>
        </is>
      </c>
      <c r="C21" t="inlineStr">
        <is>
          <t>P025AB110GJELH7</t>
        </is>
      </c>
    </row>
    <row r="22">
      <c r="B22" s="23" t="inlineStr">
        <is>
          <t>GW2206-087</t>
        </is>
      </c>
      <c r="C22" t="inlineStr">
        <is>
          <t>P025AB029SPD9RG</t>
        </is>
      </c>
    </row>
    <row r="23">
      <c r="B23" s="23" t="inlineStr">
        <is>
          <t>GW2206-088</t>
        </is>
      </c>
      <c r="C23" t="inlineStr">
        <is>
          <t>P025AB110PTH5C4</t>
        </is>
      </c>
    </row>
    <row r="24">
      <c r="A24" t="inlineStr">
        <is>
          <t>HUPAC</t>
        </is>
      </c>
      <c r="C24" t="inlineStr">
        <is>
          <t>P025AB110CYFGSN</t>
        </is>
      </c>
      <c r="D24" t="inlineStr">
        <is>
          <t>Warranty</t>
        </is>
      </c>
    </row>
    <row r="25">
      <c r="B25" s="23" t="inlineStr">
        <is>
          <t>was_GW2206-090</t>
        </is>
      </c>
      <c r="C25" t="inlineStr">
        <is>
          <t>P025AB110GBWFCL</t>
        </is>
      </c>
    </row>
    <row r="26">
      <c r="B26" s="23" t="inlineStr">
        <is>
          <t>GW2206-040</t>
        </is>
      </c>
      <c r="C26" t="inlineStr">
        <is>
          <t>P025AB1066LHUEK</t>
        </is>
      </c>
    </row>
    <row r="27">
      <c r="B27" s="23" t="inlineStr">
        <is>
          <t>GW2206-041</t>
        </is>
      </c>
      <c r="C27" t="inlineStr">
        <is>
          <t>P025AB110AJVHBY</t>
        </is>
      </c>
    </row>
    <row r="28">
      <c r="A28" t="inlineStr">
        <is>
          <t>VTG</t>
        </is>
      </c>
      <c r="B28" s="23" t="inlineStr">
        <is>
          <t>GW2206-086</t>
        </is>
      </c>
      <c r="C28" t="inlineStr">
        <is>
          <t>P025AB035S76F4P</t>
        </is>
      </c>
    </row>
    <row r="29">
      <c r="A29" t="inlineStr">
        <is>
          <t>HUPAC</t>
        </is>
      </c>
      <c r="C29" t="inlineStr">
        <is>
          <t>P025AB106R9KDYH</t>
        </is>
      </c>
      <c r="D29" t="inlineStr">
        <is>
          <t>Warranty</t>
        </is>
      </c>
    </row>
    <row r="30">
      <c r="A30" t="inlineStr">
        <is>
          <t>EUROWAGON</t>
        </is>
      </c>
      <c r="B30" s="23" t="inlineStr">
        <is>
          <t>GW2206-008</t>
        </is>
      </c>
      <c r="C30" t="inlineStr">
        <is>
          <t>P025AB045JVWDPX</t>
        </is>
      </c>
      <c r="D30" t="inlineStr">
        <is>
          <t xml:space="preserve">19/07/22 </t>
        </is>
      </c>
    </row>
    <row r="31">
      <c r="A31" t="inlineStr">
        <is>
          <t>SBB CARGO</t>
        </is>
      </c>
      <c r="B31" s="23" t="inlineStr">
        <is>
          <t>GW2206-019</t>
        </is>
      </c>
      <c r="C31" t="inlineStr">
        <is>
          <t>P025AB110H6FVU3</t>
        </is>
      </c>
      <c r="D31" s="52" t="inlineStr">
        <is>
          <t>19/07/22</t>
        </is>
      </c>
    </row>
    <row r="32">
      <c r="A32" t="inlineStr">
        <is>
          <t>HVLE</t>
        </is>
      </c>
      <c r="B32" s="53" t="inlineStr">
        <is>
          <t>GW2206-054</t>
        </is>
      </c>
      <c r="C32" t="inlineStr">
        <is>
          <t>P025AB110TU2L9D</t>
        </is>
      </c>
      <c r="D32" t="inlineStr">
        <is>
          <t>19/07/22</t>
        </is>
      </c>
    </row>
    <row r="33">
      <c r="A33" t="inlineStr">
        <is>
          <t>SBB CARGO</t>
        </is>
      </c>
      <c r="B33" s="23" t="inlineStr">
        <is>
          <t>was_GW2203-036</t>
        </is>
      </c>
      <c r="C33" t="inlineStr">
        <is>
          <t>P025AB1106FLXD2</t>
        </is>
      </c>
      <c r="D33" t="inlineStr">
        <is>
          <t>19/07/22</t>
        </is>
      </c>
      <c r="E33" t="inlineStr">
        <is>
          <t>case nr changed</t>
        </is>
      </c>
    </row>
    <row r="34">
      <c r="A34" t="inlineStr">
        <is>
          <t>AMBROGIO</t>
        </is>
      </c>
      <c r="B34" s="23" t="inlineStr">
        <is>
          <t>GW2206-039</t>
        </is>
      </c>
      <c r="C34" s="14" t="inlineStr">
        <is>
          <t>P025AB029VMW27B</t>
        </is>
      </c>
      <c r="D34" s="56" t="n">
        <v>44827</v>
      </c>
    </row>
    <row r="35">
      <c r="A35" t="inlineStr">
        <is>
          <t>RAILIZE</t>
        </is>
      </c>
      <c r="B35" s="57" t="inlineStr">
        <is>
          <t>GW2206-080</t>
        </is>
      </c>
      <c r="C35" t="inlineStr">
        <is>
          <t>P025AB110XL2YF6</t>
        </is>
      </c>
      <c r="D35" s="56" t="n">
        <v>44831</v>
      </c>
    </row>
    <row r="36">
      <c r="A36" t="inlineStr">
        <is>
          <t>RAILIZE</t>
        </is>
      </c>
      <c r="B36" s="57" t="inlineStr">
        <is>
          <t>GW2206-061</t>
        </is>
      </c>
      <c r="D36" s="56" t="n">
        <v>44831</v>
      </c>
    </row>
    <row r="37">
      <c r="A37" t="inlineStr">
        <is>
          <t>RAILIZE</t>
        </is>
      </c>
      <c r="B37" s="57" t="inlineStr">
        <is>
          <t>GW2203-015</t>
        </is>
      </c>
      <c r="D37" s="56" t="n">
        <v>44831</v>
      </c>
    </row>
    <row r="38">
      <c r="A38" t="inlineStr">
        <is>
          <t>RAILIZE</t>
        </is>
      </c>
      <c r="B38" s="57" t="inlineStr">
        <is>
          <t>GW2203-003</t>
        </is>
      </c>
      <c r="D38" s="56" t="n">
        <v>44831</v>
      </c>
    </row>
    <row r="39">
      <c r="A39" t="inlineStr">
        <is>
          <t>TRANSFESA</t>
        </is>
      </c>
      <c r="B39" s="26" t="inlineStr">
        <is>
          <t>GW2206-077</t>
        </is>
      </c>
      <c r="C39" s="14" t="n"/>
      <c r="D39" s="56" t="inlineStr">
        <is>
          <t>5.10.2022</t>
        </is>
      </c>
    </row>
    <row r="40">
      <c r="A40" t="inlineStr">
        <is>
          <t>TRANSFESA</t>
        </is>
      </c>
      <c r="B40" s="26" t="inlineStr">
        <is>
          <t>GW2203-047</t>
        </is>
      </c>
      <c r="D40" s="58" t="inlineStr">
        <is>
          <t>5.10.2022</t>
        </is>
      </c>
    </row>
    <row r="41">
      <c r="A41" t="inlineStr">
        <is>
          <t>EUROWAGON</t>
        </is>
      </c>
      <c r="B41" s="26" t="inlineStr">
        <is>
          <t>GW2203-002</t>
        </is>
      </c>
      <c r="D41" t="inlineStr">
        <is>
          <t>6.10.2022</t>
        </is>
      </c>
    </row>
    <row r="42">
      <c r="A42" t="inlineStr">
        <is>
          <t>MERCITALIA</t>
        </is>
      </c>
      <c r="B42" s="26" t="inlineStr">
        <is>
          <t>GW2206-069</t>
        </is>
      </c>
      <c r="D42" t="inlineStr">
        <is>
          <t>6.10.2022</t>
        </is>
      </c>
    </row>
    <row r="43">
      <c r="A43" t="inlineStr">
        <is>
          <t>MERCITALIA</t>
        </is>
      </c>
      <c r="B43" s="26" t="inlineStr">
        <is>
          <t>GW2206-066</t>
        </is>
      </c>
      <c r="D43" t="inlineStr">
        <is>
          <t>6.10.2022</t>
        </is>
      </c>
    </row>
    <row r="44">
      <c r="A44" t="inlineStr">
        <is>
          <t>MERCITALIA</t>
        </is>
      </c>
      <c r="B44" s="26" t="inlineStr">
        <is>
          <t>GW2206-095</t>
        </is>
      </c>
      <c r="D44" t="inlineStr">
        <is>
          <t>6.10.2022</t>
        </is>
      </c>
    </row>
    <row r="45">
      <c r="A45" t="inlineStr">
        <is>
          <t>MERCITALIA</t>
        </is>
      </c>
      <c r="B45" s="26" t="inlineStr">
        <is>
          <t>GW2206-091</t>
        </is>
      </c>
      <c r="D45" t="inlineStr">
        <is>
          <t>6.10.2022</t>
        </is>
      </c>
    </row>
    <row r="46">
      <c r="A46" t="inlineStr">
        <is>
          <t>MERCITALIA</t>
        </is>
      </c>
      <c r="B46" s="26" t="inlineStr">
        <is>
          <t>GW2206-092</t>
        </is>
      </c>
      <c r="D46" t="inlineStr">
        <is>
          <t>6.10.2022</t>
        </is>
      </c>
    </row>
    <row r="47">
      <c r="A47" t="inlineStr">
        <is>
          <t>MERCITALIA</t>
        </is>
      </c>
      <c r="B47" s="26" t="inlineStr">
        <is>
          <t>GW2203-026</t>
        </is>
      </c>
      <c r="D47" t="inlineStr">
        <is>
          <t>6.10.2022</t>
        </is>
      </c>
    </row>
    <row r="48">
      <c r="A48" t="inlineStr">
        <is>
          <t>MERCITALIA</t>
        </is>
      </c>
      <c r="B48" s="26" t="inlineStr">
        <is>
          <t>GW2206-084</t>
        </is>
      </c>
      <c r="D48" t="inlineStr">
        <is>
          <t>6.10.2022</t>
        </is>
      </c>
    </row>
    <row r="49">
      <c r="A49" t="inlineStr">
        <is>
          <t>MERCITALIA</t>
        </is>
      </c>
      <c r="B49" s="26" t="inlineStr">
        <is>
          <t>GW2206-063</t>
        </is>
      </c>
      <c r="D49" t="inlineStr">
        <is>
          <t>6.10.2022</t>
        </is>
      </c>
    </row>
    <row r="50">
      <c r="A50" t="inlineStr">
        <is>
          <t>MERCITALIA</t>
        </is>
      </c>
      <c r="B50" s="26" t="inlineStr">
        <is>
          <t>GW2206-002</t>
        </is>
      </c>
      <c r="D50" t="inlineStr">
        <is>
          <t>6.10.2022</t>
        </is>
      </c>
    </row>
    <row r="51">
      <c r="A51" t="inlineStr">
        <is>
          <t>MERCITALIA</t>
        </is>
      </c>
      <c r="B51" s="26" t="inlineStr">
        <is>
          <t>GW2203-016</t>
        </is>
      </c>
      <c r="D51" t="inlineStr">
        <is>
          <t>6.10.2022</t>
        </is>
      </c>
    </row>
    <row r="52">
      <c r="A52" t="inlineStr">
        <is>
          <t>INTERFRACHT</t>
        </is>
      </c>
      <c r="B52" s="26" t="inlineStr">
        <is>
          <t>GW2203-045</t>
        </is>
      </c>
      <c r="D52" t="inlineStr">
        <is>
          <t>7.10.2022</t>
        </is>
      </c>
    </row>
    <row r="53">
      <c r="A53" t="inlineStr">
        <is>
          <t>RAILTRANS</t>
        </is>
      </c>
      <c r="B53" s="23" t="inlineStr">
        <is>
          <t>GW2206-005</t>
        </is>
      </c>
      <c r="D53" t="inlineStr">
        <is>
          <t>7.10.2022</t>
        </is>
      </c>
    </row>
    <row r="54">
      <c r="A54" t="inlineStr">
        <is>
          <t>ZSSK CARGO</t>
        </is>
      </c>
      <c r="B54" s="23" t="inlineStr">
        <is>
          <t>GW2203-025</t>
        </is>
      </c>
      <c r="D54" t="inlineStr">
        <is>
          <t>7.10.2022</t>
        </is>
      </c>
    </row>
    <row r="55">
      <c r="A55" t="inlineStr">
        <is>
          <t>EIFFAGE</t>
        </is>
      </c>
      <c r="B55" s="26" t="inlineStr">
        <is>
          <t>GW2203-034</t>
        </is>
      </c>
      <c r="D55" t="inlineStr">
        <is>
          <t>14.10.2022</t>
        </is>
      </c>
    </row>
    <row r="56">
      <c r="A56" t="inlineStr">
        <is>
          <t>EIFFAGE</t>
        </is>
      </c>
      <c r="B56" s="26" t="inlineStr">
        <is>
          <t>GW2203-049</t>
        </is>
      </c>
      <c r="D56" t="inlineStr">
        <is>
          <t>14.10.2022</t>
        </is>
      </c>
    </row>
    <row r="57">
      <c r="A57" t="inlineStr">
        <is>
          <t>FERTAGUS</t>
        </is>
      </c>
      <c r="B57" s="26" t="inlineStr">
        <is>
          <t>GW2203-013</t>
        </is>
      </c>
      <c r="D57" t="inlineStr">
        <is>
          <t>14.10.2022</t>
        </is>
      </c>
    </row>
    <row r="58">
      <c r="A58" t="inlineStr">
        <is>
          <t>FERTAGUS</t>
        </is>
      </c>
      <c r="B58" s="26" t="inlineStr">
        <is>
          <t>GW2203-023</t>
        </is>
      </c>
      <c r="D58" t="inlineStr">
        <is>
          <t>14.10.2022</t>
        </is>
      </c>
    </row>
    <row r="59">
      <c r="A59" t="inlineStr">
        <is>
          <t>FERTAGUS</t>
        </is>
      </c>
      <c r="B59" s="26" t="inlineStr">
        <is>
          <t>GW2203-039</t>
        </is>
      </c>
      <c r="D59" t="inlineStr">
        <is>
          <t>14.10.2022</t>
        </is>
      </c>
    </row>
    <row r="60">
      <c r="A60" t="inlineStr">
        <is>
          <t>FERTAGUS</t>
        </is>
      </c>
      <c r="B60" s="26" t="inlineStr">
        <is>
          <t>GW2203-020</t>
        </is>
      </c>
      <c r="D60" t="inlineStr">
        <is>
          <t>14.10.2022</t>
        </is>
      </c>
    </row>
    <row r="61">
      <c r="A61" t="inlineStr">
        <is>
          <t>SGL</t>
        </is>
      </c>
      <c r="B61" s="23" t="inlineStr">
        <is>
          <t>GW2203-001</t>
        </is>
      </c>
      <c r="D61" s="56" t="n">
        <v>44876</v>
      </c>
    </row>
    <row r="62">
      <c r="A62" t="inlineStr">
        <is>
          <t>SGL</t>
        </is>
      </c>
      <c r="B62" s="23" t="inlineStr">
        <is>
          <t>GW2203-007</t>
        </is>
      </c>
      <c r="D62" s="56" t="n">
        <v>44876</v>
      </c>
    </row>
    <row r="63">
      <c r="A63" t="inlineStr">
        <is>
          <t>HVLE</t>
        </is>
      </c>
      <c r="B63" s="23" t="inlineStr">
        <is>
          <t>GW2206-001</t>
        </is>
      </c>
      <c r="D63" s="56" t="n">
        <v>44876</v>
      </c>
    </row>
    <row r="64">
      <c r="A64" t="inlineStr">
        <is>
          <t>HVLE</t>
        </is>
      </c>
      <c r="B64" s="23" t="inlineStr">
        <is>
          <t>GW2206-094</t>
        </is>
      </c>
      <c r="D64" s="56" t="n">
        <v>44876</v>
      </c>
    </row>
    <row r="65">
      <c r="A65" t="inlineStr">
        <is>
          <t>HVLE</t>
        </is>
      </c>
      <c r="B65" s="23" t="inlineStr">
        <is>
          <t>GW2206-043</t>
        </is>
      </c>
      <c r="D65" s="56" t="n">
        <v>44876</v>
      </c>
    </row>
    <row r="66">
      <c r="A66" t="inlineStr">
        <is>
          <t>HVLE</t>
        </is>
      </c>
      <c r="B66" s="23" t="inlineStr">
        <is>
          <t>GW2206-090</t>
        </is>
      </c>
      <c r="D66" s="56" t="n">
        <v>44876</v>
      </c>
    </row>
    <row r="67">
      <c r="A67" t="inlineStr">
        <is>
          <t>HVLE</t>
        </is>
      </c>
      <c r="B67" s="23" t="inlineStr">
        <is>
          <t>GW2206-083</t>
        </is>
      </c>
      <c r="D67" s="56" t="n">
        <v>44876</v>
      </c>
    </row>
    <row r="68">
      <c r="A68" t="inlineStr">
        <is>
          <t>TRANSWAGGON</t>
        </is>
      </c>
      <c r="B68" s="23" t="inlineStr">
        <is>
          <t>GW2206-042</t>
        </is>
      </c>
      <c r="D68" s="56" t="n"/>
    </row>
    <row r="69">
      <c r="A69" t="inlineStr">
        <is>
          <t>HVLE</t>
        </is>
      </c>
      <c r="B69" s="23" t="inlineStr">
        <is>
          <t>GW2206-003</t>
        </is>
      </c>
      <c r="D69" s="56" t="n">
        <v>44876</v>
      </c>
    </row>
    <row r="70">
      <c r="A70" t="inlineStr">
        <is>
          <t>HVLE</t>
        </is>
      </c>
      <c r="B70" s="23" t="inlineStr">
        <is>
          <t>GW2203-042</t>
        </is>
      </c>
      <c r="D70" s="56" t="n">
        <v>44876</v>
      </c>
    </row>
    <row r="71">
      <c r="A71" t="inlineStr">
        <is>
          <t>HVLE</t>
        </is>
      </c>
      <c r="B71" s="23" t="inlineStr">
        <is>
          <t>GW2203-036</t>
        </is>
      </c>
      <c r="D71" s="56" t="n">
        <v>44876</v>
      </c>
    </row>
    <row r="72">
      <c r="A72" t="inlineStr">
        <is>
          <t>HVLE</t>
        </is>
      </c>
      <c r="B72" s="23" t="inlineStr">
        <is>
          <t>GW2203-050</t>
        </is>
      </c>
      <c r="D72" s="56" t="n">
        <v>44876</v>
      </c>
    </row>
    <row r="73">
      <c r="A73" t="inlineStr">
        <is>
          <t>FERROTRAMVIARIA</t>
        </is>
      </c>
      <c r="B73" s="23" t="inlineStr">
        <is>
          <t>GW2206-093</t>
        </is>
      </c>
      <c r="D73" s="63" t="inlineStr">
        <is>
          <t>29/11/2022</t>
        </is>
      </c>
    </row>
    <row r="74">
      <c r="A74" t="inlineStr">
        <is>
          <t>FERROTRAMVIARIA</t>
        </is>
      </c>
      <c r="B74" s="23" t="inlineStr">
        <is>
          <t>GW2206-056</t>
        </is>
      </c>
      <c r="D74" s="63" t="inlineStr">
        <is>
          <t>29/11/2022</t>
        </is>
      </c>
    </row>
    <row r="75">
      <c r="A75" t="inlineStr">
        <is>
          <t>AMBROGIO</t>
        </is>
      </c>
      <c r="B75" s="23" t="inlineStr">
        <is>
          <t>GW2206-021</t>
        </is>
      </c>
      <c r="D75" s="56" t="n">
        <v>44902</v>
      </c>
    </row>
    <row r="76">
      <c r="A76" t="inlineStr">
        <is>
          <t>HUPAC</t>
        </is>
      </c>
      <c r="B76" s="23" t="inlineStr">
        <is>
          <t>GW2206-065</t>
        </is>
      </c>
      <c r="D76" s="56" t="n">
        <v>44902</v>
      </c>
    </row>
    <row r="77">
      <c r="A77" t="inlineStr">
        <is>
          <t>HUPAC</t>
        </is>
      </c>
      <c r="B77" s="23" t="inlineStr">
        <is>
          <t>GW2206-033</t>
        </is>
      </c>
      <c r="D77" s="56" t="n">
        <v>44902</v>
      </c>
    </row>
    <row r="78">
      <c r="A78" t="inlineStr">
        <is>
          <t>HUPAC</t>
        </is>
      </c>
      <c r="B78" s="23" t="inlineStr">
        <is>
          <t>GW2206-058</t>
        </is>
      </c>
      <c r="D78" s="56" t="n">
        <v>44902</v>
      </c>
    </row>
    <row r="79">
      <c r="A79" t="inlineStr">
        <is>
          <t>HUPAC</t>
        </is>
      </c>
      <c r="B79" s="23" t="inlineStr">
        <is>
          <t>GW2206-055</t>
        </is>
      </c>
      <c r="D79" s="56" t="n">
        <v>44902</v>
      </c>
    </row>
    <row r="80">
      <c r="A80" t="inlineStr">
        <is>
          <t>HUPAC</t>
        </is>
      </c>
      <c r="B80" s="23" t="inlineStr">
        <is>
          <t>GW2206-010</t>
        </is>
      </c>
      <c r="D80" s="56" t="n">
        <v>44902</v>
      </c>
    </row>
    <row r="81">
      <c r="A81" t="inlineStr">
        <is>
          <t>HUPAC</t>
        </is>
      </c>
      <c r="B81" s="23" t="inlineStr">
        <is>
          <t>GW2206-035</t>
        </is>
      </c>
      <c r="D81" s="56" t="n">
        <v>44902</v>
      </c>
    </row>
    <row r="82">
      <c r="A82" t="inlineStr">
        <is>
          <t>HUPAC</t>
        </is>
      </c>
      <c r="B82" s="23" t="inlineStr">
        <is>
          <t>GW2206-096</t>
        </is>
      </c>
      <c r="D82" s="56" t="n">
        <v>44902</v>
      </c>
    </row>
    <row r="83">
      <c r="A83" t="inlineStr">
        <is>
          <t>HUPAC</t>
        </is>
      </c>
      <c r="B83" s="23" t="inlineStr">
        <is>
          <t>GW2206-078</t>
        </is>
      </c>
      <c r="D83" s="56" t="n">
        <v>44902</v>
      </c>
    </row>
    <row r="84">
      <c r="A84" t="inlineStr">
        <is>
          <t>HUPAC</t>
        </is>
      </c>
      <c r="B84" s="23" t="inlineStr">
        <is>
          <t>GW2206-079</t>
        </is>
      </c>
      <c r="D84" s="56" t="n">
        <v>44902</v>
      </c>
    </row>
    <row r="85">
      <c r="A85" t="inlineStr">
        <is>
          <t>HUPAC</t>
        </is>
      </c>
      <c r="B85" s="23" t="inlineStr">
        <is>
          <t>GW2206-064</t>
        </is>
      </c>
      <c r="D85" s="56" t="n">
        <v>44902</v>
      </c>
    </row>
    <row r="86">
      <c r="A86" t="inlineStr">
        <is>
          <t>HUPAC</t>
        </is>
      </c>
      <c r="B86" s="23" t="inlineStr">
        <is>
          <t>GW2206-059</t>
        </is>
      </c>
      <c r="D86" s="56" t="n">
        <v>44902</v>
      </c>
    </row>
    <row r="87">
      <c r="A87" t="inlineStr">
        <is>
          <t>HUPAC</t>
        </is>
      </c>
      <c r="B87" s="23" t="inlineStr">
        <is>
          <t>GW2206-029</t>
        </is>
      </c>
      <c r="D87" s="56" t="n">
        <v>44902</v>
      </c>
    </row>
    <row r="88">
      <c r="A88" t="inlineStr">
        <is>
          <t>LTG</t>
        </is>
      </c>
      <c r="B88" s="23" t="inlineStr">
        <is>
          <t>GW2206-053</t>
        </is>
      </c>
      <c r="D88" s="56" t="n">
        <v>44938</v>
      </c>
    </row>
    <row r="89">
      <c r="A89" t="inlineStr">
        <is>
          <t>FERROTRAMVIARIA</t>
        </is>
      </c>
      <c r="B89" s="23" t="inlineStr">
        <is>
          <t>GW2206-037</t>
        </is>
      </c>
      <c r="D89" s="56" t="inlineStr">
        <is>
          <t>2023 02 08</t>
        </is>
      </c>
    </row>
    <row r="90">
      <c r="A90" t="inlineStr">
        <is>
          <t>RENFE</t>
        </is>
      </c>
      <c r="B90" s="23" t="inlineStr">
        <is>
          <t>GW2206-004</t>
        </is>
      </c>
      <c r="D90" t="inlineStr">
        <is>
          <t>2023 02 22</t>
        </is>
      </c>
    </row>
    <row r="91">
      <c r="A91" t="inlineStr">
        <is>
          <t>MERCITALIA</t>
        </is>
      </c>
      <c r="B91" t="inlineStr">
        <is>
          <t>GW2203-004</t>
        </is>
      </c>
      <c r="D91" t="inlineStr">
        <is>
          <t>2023 03 10</t>
        </is>
      </c>
    </row>
    <row r="92">
      <c r="A92" t="inlineStr">
        <is>
          <t>MERCITALIA</t>
        </is>
      </c>
      <c r="B92" t="inlineStr">
        <is>
          <t>GW2203-044</t>
        </is>
      </c>
      <c r="D92" t="inlineStr">
        <is>
          <t>2023 03 10</t>
        </is>
      </c>
    </row>
    <row r="93">
      <c r="A93" t="inlineStr">
        <is>
          <t>MERCITALIA</t>
        </is>
      </c>
      <c r="B93" t="inlineStr">
        <is>
          <t>GW2206-036</t>
        </is>
      </c>
      <c r="D93" t="inlineStr">
        <is>
          <t>2023 03 10</t>
        </is>
      </c>
    </row>
    <row r="94">
      <c r="A94" t="inlineStr">
        <is>
          <t>HVLE</t>
        </is>
      </c>
      <c r="B94" s="23" t="inlineStr">
        <is>
          <t>GW2203-040</t>
        </is>
      </c>
      <c r="D94" t="inlineStr">
        <is>
          <t>2023 03 10</t>
        </is>
      </c>
    </row>
    <row r="95">
      <c r="A95" t="inlineStr">
        <is>
          <t>FERTAGUS</t>
        </is>
      </c>
      <c r="B95" s="23" t="inlineStr">
        <is>
          <t>GW2203-014</t>
        </is>
      </c>
      <c r="D95" t="inlineStr">
        <is>
          <t>2023 03 27</t>
        </is>
      </c>
    </row>
    <row r="96">
      <c r="A96" t="inlineStr">
        <is>
          <t>HVLE</t>
        </is>
      </c>
      <c r="B96" s="23" t="inlineStr">
        <is>
          <t>GW2206-TR02</t>
        </is>
      </c>
      <c r="D96" t="inlineStr">
        <is>
          <t>2023 03 27</t>
        </is>
      </c>
    </row>
    <row r="97">
      <c r="A97" t="inlineStr">
        <is>
          <t>TRANSFESA</t>
        </is>
      </c>
      <c r="B97" s="23" t="inlineStr">
        <is>
          <t>GW2206-TR01</t>
        </is>
      </c>
      <c r="D97" t="inlineStr">
        <is>
          <t>2023 03 27</t>
        </is>
      </c>
    </row>
    <row r="98">
      <c r="A98" t="inlineStr">
        <is>
          <t>TRANSWAGGON</t>
        </is>
      </c>
      <c r="B98" s="23" t="inlineStr">
        <is>
          <t>GW2206-012</t>
        </is>
      </c>
      <c r="D98" t="inlineStr">
        <is>
          <t>2023 06 13</t>
        </is>
      </c>
    </row>
    <row r="99">
      <c r="A99" t="inlineStr">
        <is>
          <t>TRANSWAGGON</t>
        </is>
      </c>
      <c r="B99" s="23" t="inlineStr">
        <is>
          <t>GW2206-049</t>
        </is>
      </c>
      <c r="D99" t="inlineStr">
        <is>
          <t>2023 06 13</t>
        </is>
      </c>
    </row>
    <row r="100">
      <c r="A100" t="inlineStr">
        <is>
          <t>TRANSWAGGON</t>
        </is>
      </c>
      <c r="B100" s="23" t="inlineStr">
        <is>
          <t>GW2206-050</t>
        </is>
      </c>
      <c r="D100" t="inlineStr">
        <is>
          <t>2023 06 13</t>
        </is>
      </c>
    </row>
    <row r="101">
      <c r="A101" t="inlineStr">
        <is>
          <t>TRANSWAGGON</t>
        </is>
      </c>
      <c r="B101" s="23" t="inlineStr">
        <is>
          <t>GW2206-052</t>
        </is>
      </c>
      <c r="D101" t="inlineStr">
        <is>
          <t>2023 06 13</t>
        </is>
      </c>
    </row>
  </sheetData>
  <conditionalFormatting sqref="B1:B90 B94:B1048576">
    <cfRule type="duplicateValues" priority="1" dxfId="16"/>
  </conditionalFormatting>
  <conditionalFormatting sqref="C34">
    <cfRule type="duplicateValues" priority="3" dxfId="16"/>
  </conditionalFormatting>
  <conditionalFormatting sqref="C39">
    <cfRule type="duplicateValues" priority="2" dxfId="16"/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86"/>
  <sheetViews>
    <sheetView zoomScaleNormal="100" workbookViewId="0">
      <pane ySplit="1" topLeftCell="A638" activePane="bottomLeft" state="frozen"/>
      <selection pane="bottomLeft" activeCell="A266" sqref="A266"/>
    </sheetView>
  </sheetViews>
  <sheetFormatPr baseColWidth="8" defaultColWidth="8.88671875" defaultRowHeight="14.4"/>
  <cols>
    <col width="20.44140625" bestFit="1" customWidth="1" style="2" min="1" max="1"/>
    <col width="20.6640625" bestFit="1" customWidth="1" style="2" min="2" max="2"/>
    <col width="16.109375" bestFit="1" customWidth="1" min="3" max="3"/>
    <col width="18.109375" bestFit="1" customWidth="1" min="4" max="4"/>
    <col width="18.44140625" bestFit="1" customWidth="1" min="5" max="5"/>
    <col width="11" bestFit="1" customWidth="1" min="6" max="6"/>
    <col width="18.44140625" bestFit="1" customWidth="1" min="7" max="7"/>
    <col width="8.6640625" bestFit="1" customWidth="1" min="9" max="9"/>
    <col width="11.44140625" bestFit="1" customWidth="1" min="10" max="10"/>
    <col width="11" bestFit="1" customWidth="1" min="11" max="11"/>
  </cols>
  <sheetData>
    <row r="1" ht="20.7" customHeight="1">
      <c r="A1" s="39" t="inlineStr">
        <is>
          <t>Sensor S. no.</t>
        </is>
      </c>
      <c r="B1" s="39" t="inlineStr">
        <is>
          <t>mac_address</t>
        </is>
      </c>
      <c r="C1" s="21" t="inlineStr">
        <is>
          <t>HA S. No.</t>
        </is>
      </c>
      <c r="D1" s="21" t="inlineStr">
        <is>
          <t>Case S. No.</t>
        </is>
      </c>
      <c r="E1" s="21" t="inlineStr">
        <is>
          <t>Company</t>
        </is>
      </c>
      <c r="F1" s="21" t="inlineStr">
        <is>
          <t>Type</t>
        </is>
      </c>
      <c r="G1" s="21" t="inlineStr">
        <is>
          <t>Comment</t>
        </is>
      </c>
      <c r="I1" s="21" t="inlineStr">
        <is>
          <t>PCB ID</t>
        </is>
      </c>
      <c r="J1" t="inlineStr">
        <is>
          <t>DATE ADDED</t>
        </is>
      </c>
    </row>
    <row r="2">
      <c r="A2" s="2" t="n">
        <v>4978561</v>
      </c>
      <c r="C2" t="n">
        <v>22</v>
      </c>
      <c r="D2" t="inlineStr">
        <is>
          <t>PR-2203-104</t>
        </is>
      </c>
      <c r="E2" t="inlineStr">
        <is>
          <t>HVLE</t>
        </is>
      </c>
      <c r="F2" t="inlineStr">
        <is>
          <t>Cargo</t>
        </is>
      </c>
      <c r="G2" s="1" t="n"/>
      <c r="I2">
        <f>_xlfn.NUMBERVALUE(A2)</f>
        <v/>
      </c>
    </row>
    <row r="3">
      <c r="A3" s="2" t="n">
        <v>4978887</v>
      </c>
      <c r="C3" t="n">
        <v>42</v>
      </c>
      <c r="D3" t="inlineStr">
        <is>
          <t>PR-2203-042</t>
        </is>
      </c>
      <c r="E3" t="inlineStr">
        <is>
          <t>HVLE</t>
        </is>
      </c>
      <c r="F3" t="inlineStr">
        <is>
          <t>Cargo</t>
        </is>
      </c>
      <c r="I3">
        <f>_xlfn.NUMBERVALUE(A3)</f>
        <v/>
      </c>
    </row>
    <row r="4">
      <c r="A4" s="2" t="n">
        <v>4978676</v>
      </c>
      <c r="C4" t="n">
        <v>18</v>
      </c>
      <c r="D4" t="inlineStr">
        <is>
          <t>PR-2203-106</t>
        </is>
      </c>
      <c r="E4" t="inlineStr">
        <is>
          <t>HVLE</t>
        </is>
      </c>
      <c r="F4" t="inlineStr">
        <is>
          <t>Cargo</t>
        </is>
      </c>
      <c r="I4">
        <f>_xlfn.NUMBERVALUE(A4)</f>
        <v/>
      </c>
    </row>
    <row r="5">
      <c r="A5" s="2" t="n">
        <v>4978517</v>
      </c>
      <c r="C5" t="n">
        <v>24</v>
      </c>
      <c r="D5" t="inlineStr">
        <is>
          <t>PR-2203-108</t>
        </is>
      </c>
      <c r="E5" t="inlineStr">
        <is>
          <t>HVLE</t>
        </is>
      </c>
      <c r="F5" t="inlineStr">
        <is>
          <t>Cargo</t>
        </is>
      </c>
      <c r="I5">
        <f>_xlfn.NUMBERVALUE(A5)</f>
        <v/>
      </c>
    </row>
    <row r="6">
      <c r="A6" s="2" t="n">
        <v>4978881</v>
      </c>
      <c r="C6" t="n">
        <v>58</v>
      </c>
      <c r="D6" t="inlineStr">
        <is>
          <t>PR-2203-001</t>
        </is>
      </c>
      <c r="E6" t="inlineStr">
        <is>
          <t>HVLE</t>
        </is>
      </c>
      <c r="F6" t="inlineStr">
        <is>
          <t>Cargo</t>
        </is>
      </c>
      <c r="I6">
        <f>_xlfn.NUMBERVALUE(A6)</f>
        <v/>
      </c>
    </row>
    <row r="7">
      <c r="A7" s="2" t="n">
        <v>4978718</v>
      </c>
      <c r="C7" t="n">
        <v>26</v>
      </c>
      <c r="D7" t="inlineStr">
        <is>
          <t>PR-2203-107</t>
        </is>
      </c>
      <c r="E7" t="inlineStr">
        <is>
          <t>HVLE</t>
        </is>
      </c>
      <c r="F7" t="inlineStr">
        <is>
          <t>Cargo</t>
        </is>
      </c>
      <c r="I7">
        <f>_xlfn.NUMBERVALUE(A7)</f>
        <v/>
      </c>
    </row>
    <row r="8">
      <c r="A8" s="2" t="n">
        <v>4978550</v>
      </c>
      <c r="C8" t="n">
        <v>44</v>
      </c>
      <c r="D8" t="inlineStr">
        <is>
          <t>PR-2203-087</t>
        </is>
      </c>
      <c r="E8" t="inlineStr">
        <is>
          <t>HVLE</t>
        </is>
      </c>
      <c r="F8" t="inlineStr">
        <is>
          <t>Cargo</t>
        </is>
      </c>
      <c r="I8">
        <f>_xlfn.NUMBERVALUE(A8)</f>
        <v/>
      </c>
    </row>
    <row r="9">
      <c r="A9" s="2" t="n">
        <v>4978696</v>
      </c>
      <c r="C9" t="n">
        <v>36</v>
      </c>
      <c r="D9" t="inlineStr">
        <is>
          <t>PR-2203-057</t>
        </is>
      </c>
      <c r="E9" t="inlineStr">
        <is>
          <t>HVLE</t>
        </is>
      </c>
      <c r="F9" t="inlineStr">
        <is>
          <t>Cargo</t>
        </is>
      </c>
      <c r="I9">
        <f>_xlfn.NUMBERVALUE(A9)</f>
        <v/>
      </c>
    </row>
    <row r="10">
      <c r="A10" s="2" t="n">
        <v>4978680</v>
      </c>
      <c r="C10" t="n">
        <v>14</v>
      </c>
      <c r="D10" t="inlineStr">
        <is>
          <t>PR-2203-084</t>
        </is>
      </c>
      <c r="E10" t="inlineStr">
        <is>
          <t>HVLE</t>
        </is>
      </c>
      <c r="F10" t="inlineStr">
        <is>
          <t>Cargo</t>
        </is>
      </c>
      <c r="I10">
        <f>_xlfn.NUMBERVALUE(A10)</f>
        <v/>
      </c>
    </row>
    <row r="11">
      <c r="A11" s="2" t="n">
        <v>4978756</v>
      </c>
      <c r="C11" t="n">
        <v>4</v>
      </c>
      <c r="D11" t="inlineStr">
        <is>
          <t>PR-2203-095</t>
        </is>
      </c>
      <c r="E11" t="inlineStr">
        <is>
          <t>HVLE</t>
        </is>
      </c>
      <c r="F11" t="inlineStr">
        <is>
          <t>Cargo</t>
        </is>
      </c>
      <c r="I11">
        <f>_xlfn.NUMBERVALUE(A11)</f>
        <v/>
      </c>
    </row>
    <row r="12">
      <c r="A12" s="2" t="n">
        <v>4978683</v>
      </c>
      <c r="C12" t="n">
        <v>40</v>
      </c>
      <c r="D12" t="inlineStr">
        <is>
          <t>PR-2203-046</t>
        </is>
      </c>
      <c r="E12" t="inlineStr">
        <is>
          <t>HVLE</t>
        </is>
      </c>
      <c r="F12" t="inlineStr">
        <is>
          <t>Cargo</t>
        </is>
      </c>
      <c r="I12">
        <f>_xlfn.NUMBERVALUE(A12)</f>
        <v/>
      </c>
    </row>
    <row r="13">
      <c r="A13" s="2" t="n">
        <v>4978557</v>
      </c>
      <c r="C13" t="n">
        <v>6</v>
      </c>
      <c r="D13" t="inlineStr">
        <is>
          <t>PR-2203-039</t>
        </is>
      </c>
      <c r="E13" t="inlineStr">
        <is>
          <t>HVLE</t>
        </is>
      </c>
      <c r="F13" t="inlineStr">
        <is>
          <t>Cargo</t>
        </is>
      </c>
      <c r="I13">
        <f>_xlfn.NUMBERVALUE(A13)</f>
        <v/>
      </c>
    </row>
    <row r="14">
      <c r="A14" s="2" t="n">
        <v>4978775</v>
      </c>
      <c r="C14" t="n">
        <v>8</v>
      </c>
      <c r="D14" t="inlineStr">
        <is>
          <t>PR-2203-054</t>
        </is>
      </c>
      <c r="E14" t="inlineStr">
        <is>
          <t>HVLE</t>
        </is>
      </c>
      <c r="F14" t="inlineStr">
        <is>
          <t>Cargo</t>
        </is>
      </c>
      <c r="I14">
        <f>_xlfn.NUMBERVALUE(A14)</f>
        <v/>
      </c>
    </row>
    <row r="15">
      <c r="A15" s="2" t="n">
        <v>4978768</v>
      </c>
      <c r="C15" t="n">
        <v>10</v>
      </c>
      <c r="D15" t="inlineStr">
        <is>
          <t>PR-2203-075</t>
        </is>
      </c>
      <c r="E15" t="inlineStr">
        <is>
          <t>HVLE</t>
        </is>
      </c>
      <c r="F15" t="inlineStr">
        <is>
          <t>Cargo</t>
        </is>
      </c>
      <c r="I15">
        <f>_xlfn.NUMBERVALUE(A15)</f>
        <v/>
      </c>
    </row>
    <row r="16">
      <c r="A16" s="2" t="n">
        <v>4978682</v>
      </c>
      <c r="C16" t="n">
        <v>16</v>
      </c>
      <c r="D16" t="inlineStr">
        <is>
          <t>PR-2203-110</t>
        </is>
      </c>
      <c r="E16" t="inlineStr">
        <is>
          <t>HVLE</t>
        </is>
      </c>
      <c r="F16" t="inlineStr">
        <is>
          <t>Cargo</t>
        </is>
      </c>
      <c r="I16">
        <f>_xlfn.NUMBERVALUE(A16)</f>
        <v/>
      </c>
    </row>
    <row r="17">
      <c r="A17" s="2" t="n">
        <v>4978833</v>
      </c>
      <c r="C17" t="n">
        <v>32</v>
      </c>
      <c r="D17" t="inlineStr">
        <is>
          <t>PR-2203-056</t>
        </is>
      </c>
      <c r="E17" t="inlineStr">
        <is>
          <t>HVLE</t>
        </is>
      </c>
      <c r="F17" t="inlineStr">
        <is>
          <t>Cargo</t>
        </is>
      </c>
      <c r="I17">
        <f>_xlfn.NUMBERVALUE(A17)</f>
        <v/>
      </c>
    </row>
    <row r="18">
      <c r="A18" s="2" t="n">
        <v>4978831</v>
      </c>
      <c r="C18" t="n">
        <v>64</v>
      </c>
      <c r="D18" t="inlineStr">
        <is>
          <t>PR-2203-020</t>
        </is>
      </c>
      <c r="E18" t="inlineStr">
        <is>
          <t>HVLE</t>
        </is>
      </c>
      <c r="F18" t="inlineStr">
        <is>
          <t>Cargo</t>
        </is>
      </c>
      <c r="I18">
        <f>_xlfn.NUMBERVALUE(A18)</f>
        <v/>
      </c>
    </row>
    <row r="19">
      <c r="A19" s="2" t="n">
        <v>4978776</v>
      </c>
      <c r="C19" t="n">
        <v>56</v>
      </c>
      <c r="D19" t="inlineStr">
        <is>
          <t>PR-2203-009</t>
        </is>
      </c>
      <c r="E19" t="inlineStr">
        <is>
          <t>HVLE</t>
        </is>
      </c>
      <c r="F19" t="inlineStr">
        <is>
          <t>Cargo</t>
        </is>
      </c>
      <c r="I19">
        <f>_xlfn.NUMBERVALUE(A19)</f>
        <v/>
      </c>
    </row>
    <row r="20">
      <c r="A20" s="2" t="n">
        <v>4978728</v>
      </c>
      <c r="C20" t="n">
        <v>34</v>
      </c>
      <c r="D20" t="inlineStr">
        <is>
          <t>PR-2203-003</t>
        </is>
      </c>
      <c r="E20" t="inlineStr">
        <is>
          <t>HVLE</t>
        </is>
      </c>
      <c r="F20" t="inlineStr">
        <is>
          <t>Cargo</t>
        </is>
      </c>
      <c r="I20">
        <f>_xlfn.NUMBERVALUE(A20)</f>
        <v/>
      </c>
    </row>
    <row r="21">
      <c r="A21" s="2" t="n">
        <v>4978748</v>
      </c>
      <c r="C21" t="n">
        <v>30</v>
      </c>
      <c r="D21" t="inlineStr">
        <is>
          <t>PR-2203-085</t>
        </is>
      </c>
      <c r="E21" t="inlineStr">
        <is>
          <t>HVLE</t>
        </is>
      </c>
      <c r="F21" t="inlineStr">
        <is>
          <t>Cargo</t>
        </is>
      </c>
      <c r="I21">
        <f>_xlfn.NUMBERVALUE(A21)</f>
        <v/>
      </c>
    </row>
    <row r="22">
      <c r="A22" s="2" t="n">
        <v>4978623</v>
      </c>
      <c r="C22" t="inlineStr">
        <is>
          <t>HA-2203-020</t>
        </is>
      </c>
      <c r="D22" t="inlineStr">
        <is>
          <t>PR-2203-060</t>
        </is>
      </c>
      <c r="E22" t="inlineStr">
        <is>
          <t>PACIFIC</t>
        </is>
      </c>
      <c r="F22" t="inlineStr">
        <is>
          <t>Cargo</t>
        </is>
      </c>
      <c r="I22">
        <f>_xlfn.NUMBERVALUE(A22)</f>
        <v/>
      </c>
    </row>
    <row r="23">
      <c r="A23" s="2" t="n">
        <v>4978824</v>
      </c>
      <c r="C23" t="n">
        <v>50</v>
      </c>
      <c r="D23" t="inlineStr">
        <is>
          <t>PR-2203-412</t>
        </is>
      </c>
      <c r="E23" t="inlineStr">
        <is>
          <t>HVLE</t>
        </is>
      </c>
      <c r="F23" t="inlineStr">
        <is>
          <t>Cargo</t>
        </is>
      </c>
      <c r="I23">
        <f>_xlfn.NUMBERVALUE(A23)</f>
        <v/>
      </c>
    </row>
    <row r="24">
      <c r="A24" s="2" t="n">
        <v>4978724</v>
      </c>
      <c r="C24" t="n">
        <v>28</v>
      </c>
      <c r="D24" t="inlineStr">
        <is>
          <t>PR-2203-043</t>
        </is>
      </c>
      <c r="E24" t="inlineStr">
        <is>
          <t>HVLE</t>
        </is>
      </c>
      <c r="F24" t="inlineStr">
        <is>
          <t>Cargo</t>
        </is>
      </c>
      <c r="I24">
        <f>_xlfn.NUMBERVALUE(A24)</f>
        <v/>
      </c>
    </row>
    <row r="25">
      <c r="A25" s="2" t="n">
        <v>4978620</v>
      </c>
      <c r="C25" t="n">
        <v>46</v>
      </c>
      <c r="D25" t="inlineStr">
        <is>
          <t>PR-2203-101</t>
        </is>
      </c>
      <c r="E25" t="inlineStr">
        <is>
          <t>HVLE</t>
        </is>
      </c>
      <c r="F25" t="inlineStr">
        <is>
          <t>Cargo</t>
        </is>
      </c>
      <c r="I25">
        <f>_xlfn.NUMBERVALUE(A25)</f>
        <v/>
      </c>
    </row>
    <row r="26">
      <c r="A26" s="2" t="n">
        <v>4978685</v>
      </c>
      <c r="C26" t="n">
        <v>52</v>
      </c>
      <c r="D26" t="inlineStr">
        <is>
          <t>PR-2203-091</t>
        </is>
      </c>
      <c r="E26" t="inlineStr">
        <is>
          <t>HVLE</t>
        </is>
      </c>
      <c r="F26" t="inlineStr">
        <is>
          <t>Cargo</t>
        </is>
      </c>
      <c r="I26">
        <f>_xlfn.NUMBERVALUE(A26)</f>
        <v/>
      </c>
    </row>
    <row r="27">
      <c r="A27" s="2" t="n">
        <v>4978715</v>
      </c>
      <c r="C27" t="n">
        <v>60</v>
      </c>
      <c r="D27" t="inlineStr">
        <is>
          <t>PR-2203-111</t>
        </is>
      </c>
      <c r="E27" t="inlineStr">
        <is>
          <t>HVLE</t>
        </is>
      </c>
      <c r="F27" t="inlineStr">
        <is>
          <t>Cargo</t>
        </is>
      </c>
      <c r="I27">
        <f>_xlfn.NUMBERVALUE(A27)</f>
        <v/>
      </c>
    </row>
    <row r="28">
      <c r="A28" s="2" t="n">
        <v>4978751</v>
      </c>
      <c r="C28" t="n">
        <v>48</v>
      </c>
      <c r="D28" t="inlineStr">
        <is>
          <t>PR-2203-015</t>
        </is>
      </c>
      <c r="E28" t="inlineStr">
        <is>
          <t>HVLE</t>
        </is>
      </c>
      <c r="F28" t="inlineStr">
        <is>
          <t>Cargo</t>
        </is>
      </c>
      <c r="I28">
        <f>_xlfn.NUMBERVALUE(A28)</f>
        <v/>
      </c>
    </row>
    <row r="29">
      <c r="A29" s="2" t="n">
        <v>4978693</v>
      </c>
      <c r="C29" t="n">
        <v>54</v>
      </c>
      <c r="D29" t="inlineStr">
        <is>
          <t>shit-1</t>
        </is>
      </c>
      <c r="F29" t="inlineStr">
        <is>
          <t>Cargo</t>
        </is>
      </c>
      <c r="I29">
        <f>_xlfn.NUMBERVALUE(A29)</f>
        <v/>
      </c>
    </row>
    <row r="30">
      <c r="A30" s="2" t="n">
        <v>4978528</v>
      </c>
      <c r="C30" t="n">
        <v>62</v>
      </c>
      <c r="D30" t="inlineStr">
        <is>
          <t>PR-2203-105</t>
        </is>
      </c>
      <c r="E30" t="inlineStr">
        <is>
          <t>HVLE</t>
        </is>
      </c>
      <c r="F30" t="inlineStr">
        <is>
          <t>Cargo</t>
        </is>
      </c>
      <c r="I30">
        <f>_xlfn.NUMBERVALUE(A30)</f>
        <v/>
      </c>
    </row>
    <row r="31">
      <c r="A31" s="2" t="n">
        <v>4978530</v>
      </c>
      <c r="C31" t="n">
        <v>84</v>
      </c>
      <c r="D31" t="inlineStr">
        <is>
          <t>PR-2203-073</t>
        </is>
      </c>
      <c r="E31" t="inlineStr">
        <is>
          <t>HVLE</t>
        </is>
      </c>
      <c r="F31" t="inlineStr">
        <is>
          <t>Cargo</t>
        </is>
      </c>
      <c r="I31">
        <f>_xlfn.NUMBERVALUE(A31)</f>
        <v/>
      </c>
    </row>
    <row r="32">
      <c r="A32" s="2" t="n">
        <v>4978698</v>
      </c>
      <c r="C32" t="n">
        <v>82</v>
      </c>
      <c r="D32" t="inlineStr">
        <is>
          <t>PR-2203-048</t>
        </is>
      </c>
      <c r="E32" t="inlineStr">
        <is>
          <t>HVLE</t>
        </is>
      </c>
      <c r="F32" t="inlineStr">
        <is>
          <t>Cargo</t>
        </is>
      </c>
      <c r="I32">
        <f>_xlfn.NUMBERVALUE(A32)</f>
        <v/>
      </c>
    </row>
    <row r="33">
      <c r="A33" s="2" t="n">
        <v>4978700</v>
      </c>
      <c r="C33" t="n">
        <v>114</v>
      </c>
      <c r="D33" t="inlineStr">
        <is>
          <t>PR-2203-052</t>
        </is>
      </c>
      <c r="E33" t="inlineStr">
        <is>
          <t>HVLE</t>
        </is>
      </c>
      <c r="F33" t="inlineStr">
        <is>
          <t>Cargo</t>
        </is>
      </c>
      <c r="I33">
        <f>_xlfn.NUMBERVALUE(A33)</f>
        <v/>
      </c>
    </row>
    <row r="34">
      <c r="A34" s="2" t="n">
        <v>4978644</v>
      </c>
      <c r="C34" t="n">
        <v>78</v>
      </c>
      <c r="D34" t="inlineStr">
        <is>
          <t>PR-2203-100</t>
        </is>
      </c>
      <c r="E34" t="inlineStr">
        <is>
          <t>HVLE</t>
        </is>
      </c>
      <c r="F34" t="inlineStr">
        <is>
          <t>Cargo</t>
        </is>
      </c>
      <c r="I34">
        <f>_xlfn.NUMBERVALUE(A34)</f>
        <v/>
      </c>
    </row>
    <row r="35">
      <c r="A35" s="2" t="n">
        <v>4978515</v>
      </c>
      <c r="C35" t="n">
        <v>96</v>
      </c>
      <c r="D35" t="inlineStr">
        <is>
          <t>shit-2</t>
        </is>
      </c>
      <c r="F35" t="inlineStr">
        <is>
          <t>Cargo</t>
        </is>
      </c>
      <c r="I35">
        <f>_xlfn.NUMBERVALUE(A35)</f>
        <v/>
      </c>
    </row>
    <row r="36">
      <c r="A36" s="2" t="n">
        <v>4978638</v>
      </c>
      <c r="C36" t="n">
        <v>118</v>
      </c>
      <c r="D36" t="inlineStr">
        <is>
          <t>PR-2203-077</t>
        </is>
      </c>
      <c r="E36" t="inlineStr">
        <is>
          <t>HVLE</t>
        </is>
      </c>
      <c r="F36" t="inlineStr">
        <is>
          <t>Cargo</t>
        </is>
      </c>
      <c r="I36">
        <f>_xlfn.NUMBERVALUE(A36)</f>
        <v/>
      </c>
    </row>
    <row r="37">
      <c r="A37" s="2" t="n">
        <v>4978618</v>
      </c>
      <c r="C37" t="n">
        <v>122</v>
      </c>
      <c r="D37" t="inlineStr">
        <is>
          <t>PR-2203-072</t>
        </is>
      </c>
      <c r="E37" t="inlineStr">
        <is>
          <t>HVLE</t>
        </is>
      </c>
      <c r="F37" t="inlineStr">
        <is>
          <t>Cargo</t>
        </is>
      </c>
      <c r="I37">
        <f>_xlfn.NUMBERVALUE(A37)</f>
        <v/>
      </c>
    </row>
    <row r="38">
      <c r="A38" s="2" t="n">
        <v>4978625</v>
      </c>
      <c r="C38" t="n">
        <v>68</v>
      </c>
      <c r="D38" t="inlineStr">
        <is>
          <t>PR-2203-034</t>
        </is>
      </c>
      <c r="E38" t="inlineStr">
        <is>
          <t>HVLE</t>
        </is>
      </c>
      <c r="F38" t="inlineStr">
        <is>
          <t>Cargo</t>
        </is>
      </c>
      <c r="I38">
        <f>_xlfn.NUMBERVALUE(A38)</f>
        <v/>
      </c>
    </row>
    <row r="39">
      <c r="A39" s="2" t="n">
        <v>4978627</v>
      </c>
      <c r="C39" t="inlineStr">
        <is>
          <t>HA-2203-422</t>
        </is>
      </c>
      <c r="D39" t="inlineStr">
        <is>
          <t>PR-2203-140</t>
        </is>
      </c>
      <c r="E39" t="inlineStr">
        <is>
          <t>GFR</t>
        </is>
      </c>
      <c r="F39" t="inlineStr">
        <is>
          <t>Cargo</t>
        </is>
      </c>
      <c r="I39">
        <f>_xlfn.NUMBERVALUE(A39)</f>
        <v/>
      </c>
    </row>
    <row r="40">
      <c r="A40" s="2" t="n">
        <v>4978513</v>
      </c>
      <c r="C40" t="n">
        <v>100</v>
      </c>
      <c r="D40" t="inlineStr">
        <is>
          <t>PR-2203-050</t>
        </is>
      </c>
      <c r="E40" t="inlineStr">
        <is>
          <t>HVLE</t>
        </is>
      </c>
      <c r="F40" t="inlineStr">
        <is>
          <t>Cargo</t>
        </is>
      </c>
      <c r="I40">
        <f>_xlfn.NUMBERVALUE(A40)</f>
        <v/>
      </c>
    </row>
    <row r="41">
      <c r="A41" s="2" t="n">
        <v>4978681</v>
      </c>
      <c r="C41" t="n">
        <v>116</v>
      </c>
      <c r="D41" t="inlineStr">
        <is>
          <t>PR-2203-088</t>
        </is>
      </c>
      <c r="E41" t="inlineStr">
        <is>
          <t>HVLE</t>
        </is>
      </c>
      <c r="F41" t="inlineStr">
        <is>
          <t>Cargo</t>
        </is>
      </c>
      <c r="I41">
        <f>_xlfn.NUMBERVALUE(A41)</f>
        <v/>
      </c>
    </row>
    <row r="42">
      <c r="A42" s="2" t="n">
        <v>4978704</v>
      </c>
      <c r="C42" t="n">
        <v>106</v>
      </c>
      <c r="D42" t="inlineStr">
        <is>
          <t>PR-2203-078</t>
        </is>
      </c>
      <c r="E42" t="inlineStr">
        <is>
          <t>HVLE</t>
        </is>
      </c>
      <c r="F42" t="inlineStr">
        <is>
          <t>Cargo</t>
        </is>
      </c>
      <c r="I42">
        <f>_xlfn.NUMBERVALUE(A42)</f>
        <v/>
      </c>
    </row>
    <row r="43">
      <c r="A43" s="2" t="n">
        <v>4978563</v>
      </c>
      <c r="C43" t="n">
        <v>112</v>
      </c>
      <c r="D43" t="inlineStr">
        <is>
          <t>PR-2203-005</t>
        </is>
      </c>
      <c r="E43" t="inlineStr">
        <is>
          <t>HVLE</t>
        </is>
      </c>
      <c r="F43" t="inlineStr">
        <is>
          <t>Cargo</t>
        </is>
      </c>
      <c r="I43">
        <f>_xlfn.NUMBERVALUE(A43)</f>
        <v/>
      </c>
    </row>
    <row r="44">
      <c r="A44" s="2" t="n">
        <v>4978553</v>
      </c>
      <c r="C44" t="n">
        <v>110</v>
      </c>
      <c r="D44" t="inlineStr">
        <is>
          <t>PR-2203-017</t>
        </is>
      </c>
      <c r="E44" t="inlineStr">
        <is>
          <t>HVLE</t>
        </is>
      </c>
      <c r="F44" t="inlineStr">
        <is>
          <t>Cargo</t>
        </is>
      </c>
      <c r="I44">
        <f>_xlfn.NUMBERVALUE(A44)</f>
        <v/>
      </c>
    </row>
    <row r="45">
      <c r="A45" s="2" t="n">
        <v>4978554</v>
      </c>
      <c r="C45" t="n">
        <v>72</v>
      </c>
      <c r="D45" t="inlineStr">
        <is>
          <t>PR-2203-074</t>
        </is>
      </c>
      <c r="E45" t="inlineStr">
        <is>
          <t>HVLE</t>
        </is>
      </c>
      <c r="F45" t="inlineStr">
        <is>
          <t>Cargo</t>
        </is>
      </c>
      <c r="I45">
        <f>_xlfn.NUMBERVALUE(A45)</f>
        <v/>
      </c>
    </row>
    <row r="46">
      <c r="A46" s="2" t="n">
        <v>4978640</v>
      </c>
      <c r="C46" t="n">
        <v>94</v>
      </c>
      <c r="D46" t="inlineStr">
        <is>
          <t>PR-2203-035</t>
        </is>
      </c>
      <c r="E46" t="inlineStr">
        <is>
          <t>HVLE</t>
        </is>
      </c>
      <c r="F46" t="inlineStr">
        <is>
          <t>Cargo</t>
        </is>
      </c>
      <c r="I46">
        <f>_xlfn.NUMBERVALUE(A46)</f>
        <v/>
      </c>
    </row>
    <row r="47">
      <c r="A47" s="2" t="n">
        <v>4978449</v>
      </c>
      <c r="C47" t="n">
        <v>70</v>
      </c>
      <c r="D47" t="inlineStr">
        <is>
          <t>PR-2203-094</t>
        </is>
      </c>
      <c r="E47" s="20" t="inlineStr">
        <is>
          <t>SGL</t>
        </is>
      </c>
      <c r="F47" t="inlineStr">
        <is>
          <t>Link</t>
        </is>
      </c>
      <c r="I47">
        <f>_xlfn.NUMBERVALUE(A47)</f>
        <v/>
      </c>
    </row>
    <row r="48">
      <c r="A48" s="2" t="n">
        <v>4978436</v>
      </c>
      <c r="C48" t="n">
        <v>90</v>
      </c>
      <c r="D48" t="inlineStr">
        <is>
          <t>PR-2203-045</t>
        </is>
      </c>
      <c r="E48" s="20" t="inlineStr">
        <is>
          <t>SGL</t>
        </is>
      </c>
      <c r="F48" t="inlineStr">
        <is>
          <t>Link</t>
        </is>
      </c>
      <c r="I48">
        <f>_xlfn.NUMBERVALUE(A48)</f>
        <v/>
      </c>
    </row>
    <row r="49">
      <c r="A49" s="2" t="n">
        <v>4978445</v>
      </c>
      <c r="C49" t="n">
        <v>76</v>
      </c>
      <c r="D49" t="inlineStr">
        <is>
          <t>PR-2203-049</t>
        </is>
      </c>
      <c r="E49" s="20" t="inlineStr">
        <is>
          <t>SGL</t>
        </is>
      </c>
      <c r="F49" t="inlineStr">
        <is>
          <t>Link</t>
        </is>
      </c>
      <c r="I49">
        <f>_xlfn.NUMBERVALUE(A49)</f>
        <v/>
      </c>
    </row>
    <row r="50">
      <c r="A50" s="2" t="n">
        <v>4978443</v>
      </c>
      <c r="C50" t="n">
        <v>92</v>
      </c>
      <c r="D50" t="inlineStr">
        <is>
          <t>PR-2203-041</t>
        </is>
      </c>
      <c r="E50" s="20" t="inlineStr">
        <is>
          <t>SGL</t>
        </is>
      </c>
      <c r="F50" t="inlineStr">
        <is>
          <t>Link</t>
        </is>
      </c>
      <c r="I50">
        <f>_xlfn.NUMBERVALUE(A50)</f>
        <v/>
      </c>
    </row>
    <row r="51">
      <c r="A51" s="2" t="n">
        <v>4978707</v>
      </c>
      <c r="C51" t="n">
        <v>88</v>
      </c>
      <c r="D51" t="inlineStr">
        <is>
          <t>PR-2203-079</t>
        </is>
      </c>
      <c r="E51" t="inlineStr">
        <is>
          <t>HVLE</t>
        </is>
      </c>
      <c r="F51" t="inlineStr">
        <is>
          <t>Cargo</t>
        </is>
      </c>
      <c r="I51">
        <f>_xlfn.NUMBERVALUE(A51)</f>
        <v/>
      </c>
    </row>
    <row r="52">
      <c r="A52" s="2" t="n">
        <v>4978624</v>
      </c>
      <c r="C52" t="n">
        <v>108</v>
      </c>
      <c r="D52" t="inlineStr">
        <is>
          <t>PR-2203-031</t>
        </is>
      </c>
      <c r="E52" t="inlineStr">
        <is>
          <t>HVLE</t>
        </is>
      </c>
      <c r="F52" t="inlineStr">
        <is>
          <t>Cargo</t>
        </is>
      </c>
      <c r="I52">
        <f>_xlfn.NUMBERVALUE(A52)</f>
        <v/>
      </c>
    </row>
    <row r="53">
      <c r="A53" s="2" t="n">
        <v>4978551</v>
      </c>
      <c r="C53" t="n">
        <v>102</v>
      </c>
      <c r="D53" t="inlineStr">
        <is>
          <t>PR-2203-002</t>
        </is>
      </c>
      <c r="E53" t="inlineStr">
        <is>
          <t>HVLE</t>
        </is>
      </c>
      <c r="F53" t="inlineStr">
        <is>
          <t>Cargo</t>
        </is>
      </c>
      <c r="I53">
        <f>_xlfn.NUMBERVALUE(A53)</f>
        <v/>
      </c>
    </row>
    <row r="54">
      <c r="A54" s="2" t="n">
        <v>4978883</v>
      </c>
      <c r="C54" t="n">
        <v>2</v>
      </c>
      <c r="D54" s="2" t="inlineStr">
        <is>
          <t>PR-2203-080</t>
        </is>
      </c>
      <c r="E54" t="inlineStr">
        <is>
          <t>HVLE</t>
        </is>
      </c>
      <c r="F54" t="inlineStr">
        <is>
          <t>Cargo</t>
        </is>
      </c>
      <c r="I54">
        <f>_xlfn.NUMBERVALUE(A54)</f>
        <v/>
      </c>
    </row>
    <row r="55">
      <c r="A55" s="2" t="n">
        <v>4978642</v>
      </c>
      <c r="C55" t="n">
        <v>98</v>
      </c>
      <c r="D55" t="inlineStr">
        <is>
          <t>PR-2203-103</t>
        </is>
      </c>
      <c r="E55" t="inlineStr">
        <is>
          <t>HVLE</t>
        </is>
      </c>
      <c r="F55" t="inlineStr">
        <is>
          <t>Cargo</t>
        </is>
      </c>
      <c r="I55">
        <f>_xlfn.NUMBERVALUE(A55)</f>
        <v/>
      </c>
    </row>
    <row r="56">
      <c r="A56" s="2" t="n">
        <v>4978703</v>
      </c>
      <c r="C56" t="n">
        <v>126</v>
      </c>
      <c r="D56" t="inlineStr">
        <is>
          <t>PR-2203-010</t>
        </is>
      </c>
      <c r="E56" t="inlineStr">
        <is>
          <t>HVLE</t>
        </is>
      </c>
      <c r="F56" t="inlineStr">
        <is>
          <t>Cargo</t>
        </is>
      </c>
      <c r="I56">
        <f>_xlfn.NUMBERVALUE(A56)</f>
        <v/>
      </c>
    </row>
    <row r="57">
      <c r="A57" s="2" t="n">
        <v>4978548</v>
      </c>
      <c r="C57" t="n">
        <v>124</v>
      </c>
      <c r="D57" t="inlineStr">
        <is>
          <t>PR-2203-070</t>
        </is>
      </c>
      <c r="E57" t="inlineStr">
        <is>
          <t>HVLE</t>
        </is>
      </c>
      <c r="F57" t="inlineStr">
        <is>
          <t>Cargo</t>
        </is>
      </c>
      <c r="I57">
        <f>_xlfn.NUMBERVALUE(A57)</f>
        <v/>
      </c>
    </row>
    <row r="58">
      <c r="A58" s="2" t="n">
        <v>4978560</v>
      </c>
      <c r="C58" t="n">
        <v>15</v>
      </c>
      <c r="D58" t="inlineStr">
        <is>
          <t>PR-2203-044</t>
        </is>
      </c>
      <c r="E58" t="inlineStr">
        <is>
          <t>HVLE</t>
        </is>
      </c>
      <c r="F58" t="inlineStr">
        <is>
          <t>Cargo</t>
        </is>
      </c>
      <c r="I58">
        <f>_xlfn.NUMBERVALUE(A58)</f>
        <v/>
      </c>
    </row>
    <row r="59">
      <c r="A59" s="2" t="n">
        <v>4978757</v>
      </c>
      <c r="C59" t="n">
        <v>9</v>
      </c>
      <c r="D59" t="inlineStr">
        <is>
          <t>PR-2203-096</t>
        </is>
      </c>
      <c r="E59" t="inlineStr">
        <is>
          <t>HVLE</t>
        </is>
      </c>
      <c r="F59" t="inlineStr">
        <is>
          <t>Cargo</t>
        </is>
      </c>
      <c r="I59">
        <f>_xlfn.NUMBERVALUE(A59)</f>
        <v/>
      </c>
    </row>
    <row r="60">
      <c r="A60" s="2" t="n">
        <v>4978678</v>
      </c>
      <c r="C60" t="n">
        <v>3</v>
      </c>
      <c r="D60" t="inlineStr">
        <is>
          <t>PR-2203-051</t>
        </is>
      </c>
      <c r="E60" t="inlineStr">
        <is>
          <t>HVLE</t>
        </is>
      </c>
      <c r="F60" t="inlineStr">
        <is>
          <t>Cargo</t>
        </is>
      </c>
      <c r="I60">
        <f>_xlfn.NUMBERVALUE(A60)</f>
        <v/>
      </c>
    </row>
    <row r="61">
      <c r="A61" s="2" t="n">
        <v>4978643</v>
      </c>
      <c r="C61" t="n">
        <v>27</v>
      </c>
      <c r="D61" t="inlineStr">
        <is>
          <t>PR-2203-090</t>
        </is>
      </c>
      <c r="E61" t="inlineStr">
        <is>
          <t>HVLE</t>
        </is>
      </c>
      <c r="F61" t="inlineStr">
        <is>
          <t>Cargo</t>
        </is>
      </c>
      <c r="I61">
        <f>_xlfn.NUMBERVALUE(A61)</f>
        <v/>
      </c>
    </row>
    <row r="62">
      <c r="A62" s="2" t="n">
        <v>4978564</v>
      </c>
      <c r="C62" t="n">
        <v>11</v>
      </c>
      <c r="D62" t="inlineStr">
        <is>
          <t>PR-2203-086</t>
        </is>
      </c>
      <c r="E62" t="inlineStr">
        <is>
          <t>HVLE</t>
        </is>
      </c>
      <c r="F62" t="inlineStr">
        <is>
          <t>Cargo</t>
        </is>
      </c>
      <c r="I62">
        <f>_xlfn.NUMBERVALUE(A62)</f>
        <v/>
      </c>
    </row>
    <row r="63">
      <c r="A63" s="2" t="n">
        <v>4978514</v>
      </c>
      <c r="C63" t="n">
        <v>5</v>
      </c>
      <c r="D63" t="inlineStr">
        <is>
          <t>PR-2203-069</t>
        </is>
      </c>
      <c r="E63" t="inlineStr">
        <is>
          <t>HVLE</t>
        </is>
      </c>
      <c r="F63" t="inlineStr">
        <is>
          <t>Cargo</t>
        </is>
      </c>
      <c r="I63">
        <f>_xlfn.NUMBERVALUE(A63)</f>
        <v/>
      </c>
    </row>
    <row r="64">
      <c r="A64" s="2" t="n">
        <v>4978900</v>
      </c>
      <c r="C64" t="n">
        <v>33</v>
      </c>
      <c r="D64" t="inlineStr">
        <is>
          <t>PR-2203-083</t>
        </is>
      </c>
      <c r="E64" t="inlineStr">
        <is>
          <t>HVLE</t>
        </is>
      </c>
      <c r="F64" t="inlineStr">
        <is>
          <t>Cargo</t>
        </is>
      </c>
      <c r="I64">
        <f>_xlfn.NUMBERVALUE(A64)</f>
        <v/>
      </c>
    </row>
    <row r="65">
      <c r="A65" s="2" t="n">
        <v>4978694</v>
      </c>
      <c r="C65" t="n">
        <v>41</v>
      </c>
      <c r="D65" t="inlineStr">
        <is>
          <t>PR-2203-102</t>
        </is>
      </c>
      <c r="E65" t="inlineStr">
        <is>
          <t>HVLE</t>
        </is>
      </c>
      <c r="F65" t="inlineStr">
        <is>
          <t>Cargo</t>
        </is>
      </c>
      <c r="I65">
        <f>_xlfn.NUMBERVALUE(A65)</f>
        <v/>
      </c>
    </row>
    <row r="66">
      <c r="A66" s="2" t="n">
        <v>4978532</v>
      </c>
      <c r="C66" t="n">
        <v>55</v>
      </c>
      <c r="D66" t="inlineStr">
        <is>
          <t>PR-2203-092</t>
        </is>
      </c>
      <c r="E66" t="inlineStr">
        <is>
          <t>HVLE</t>
        </is>
      </c>
      <c r="F66" t="inlineStr">
        <is>
          <t>Cargo</t>
        </is>
      </c>
      <c r="I66">
        <f>_xlfn.NUMBERVALUE(A66)</f>
        <v/>
      </c>
    </row>
    <row r="67">
      <c r="A67" s="2" t="n">
        <v>4978712</v>
      </c>
      <c r="C67" t="n">
        <v>53</v>
      </c>
      <c r="D67" t="inlineStr">
        <is>
          <t>PR-2203-016</t>
        </is>
      </c>
      <c r="E67" t="inlineStr">
        <is>
          <t>HVLE</t>
        </is>
      </c>
      <c r="F67" t="inlineStr">
        <is>
          <t>Cargo</t>
        </is>
      </c>
      <c r="I67">
        <f>_xlfn.NUMBERVALUE(A67)</f>
        <v/>
      </c>
    </row>
    <row r="68">
      <c r="A68" s="2" t="n">
        <v>4978699</v>
      </c>
      <c r="C68" t="n">
        <v>59</v>
      </c>
      <c r="D68" t="inlineStr">
        <is>
          <t>PR-2203-014</t>
        </is>
      </c>
      <c r="E68" t="inlineStr">
        <is>
          <t>HVLE</t>
        </is>
      </c>
      <c r="F68" t="inlineStr">
        <is>
          <t>Cargo</t>
        </is>
      </c>
      <c r="I68">
        <f>_xlfn.NUMBERVALUE(A68)</f>
        <v/>
      </c>
    </row>
    <row r="69">
      <c r="A69" s="2" t="n">
        <v>4978899</v>
      </c>
      <c r="C69" t="n">
        <v>19</v>
      </c>
      <c r="D69" t="inlineStr">
        <is>
          <t>PR-2203-082</t>
        </is>
      </c>
      <c r="E69" t="inlineStr">
        <is>
          <t>HVLE</t>
        </is>
      </c>
      <c r="F69" t="inlineStr">
        <is>
          <t>Cargo</t>
        </is>
      </c>
      <c r="I69">
        <f>_xlfn.NUMBERVALUE(A69)</f>
        <v/>
      </c>
    </row>
    <row r="70">
      <c r="A70" s="2" t="n">
        <v>4978689</v>
      </c>
      <c r="C70" t="n">
        <v>39</v>
      </c>
      <c r="D70" t="inlineStr">
        <is>
          <t>PR-2203-098</t>
        </is>
      </c>
      <c r="E70" t="inlineStr">
        <is>
          <t>HVLE</t>
        </is>
      </c>
      <c r="F70" t="inlineStr">
        <is>
          <t>Cargo</t>
        </is>
      </c>
      <c r="I70">
        <f>_xlfn.NUMBERVALUE(A70)</f>
        <v/>
      </c>
    </row>
    <row r="71">
      <c r="A71" s="2" t="n">
        <v>4978888</v>
      </c>
      <c r="C71" t="n">
        <v>13</v>
      </c>
      <c r="D71" t="inlineStr">
        <is>
          <t>PR-2203-071</t>
        </is>
      </c>
      <c r="E71" t="inlineStr">
        <is>
          <t>HVLE</t>
        </is>
      </c>
      <c r="F71" t="inlineStr">
        <is>
          <t>Cargo</t>
        </is>
      </c>
      <c r="I71">
        <f>_xlfn.NUMBERVALUE(A71)</f>
        <v/>
      </c>
    </row>
    <row r="72">
      <c r="A72" s="2" t="n">
        <v>4978882</v>
      </c>
      <c r="C72" t="n">
        <v>1</v>
      </c>
      <c r="D72" t="inlineStr">
        <is>
          <t>PR-2203-007</t>
        </is>
      </c>
      <c r="E72" t="inlineStr">
        <is>
          <t>HVLE</t>
        </is>
      </c>
      <c r="F72" t="inlineStr">
        <is>
          <t>Cargo</t>
        </is>
      </c>
      <c r="I72">
        <f>_xlfn.NUMBERVALUE(A72)</f>
        <v/>
      </c>
    </row>
    <row r="73">
      <c r="A73" s="2" t="n">
        <v>4978709</v>
      </c>
      <c r="C73" t="n">
        <v>7</v>
      </c>
      <c r="D73" t="inlineStr">
        <is>
          <t>PR-2203-109</t>
        </is>
      </c>
      <c r="E73" t="inlineStr">
        <is>
          <t>HVLE</t>
        </is>
      </c>
      <c r="F73" t="inlineStr">
        <is>
          <t>Cargo</t>
        </is>
      </c>
      <c r="I73">
        <f>_xlfn.NUMBERVALUE(A73)</f>
        <v/>
      </c>
    </row>
    <row r="74">
      <c r="A74" s="2" t="n">
        <v>4978706</v>
      </c>
      <c r="C74" t="n">
        <v>29</v>
      </c>
      <c r="D74" t="inlineStr">
        <is>
          <t>PR-2203-097</t>
        </is>
      </c>
      <c r="E74" t="inlineStr">
        <is>
          <t>HVLE</t>
        </is>
      </c>
      <c r="F74" t="inlineStr">
        <is>
          <t>Cargo</t>
        </is>
      </c>
      <c r="I74">
        <f>_xlfn.NUMBERVALUE(A74)</f>
        <v/>
      </c>
    </row>
    <row r="75">
      <c r="A75" s="2" t="n">
        <v>4978891</v>
      </c>
      <c r="C75" t="n">
        <v>63</v>
      </c>
      <c r="D75" t="inlineStr">
        <is>
          <t>PR-2203-047</t>
        </is>
      </c>
      <c r="E75" t="inlineStr">
        <is>
          <t>HVLE</t>
        </is>
      </c>
      <c r="F75" t="inlineStr">
        <is>
          <t>Cargo</t>
        </is>
      </c>
      <c r="I75">
        <f>_xlfn.NUMBERVALUE(A75)</f>
        <v/>
      </c>
    </row>
    <row r="76">
      <c r="A76" s="2" t="n">
        <v>4978721</v>
      </c>
      <c r="C76" t="n">
        <v>61</v>
      </c>
      <c r="D76" t="inlineStr">
        <is>
          <t>PR-2203-011</t>
        </is>
      </c>
      <c r="E76" t="inlineStr">
        <is>
          <t>HVLE</t>
        </is>
      </c>
      <c r="F76" t="inlineStr">
        <is>
          <t>Cargo</t>
        </is>
      </c>
      <c r="I76">
        <f>_xlfn.NUMBERVALUE(A76)</f>
        <v/>
      </c>
    </row>
    <row r="77">
      <c r="A77" s="2" t="n">
        <v>4978691</v>
      </c>
      <c r="C77" t="n">
        <v>43</v>
      </c>
      <c r="D77" t="inlineStr">
        <is>
          <t>PR-2203-089</t>
        </is>
      </c>
      <c r="E77" t="inlineStr">
        <is>
          <t>HVLE</t>
        </is>
      </c>
      <c r="F77" t="inlineStr">
        <is>
          <t>Cargo</t>
        </is>
      </c>
      <c r="I77">
        <f>_xlfn.NUMBERVALUE(A77)</f>
        <v/>
      </c>
    </row>
    <row r="78">
      <c r="A78" s="2" t="n">
        <v>4978697</v>
      </c>
      <c r="C78" t="n">
        <v>57</v>
      </c>
      <c r="D78" t="inlineStr">
        <is>
          <t>PR-2203-006</t>
        </is>
      </c>
      <c r="E78" t="inlineStr">
        <is>
          <t>HVLE</t>
        </is>
      </c>
      <c r="F78" t="inlineStr">
        <is>
          <t>Cargo</t>
        </is>
      </c>
      <c r="I78">
        <f>_xlfn.NUMBERVALUE(A78)</f>
        <v/>
      </c>
    </row>
    <row r="79">
      <c r="A79" s="2" t="n">
        <v>4978879</v>
      </c>
      <c r="C79" t="n">
        <v>17</v>
      </c>
      <c r="D79" t="inlineStr">
        <is>
          <t>PR-2203-004</t>
        </is>
      </c>
      <c r="E79" t="inlineStr">
        <is>
          <t>HVLE</t>
        </is>
      </c>
      <c r="F79" t="inlineStr">
        <is>
          <t>Cargo</t>
        </is>
      </c>
      <c r="I79">
        <f>_xlfn.NUMBERVALUE(A79)</f>
        <v/>
      </c>
    </row>
    <row r="80">
      <c r="A80" s="2" t="n">
        <v>4978754</v>
      </c>
      <c r="C80" t="n">
        <v>21</v>
      </c>
      <c r="D80" t="inlineStr">
        <is>
          <t>PR-2203-053</t>
        </is>
      </c>
      <c r="E80" t="inlineStr">
        <is>
          <t>HVLE</t>
        </is>
      </c>
      <c r="F80" t="inlineStr">
        <is>
          <t>Cargo</t>
        </is>
      </c>
      <c r="I80">
        <f>_xlfn.NUMBERVALUE(A80)</f>
        <v/>
      </c>
    </row>
    <row r="81">
      <c r="A81" s="2" t="n">
        <v>4978687</v>
      </c>
      <c r="C81" t="n">
        <v>35</v>
      </c>
      <c r="D81" t="inlineStr">
        <is>
          <t>PR-2203-027</t>
        </is>
      </c>
      <c r="E81" t="inlineStr">
        <is>
          <t>HVLE</t>
        </is>
      </c>
      <c r="F81" t="inlineStr">
        <is>
          <t>Cargo</t>
        </is>
      </c>
      <c r="I81">
        <f>_xlfn.NUMBERVALUE(A81)</f>
        <v/>
      </c>
    </row>
    <row r="82">
      <c r="A82" s="2" t="n">
        <v>4978686</v>
      </c>
      <c r="C82" t="n">
        <v>67</v>
      </c>
      <c r="D82" t="inlineStr">
        <is>
          <t>PR-2203-055</t>
        </is>
      </c>
      <c r="E82" t="inlineStr">
        <is>
          <t>HVLE</t>
        </is>
      </c>
      <c r="F82" t="inlineStr">
        <is>
          <t>Cargo</t>
        </is>
      </c>
      <c r="I82">
        <f>_xlfn.NUMBERVALUE(A82)</f>
        <v/>
      </c>
    </row>
    <row r="83">
      <c r="A83" s="2" t="n">
        <v>4978556</v>
      </c>
      <c r="C83" t="n">
        <v>51</v>
      </c>
      <c r="D83" t="inlineStr">
        <is>
          <t>PR-2203-081</t>
        </is>
      </c>
      <c r="E83" t="inlineStr">
        <is>
          <t>HVLE</t>
        </is>
      </c>
      <c r="F83" t="inlineStr">
        <is>
          <t>Cargo</t>
        </is>
      </c>
      <c r="I83">
        <f>_xlfn.NUMBERVALUE(A83)</f>
        <v/>
      </c>
    </row>
    <row r="84">
      <c r="A84" s="2" t="n">
        <v>4978886</v>
      </c>
      <c r="C84" t="n">
        <v>37</v>
      </c>
      <c r="D84" t="inlineStr">
        <is>
          <t>PR-2203-028</t>
        </is>
      </c>
      <c r="E84" t="inlineStr">
        <is>
          <t>HVLE</t>
        </is>
      </c>
      <c r="F84" t="inlineStr">
        <is>
          <t>Cargo</t>
        </is>
      </c>
      <c r="I84">
        <f>_xlfn.NUMBERVALUE(A84)</f>
        <v/>
      </c>
    </row>
    <row r="85">
      <c r="A85" s="2" t="n">
        <v>4978719</v>
      </c>
      <c r="C85" t="n">
        <v>45</v>
      </c>
      <c r="D85" t="inlineStr">
        <is>
          <t>PR-2203-023</t>
        </is>
      </c>
      <c r="E85" t="inlineStr">
        <is>
          <t>HVLE</t>
        </is>
      </c>
      <c r="F85" t="inlineStr">
        <is>
          <t>Cargo</t>
        </is>
      </c>
      <c r="I85">
        <f>_xlfn.NUMBERVALUE(A85)</f>
        <v/>
      </c>
    </row>
    <row r="86">
      <c r="A86" s="2" t="n">
        <v>4978679</v>
      </c>
      <c r="C86" t="n">
        <v>47</v>
      </c>
      <c r="D86" t="inlineStr">
        <is>
          <t>PR-2203-040</t>
        </is>
      </c>
      <c r="E86" t="inlineStr">
        <is>
          <t>HVLE</t>
        </is>
      </c>
      <c r="F86" t="inlineStr">
        <is>
          <t>Cargo</t>
        </is>
      </c>
      <c r="I86">
        <f>_xlfn.NUMBERVALUE(A86)</f>
        <v/>
      </c>
    </row>
    <row r="87">
      <c r="A87" s="2" t="n">
        <v>4978549</v>
      </c>
      <c r="C87" t="n">
        <v>49</v>
      </c>
      <c r="D87" t="inlineStr">
        <is>
          <t>PR-2203-012</t>
        </is>
      </c>
      <c r="E87" t="inlineStr">
        <is>
          <t>HVLE</t>
        </is>
      </c>
      <c r="F87" t="inlineStr">
        <is>
          <t>Cargo</t>
        </is>
      </c>
      <c r="I87">
        <f>_xlfn.NUMBERVALUE(A87)</f>
        <v/>
      </c>
    </row>
    <row r="88">
      <c r="A88" s="2" t="n">
        <v>4978727</v>
      </c>
      <c r="C88" t="n">
        <v>69</v>
      </c>
      <c r="D88" t="inlineStr">
        <is>
          <t>PR-2203-013</t>
        </is>
      </c>
      <c r="E88" t="inlineStr">
        <is>
          <t>HVLE</t>
        </is>
      </c>
      <c r="F88" t="inlineStr">
        <is>
          <t>Cargo</t>
        </is>
      </c>
      <c r="I88">
        <f>_xlfn.NUMBERVALUE(A88)</f>
        <v/>
      </c>
    </row>
    <row r="89">
      <c r="A89" s="2" t="n">
        <v>4978753</v>
      </c>
      <c r="C89" t="n">
        <v>65</v>
      </c>
      <c r="D89" t="inlineStr">
        <is>
          <t>PR-2203-076</t>
        </is>
      </c>
      <c r="E89" t="inlineStr">
        <is>
          <t>HVLE</t>
        </is>
      </c>
      <c r="F89" t="inlineStr">
        <is>
          <t>Cargo</t>
        </is>
      </c>
      <c r="I89">
        <f>_xlfn.NUMBERVALUE(A89)</f>
        <v/>
      </c>
    </row>
    <row r="90">
      <c r="A90" s="2" t="n">
        <v>4978830</v>
      </c>
      <c r="C90" t="inlineStr">
        <is>
          <t>HA-2203-247</t>
        </is>
      </c>
      <c r="D90" t="inlineStr">
        <is>
          <t>PR-2203-008</t>
        </is>
      </c>
      <c r="E90" t="inlineStr">
        <is>
          <t>PACIFIC</t>
        </is>
      </c>
      <c r="F90" t="inlineStr">
        <is>
          <t>Cargo</t>
        </is>
      </c>
      <c r="I90">
        <f>_xlfn.NUMBERVALUE(A90)</f>
        <v/>
      </c>
    </row>
    <row r="91">
      <c r="A91" s="2" t="n">
        <v>4978671</v>
      </c>
      <c r="C91" t="inlineStr">
        <is>
          <t>HA-2203-239</t>
        </is>
      </c>
      <c r="D91" t="inlineStr">
        <is>
          <t>PR-2203-036</t>
        </is>
      </c>
      <c r="E91" t="inlineStr">
        <is>
          <t>PACIFIC</t>
        </is>
      </c>
      <c r="F91" t="inlineStr">
        <is>
          <t>Cargo</t>
        </is>
      </c>
      <c r="I91">
        <f>_xlfn.NUMBERVALUE(A91)</f>
        <v/>
      </c>
    </row>
    <row r="92">
      <c r="A92" s="2" t="n">
        <v>4978621</v>
      </c>
      <c r="C92" t="inlineStr">
        <is>
          <t>HA-2203-267</t>
        </is>
      </c>
      <c r="D92" t="inlineStr">
        <is>
          <t>PR-2203-026</t>
        </is>
      </c>
      <c r="E92" t="inlineStr">
        <is>
          <t>PACIFIC</t>
        </is>
      </c>
      <c r="F92" t="inlineStr">
        <is>
          <t>Cargo</t>
        </is>
      </c>
      <c r="I92">
        <f>_xlfn.NUMBERVALUE(A92)</f>
        <v/>
      </c>
    </row>
    <row r="93">
      <c r="A93" s="2" t="n">
        <v>4978631</v>
      </c>
      <c r="C93" t="inlineStr">
        <is>
          <t>HA-2203-243</t>
        </is>
      </c>
      <c r="D93" t="inlineStr">
        <is>
          <t>PR-2203-058</t>
        </is>
      </c>
      <c r="E93" t="inlineStr">
        <is>
          <t>PACIFIC</t>
        </is>
      </c>
      <c r="F93" t="inlineStr">
        <is>
          <t>Cargo</t>
        </is>
      </c>
      <c r="I93">
        <f>_xlfn.NUMBERVALUE(A93)</f>
        <v/>
      </c>
    </row>
    <row r="94">
      <c r="A94" s="2" t="n">
        <v>4978659</v>
      </c>
      <c r="C94" t="inlineStr">
        <is>
          <t>HA-2203-209</t>
        </is>
      </c>
      <c r="D94" t="inlineStr">
        <is>
          <t>PR-2203-055dup</t>
        </is>
      </c>
      <c r="E94" t="inlineStr">
        <is>
          <t>PACIFIC</t>
        </is>
      </c>
      <c r="F94" t="inlineStr">
        <is>
          <t>Cargo</t>
        </is>
      </c>
      <c r="I94">
        <f>_xlfn.NUMBERVALUE(A94)</f>
        <v/>
      </c>
    </row>
    <row r="95">
      <c r="A95" s="2" t="n">
        <v>4978729</v>
      </c>
      <c r="C95" t="inlineStr">
        <is>
          <t>HA-2203-245</t>
        </is>
      </c>
      <c r="D95" t="inlineStr">
        <is>
          <t>PR-2203-022</t>
        </is>
      </c>
      <c r="E95" t="inlineStr">
        <is>
          <t>PACIFIC</t>
        </is>
      </c>
      <c r="F95" t="inlineStr">
        <is>
          <t>Cargo</t>
        </is>
      </c>
      <c r="I95">
        <f>_xlfn.NUMBERVALUE(A95)</f>
        <v/>
      </c>
    </row>
    <row r="96">
      <c r="A96" s="2" t="n">
        <v>4978735</v>
      </c>
      <c r="C96" t="inlineStr">
        <is>
          <t>HA-2203-275</t>
        </is>
      </c>
      <c r="D96" t="inlineStr">
        <is>
          <t>PR-2203-099</t>
        </is>
      </c>
      <c r="E96" t="inlineStr">
        <is>
          <t>PACIFIC</t>
        </is>
      </c>
      <c r="F96" t="inlineStr">
        <is>
          <t>Cargo</t>
        </is>
      </c>
      <c r="I96">
        <f>_xlfn.NUMBERVALUE(A96)</f>
        <v/>
      </c>
    </row>
    <row r="97">
      <c r="A97" s="2" t="n">
        <v>4978835</v>
      </c>
      <c r="C97" t="inlineStr">
        <is>
          <t>HA-2203-271</t>
        </is>
      </c>
      <c r="D97" t="inlineStr">
        <is>
          <t>PR-2203-032</t>
        </is>
      </c>
      <c r="E97" t="inlineStr">
        <is>
          <t>PACIFIC</t>
        </is>
      </c>
      <c r="F97" t="inlineStr">
        <is>
          <t>Cargo</t>
        </is>
      </c>
      <c r="I97">
        <f>_xlfn.NUMBERVALUE(A97)</f>
        <v/>
      </c>
    </row>
    <row r="98">
      <c r="A98" s="2" t="n">
        <v>4978628</v>
      </c>
      <c r="C98" t="inlineStr">
        <is>
          <t>HA-2203-265</t>
        </is>
      </c>
      <c r="D98" t="inlineStr">
        <is>
          <t>PR-2203-038</t>
        </is>
      </c>
      <c r="E98" t="inlineStr">
        <is>
          <t>PACIFIC</t>
        </is>
      </c>
      <c r="F98" t="inlineStr">
        <is>
          <t>Cargo</t>
        </is>
      </c>
      <c r="I98">
        <f>_xlfn.NUMBERVALUE(A98)</f>
        <v/>
      </c>
    </row>
    <row r="99">
      <c r="A99" s="2" t="n">
        <v>4978534</v>
      </c>
      <c r="C99" t="inlineStr">
        <is>
          <t>HA-2203-269</t>
        </is>
      </c>
      <c r="D99" t="inlineStr">
        <is>
          <t>PR-2203-021</t>
        </is>
      </c>
      <c r="E99" t="inlineStr">
        <is>
          <t>PACIFIC</t>
        </is>
      </c>
      <c r="F99" t="inlineStr">
        <is>
          <t>Cargo</t>
        </is>
      </c>
      <c r="I99">
        <f>_xlfn.NUMBERVALUE(A99)</f>
        <v/>
      </c>
    </row>
    <row r="100">
      <c r="A100" s="2" t="n">
        <v>4978767</v>
      </c>
      <c r="C100" t="inlineStr">
        <is>
          <t>HA-2203-249</t>
        </is>
      </c>
      <c r="D100" t="inlineStr">
        <is>
          <t>PR-2203-417</t>
        </is>
      </c>
      <c r="E100" t="inlineStr">
        <is>
          <t>PACIFIC</t>
        </is>
      </c>
      <c r="F100" t="inlineStr">
        <is>
          <t>Cargo</t>
        </is>
      </c>
      <c r="I100">
        <f>_xlfn.NUMBERVALUE(A100)</f>
        <v/>
      </c>
    </row>
    <row r="101">
      <c r="A101" s="2" t="n">
        <v>4978774</v>
      </c>
      <c r="C101" t="inlineStr">
        <is>
          <t>HA-2203-273</t>
        </is>
      </c>
      <c r="D101" t="inlineStr">
        <is>
          <t>PR-2203-029</t>
        </is>
      </c>
      <c r="E101" t="inlineStr">
        <is>
          <t>PACIFIC</t>
        </is>
      </c>
      <c r="F101" t="inlineStr">
        <is>
          <t>Cargo</t>
        </is>
      </c>
      <c r="I101">
        <f>_xlfn.NUMBERVALUE(A101)</f>
        <v/>
      </c>
    </row>
    <row r="102">
      <c r="A102" s="2" t="n">
        <v>4978667</v>
      </c>
      <c r="C102" t="inlineStr">
        <is>
          <t>HA-2203-263</t>
        </is>
      </c>
      <c r="D102" t="inlineStr">
        <is>
          <t>PR-2203-018</t>
        </is>
      </c>
      <c r="E102" t="inlineStr">
        <is>
          <t>PACIFIC</t>
        </is>
      </c>
      <c r="F102" t="inlineStr">
        <is>
          <t>Cargo</t>
        </is>
      </c>
      <c r="I102">
        <f>_xlfn.NUMBERVALUE(A102)</f>
        <v/>
      </c>
    </row>
    <row r="103">
      <c r="A103" s="2" t="n">
        <v>4978629</v>
      </c>
      <c r="C103" t="inlineStr">
        <is>
          <t>HA-2203-207</t>
        </is>
      </c>
      <c r="D103" t="inlineStr">
        <is>
          <t>PR-2203-059</t>
        </is>
      </c>
      <c r="E103" t="inlineStr">
        <is>
          <t>PACIFIC</t>
        </is>
      </c>
      <c r="F103" t="inlineStr">
        <is>
          <t>Cargo</t>
        </is>
      </c>
      <c r="I103">
        <f>_xlfn.NUMBERVALUE(A103)</f>
        <v/>
      </c>
    </row>
    <row r="104">
      <c r="A104" s="2" t="n">
        <v>4978668</v>
      </c>
      <c r="C104" t="inlineStr">
        <is>
          <t>HA-2203-235</t>
        </is>
      </c>
      <c r="D104" t="inlineStr">
        <is>
          <t>PR-2203-019</t>
        </is>
      </c>
      <c r="E104" t="inlineStr">
        <is>
          <t>PACIFIC</t>
        </is>
      </c>
      <c r="F104" t="inlineStr">
        <is>
          <t>Cargo</t>
        </is>
      </c>
      <c r="I104">
        <f>_xlfn.NUMBERVALUE(A104)</f>
        <v/>
      </c>
    </row>
    <row r="105">
      <c r="A105" s="2" t="n">
        <v>4978630</v>
      </c>
      <c r="C105" t="inlineStr">
        <is>
          <t>HA-2203-151</t>
        </is>
      </c>
      <c r="D105" t="inlineStr">
        <is>
          <t>PR-2203-341</t>
        </is>
      </c>
      <c r="E105" t="inlineStr">
        <is>
          <t>MEDWAY</t>
        </is>
      </c>
      <c r="F105" t="inlineStr">
        <is>
          <t>Cargo</t>
        </is>
      </c>
      <c r="I105">
        <f>_xlfn.NUMBERVALUE(A105)</f>
        <v/>
      </c>
    </row>
    <row r="106">
      <c r="A106" s="2" t="n">
        <v>4978825</v>
      </c>
      <c r="C106" t="inlineStr">
        <is>
          <t>HA-2203-155</t>
        </is>
      </c>
      <c r="D106" t="inlineStr">
        <is>
          <t>PR-2203-375</t>
        </is>
      </c>
      <c r="E106" t="inlineStr">
        <is>
          <t>MEDWAY</t>
        </is>
      </c>
      <c r="F106" t="inlineStr">
        <is>
          <t>Cargo</t>
        </is>
      </c>
      <c r="I106">
        <f>_xlfn.NUMBERVALUE(A106)</f>
        <v/>
      </c>
    </row>
    <row r="107">
      <c r="A107" s="2" t="n">
        <v>4978796</v>
      </c>
      <c r="C107" t="inlineStr">
        <is>
          <t>HA-2203-161</t>
        </is>
      </c>
      <c r="D107" t="inlineStr">
        <is>
          <t>PR-2203-369</t>
        </is>
      </c>
      <c r="E107" t="inlineStr">
        <is>
          <t>MEDWAY</t>
        </is>
      </c>
      <c r="F107" t="inlineStr">
        <is>
          <t>Cargo</t>
        </is>
      </c>
      <c r="I107">
        <f>_xlfn.NUMBERVALUE(A107)</f>
        <v/>
      </c>
    </row>
    <row r="108">
      <c r="A108" s="2" t="n">
        <v>4978531</v>
      </c>
      <c r="C108" t="inlineStr">
        <is>
          <t>HA-2203-159</t>
        </is>
      </c>
      <c r="D108" t="inlineStr">
        <is>
          <t>PR-2203-355</t>
        </is>
      </c>
      <c r="E108" t="inlineStr">
        <is>
          <t>MEDWAY</t>
        </is>
      </c>
      <c r="F108" t="inlineStr">
        <is>
          <t>Cargo</t>
        </is>
      </c>
      <c r="I108">
        <f>_xlfn.NUMBERVALUE(A108)</f>
        <v/>
      </c>
    </row>
    <row r="109">
      <c r="A109" s="2" t="n">
        <v>4978792</v>
      </c>
      <c r="C109" t="inlineStr">
        <is>
          <t>HA-2203-215</t>
        </is>
      </c>
      <c r="D109" t="inlineStr">
        <is>
          <t>PR-2203-372</t>
        </is>
      </c>
      <c r="E109" t="inlineStr">
        <is>
          <t>MEDWAY</t>
        </is>
      </c>
      <c r="F109" t="inlineStr">
        <is>
          <t>Cargo</t>
        </is>
      </c>
      <c r="I109">
        <f>_xlfn.NUMBERVALUE(A109)</f>
        <v/>
      </c>
    </row>
    <row r="110">
      <c r="A110" s="2" t="n">
        <v>4978705</v>
      </c>
      <c r="C110" t="inlineStr">
        <is>
          <t>HA-2203-229</t>
        </is>
      </c>
      <c r="D110" t="inlineStr">
        <is>
          <t>PR-2203-361</t>
        </is>
      </c>
      <c r="E110" t="inlineStr">
        <is>
          <t>MEDWAY</t>
        </is>
      </c>
      <c r="F110" t="inlineStr">
        <is>
          <t>Cargo</t>
        </is>
      </c>
      <c r="I110">
        <f>_xlfn.NUMBERVALUE(A110)</f>
        <v/>
      </c>
    </row>
    <row r="111">
      <c r="A111" s="2" t="n">
        <v>4978895</v>
      </c>
      <c r="C111" t="inlineStr">
        <is>
          <t>HA-2203-213</t>
        </is>
      </c>
      <c r="D111" t="inlineStr">
        <is>
          <t>PR-2203-343</t>
        </is>
      </c>
      <c r="E111" t="inlineStr">
        <is>
          <t>MEDWAY</t>
        </is>
      </c>
      <c r="F111" t="inlineStr">
        <is>
          <t>Cargo</t>
        </is>
      </c>
      <c r="I111">
        <f>_xlfn.NUMBERVALUE(A111)</f>
        <v/>
      </c>
    </row>
    <row r="112">
      <c r="A112" s="2" t="n">
        <v>4978828</v>
      </c>
      <c r="C112" t="inlineStr">
        <is>
          <t>HA-2203-217</t>
        </is>
      </c>
      <c r="D112" t="inlineStr">
        <is>
          <t>PR-2203-367</t>
        </is>
      </c>
      <c r="E112" t="inlineStr">
        <is>
          <t>MEDWAY</t>
        </is>
      </c>
      <c r="F112" t="inlineStr">
        <is>
          <t>Cargo</t>
        </is>
      </c>
      <c r="I112">
        <f>_xlfn.NUMBERVALUE(A112)</f>
        <v/>
      </c>
    </row>
    <row r="113">
      <c r="A113" s="2" t="n">
        <v>4978816</v>
      </c>
      <c r="C113" t="inlineStr">
        <is>
          <t>HA-2203-221</t>
        </is>
      </c>
      <c r="D113" t="inlineStr">
        <is>
          <t>PR-2203-366</t>
        </is>
      </c>
      <c r="E113" t="inlineStr">
        <is>
          <t>MEDWAY</t>
        </is>
      </c>
      <c r="F113" t="inlineStr">
        <is>
          <t>Cargo</t>
        </is>
      </c>
      <c r="I113">
        <f>_xlfn.NUMBERVALUE(A113)</f>
        <v/>
      </c>
    </row>
    <row r="114">
      <c r="A114" s="2" t="n">
        <v>4978837</v>
      </c>
      <c r="C114" t="inlineStr">
        <is>
          <t>HA-2203-223</t>
        </is>
      </c>
      <c r="D114" t="inlineStr">
        <is>
          <t>PR-2203-353</t>
        </is>
      </c>
      <c r="E114" t="inlineStr">
        <is>
          <t>MEDWAY</t>
        </is>
      </c>
      <c r="F114" t="inlineStr">
        <is>
          <t>Cargo</t>
        </is>
      </c>
      <c r="I114">
        <f>_xlfn.NUMBERVALUE(A114)</f>
        <v/>
      </c>
    </row>
    <row r="115">
      <c r="A115" s="2" t="n">
        <v>4978665</v>
      </c>
      <c r="C115" t="inlineStr">
        <is>
          <t>HA-2203-231</t>
        </is>
      </c>
      <c r="D115" t="inlineStr">
        <is>
          <t>PR-2203-345</t>
        </is>
      </c>
      <c r="E115" t="inlineStr">
        <is>
          <t>MEDWAY</t>
        </is>
      </c>
      <c r="F115" t="inlineStr">
        <is>
          <t>Cargo</t>
        </is>
      </c>
      <c r="I115">
        <f>_xlfn.NUMBERVALUE(A115)</f>
        <v/>
      </c>
    </row>
    <row r="116">
      <c r="A116" s="2" t="n">
        <v>4978596</v>
      </c>
      <c r="C116" t="inlineStr">
        <is>
          <t>HA-2203-211</t>
        </is>
      </c>
      <c r="D116" t="inlineStr">
        <is>
          <t>PR-2203-364</t>
        </is>
      </c>
      <c r="E116" t="inlineStr">
        <is>
          <t>MEDWAY</t>
        </is>
      </c>
      <c r="F116" t="inlineStr">
        <is>
          <t>Cargo</t>
        </is>
      </c>
      <c r="I116">
        <f>_xlfn.NUMBERVALUE(A116)</f>
        <v/>
      </c>
    </row>
    <row r="117">
      <c r="A117" s="2" t="n">
        <v>4978847</v>
      </c>
      <c r="C117" t="inlineStr">
        <is>
          <t>HA-2203-290</t>
        </is>
      </c>
      <c r="D117" t="inlineStr">
        <is>
          <t>PR-2203-373</t>
        </is>
      </c>
      <c r="E117" t="inlineStr">
        <is>
          <t>GROUPCAT</t>
        </is>
      </c>
      <c r="F117" t="inlineStr">
        <is>
          <t>Cargo</t>
        </is>
      </c>
      <c r="I117">
        <f>_xlfn.NUMBERVALUE(A117)</f>
        <v/>
      </c>
    </row>
    <row r="118">
      <c r="A118" s="2" t="n">
        <v>4978770</v>
      </c>
      <c r="C118" t="inlineStr">
        <is>
          <t>HA-2203-298</t>
        </is>
      </c>
      <c r="D118" t="inlineStr">
        <is>
          <t>PR-2203-352</t>
        </is>
      </c>
      <c r="E118" t="inlineStr">
        <is>
          <t>GROUPCAT</t>
        </is>
      </c>
      <c r="F118" t="inlineStr">
        <is>
          <t>Cargo</t>
        </is>
      </c>
      <c r="I118">
        <f>_xlfn.NUMBERVALUE(A118)</f>
        <v/>
      </c>
    </row>
    <row r="119">
      <c r="A119" s="2" t="n">
        <v>4978856</v>
      </c>
      <c r="C119" t="inlineStr">
        <is>
          <t>HA-2203-342</t>
        </is>
      </c>
      <c r="D119" t="inlineStr">
        <is>
          <t>PR-2203-408</t>
        </is>
      </c>
      <c r="E119" t="inlineStr">
        <is>
          <t>GROUPCAT</t>
        </is>
      </c>
      <c r="F119" t="inlineStr">
        <is>
          <t>Cargo</t>
        </is>
      </c>
      <c r="I119">
        <f>_xlfn.NUMBERVALUE(A119)</f>
        <v/>
      </c>
    </row>
    <row r="120">
      <c r="A120" s="2" t="n">
        <v>4978743</v>
      </c>
      <c r="C120" t="inlineStr">
        <is>
          <t>HA-2203-340</t>
        </is>
      </c>
      <c r="D120" t="inlineStr">
        <is>
          <t>PR-2203-410</t>
        </is>
      </c>
      <c r="E120" t="inlineStr">
        <is>
          <t>GROUPCAT</t>
        </is>
      </c>
      <c r="F120" t="inlineStr">
        <is>
          <t>Cargo</t>
        </is>
      </c>
      <c r="I120">
        <f>_xlfn.NUMBERVALUE(A120)</f>
        <v/>
      </c>
    </row>
    <row r="121">
      <c r="A121" s="2" t="n">
        <v>4978793</v>
      </c>
      <c r="C121" t="inlineStr">
        <is>
          <t>HA-2203-346</t>
        </is>
      </c>
      <c r="D121" t="inlineStr">
        <is>
          <t>PR-2203-404</t>
        </is>
      </c>
      <c r="E121" t="inlineStr">
        <is>
          <t>GROUPCAT</t>
        </is>
      </c>
      <c r="F121" t="inlineStr">
        <is>
          <t>Cargo</t>
        </is>
      </c>
      <c r="I121">
        <f>_xlfn.NUMBERVALUE(A121)</f>
        <v/>
      </c>
    </row>
    <row r="122">
      <c r="A122" s="2" t="n">
        <v>4978885</v>
      </c>
      <c r="C122" t="inlineStr">
        <is>
          <t>HA-2206-68</t>
        </is>
      </c>
      <c r="D122" t="inlineStr">
        <is>
          <t>PR-2206-132</t>
        </is>
      </c>
      <c r="E122" t="inlineStr">
        <is>
          <t>GFR</t>
        </is>
      </c>
      <c r="F122" t="inlineStr">
        <is>
          <t>Cargo</t>
        </is>
      </c>
      <c r="I122">
        <f>_xlfn.NUMBERVALUE(A122)</f>
        <v/>
      </c>
    </row>
    <row r="123">
      <c r="A123" s="2" t="n">
        <v>4978911</v>
      </c>
      <c r="C123" t="inlineStr">
        <is>
          <t>HA-2203-326</t>
        </is>
      </c>
      <c r="D123" t="inlineStr">
        <is>
          <t>PR-2203-347</t>
        </is>
      </c>
      <c r="E123" t="inlineStr">
        <is>
          <t>GROUPCAT</t>
        </is>
      </c>
      <c r="F123" t="inlineStr">
        <is>
          <t>Cargo</t>
        </is>
      </c>
      <c r="I123">
        <f>_xlfn.NUMBERVALUE(A123)</f>
        <v/>
      </c>
    </row>
    <row r="124">
      <c r="A124" s="2" t="n">
        <v>4978731</v>
      </c>
      <c r="C124" t="inlineStr">
        <is>
          <t>HA-2203-322</t>
        </is>
      </c>
      <c r="D124" t="inlineStr">
        <is>
          <t>PR-2203-374</t>
        </is>
      </c>
      <c r="E124" t="inlineStr">
        <is>
          <t>GROUPCAT</t>
        </is>
      </c>
      <c r="F124" t="inlineStr">
        <is>
          <t>Cargo</t>
        </is>
      </c>
      <c r="I124">
        <f>_xlfn.NUMBERVALUE(A124)</f>
        <v/>
      </c>
    </row>
    <row r="125">
      <c r="A125" s="2" t="n">
        <v>4978826</v>
      </c>
      <c r="C125" t="inlineStr">
        <is>
          <t>HA-2203-304</t>
        </is>
      </c>
      <c r="D125" t="inlineStr">
        <is>
          <t>PR-2203-358</t>
        </is>
      </c>
      <c r="E125" t="inlineStr">
        <is>
          <t>GROUPCAT</t>
        </is>
      </c>
      <c r="F125" t="inlineStr">
        <is>
          <t>Cargo</t>
        </is>
      </c>
      <c r="I125">
        <f>_xlfn.NUMBERVALUE(A125)</f>
        <v/>
      </c>
    </row>
    <row r="126">
      <c r="A126" s="2" t="n">
        <v>4978859</v>
      </c>
      <c r="C126" t="inlineStr">
        <is>
          <t>HA-2203-350</t>
        </is>
      </c>
      <c r="D126" t="inlineStr">
        <is>
          <t>PR-2203-351</t>
        </is>
      </c>
      <c r="E126" t="inlineStr">
        <is>
          <t>GROUPCAT</t>
        </is>
      </c>
      <c r="F126" t="inlineStr">
        <is>
          <t>Cargo</t>
        </is>
      </c>
      <c r="I126">
        <f>_xlfn.NUMBERVALUE(A126)</f>
        <v/>
      </c>
    </row>
    <row r="127">
      <c r="A127" s="2" t="n">
        <v>4978844</v>
      </c>
      <c r="C127" t="inlineStr">
        <is>
          <t>HA-2203-336</t>
        </is>
      </c>
      <c r="D127" t="inlineStr">
        <is>
          <t>PR-2203-370</t>
        </is>
      </c>
      <c r="E127" t="inlineStr">
        <is>
          <t>GROUPCAT</t>
        </is>
      </c>
      <c r="F127" t="inlineStr">
        <is>
          <t>Cargo</t>
        </is>
      </c>
      <c r="I127">
        <f>_xlfn.NUMBERVALUE(A127)</f>
        <v/>
      </c>
    </row>
    <row r="128">
      <c r="A128" s="2" t="n">
        <v>4978807</v>
      </c>
      <c r="C128" t="inlineStr">
        <is>
          <t>HA-2203-324</t>
        </is>
      </c>
      <c r="D128" t="inlineStr">
        <is>
          <t>PR-2203-403</t>
        </is>
      </c>
      <c r="E128" t="inlineStr">
        <is>
          <t>GROUPCAT</t>
        </is>
      </c>
      <c r="F128" t="inlineStr">
        <is>
          <t>Cargo</t>
        </is>
      </c>
      <c r="I128">
        <f>_xlfn.NUMBERVALUE(A128)</f>
        <v/>
      </c>
    </row>
    <row r="129">
      <c r="A129" s="2" t="n">
        <v>4978790</v>
      </c>
      <c r="C129" t="inlineStr">
        <is>
          <t>HA-2203-296</t>
        </is>
      </c>
      <c r="D129" t="inlineStr">
        <is>
          <t>PR-2203-382</t>
        </is>
      </c>
      <c r="E129" t="inlineStr">
        <is>
          <t>GROUPCAT</t>
        </is>
      </c>
      <c r="F129" t="inlineStr">
        <is>
          <t>Cargo</t>
        </is>
      </c>
      <c r="I129">
        <f>_xlfn.NUMBERVALUE(A129)</f>
        <v/>
      </c>
    </row>
    <row r="130">
      <c r="A130" s="2" t="n">
        <v>4978552</v>
      </c>
      <c r="C130" t="inlineStr">
        <is>
          <t>HA-2203-302</t>
        </is>
      </c>
      <c r="D130" t="inlineStr">
        <is>
          <t>PR-2203-406</t>
        </is>
      </c>
      <c r="E130" t="inlineStr">
        <is>
          <t>GROUPCAT</t>
        </is>
      </c>
      <c r="F130" t="inlineStr">
        <is>
          <t>Cargo</t>
        </is>
      </c>
      <c r="I130">
        <f>_xlfn.NUMBERVALUE(A130)</f>
        <v/>
      </c>
    </row>
    <row r="131">
      <c r="A131" s="2" t="n">
        <v>4978639</v>
      </c>
      <c r="C131" t="inlineStr">
        <is>
          <t>HA-2203-236</t>
        </is>
      </c>
      <c r="D131" t="inlineStr">
        <is>
          <t>PR-2203-400</t>
        </is>
      </c>
      <c r="E131" t="inlineStr">
        <is>
          <t>GROUPCAT</t>
        </is>
      </c>
      <c r="F131" t="inlineStr">
        <is>
          <t>Cargo</t>
        </is>
      </c>
      <c r="I131">
        <f>_xlfn.NUMBERVALUE(A131)</f>
        <v/>
      </c>
    </row>
    <row r="132">
      <c r="A132" s="2" t="n">
        <v>4978622</v>
      </c>
      <c r="C132" t="inlineStr">
        <is>
          <t>HA-2203-228</t>
        </is>
      </c>
      <c r="D132" t="inlineStr">
        <is>
          <t>PR-2203-413</t>
        </is>
      </c>
      <c r="E132" t="inlineStr">
        <is>
          <t>GROUPCAT</t>
        </is>
      </c>
      <c r="F132" t="inlineStr">
        <is>
          <t>Cargo</t>
        </is>
      </c>
      <c r="I132">
        <f>_xlfn.NUMBERVALUE(A132)</f>
        <v/>
      </c>
    </row>
    <row r="133">
      <c r="A133" s="2" t="n">
        <v>4978862</v>
      </c>
      <c r="C133" t="inlineStr">
        <is>
          <t>HA-2203-238</t>
        </is>
      </c>
      <c r="D133" t="inlineStr">
        <is>
          <t>PR-2203-416</t>
        </is>
      </c>
      <c r="E133" t="inlineStr">
        <is>
          <t>GROUPCAT</t>
        </is>
      </c>
      <c r="F133" t="inlineStr">
        <is>
          <t>Cargo</t>
        </is>
      </c>
      <c r="I133">
        <f>_xlfn.NUMBERVALUE(A133)</f>
        <v/>
      </c>
    </row>
    <row r="134">
      <c r="A134" s="2" t="n">
        <v>4978846</v>
      </c>
      <c r="C134" t="inlineStr">
        <is>
          <t>HA-2203-202</t>
        </is>
      </c>
      <c r="D134" t="inlineStr">
        <is>
          <t>PR-2203-272</t>
        </is>
      </c>
      <c r="E134" t="inlineStr">
        <is>
          <t>HUPAC</t>
        </is>
      </c>
      <c r="F134" t="inlineStr">
        <is>
          <t>Cargo</t>
        </is>
      </c>
      <c r="I134">
        <f>_xlfn.NUMBERVALUE(A134)</f>
        <v/>
      </c>
    </row>
    <row r="135">
      <c r="A135" s="2" t="n">
        <v>4978692</v>
      </c>
      <c r="C135" t="inlineStr">
        <is>
          <t>HA-2203-134</t>
        </is>
      </c>
      <c r="D135" t="inlineStr">
        <is>
          <t>PR-2203-292</t>
        </is>
      </c>
      <c r="E135" t="inlineStr">
        <is>
          <t>HUPAC</t>
        </is>
      </c>
      <c r="F135" t="inlineStr">
        <is>
          <t>Cargo</t>
        </is>
      </c>
      <c r="I135">
        <f>_xlfn.NUMBERVALUE(A135)</f>
        <v/>
      </c>
    </row>
    <row r="136">
      <c r="A136" s="2" t="n">
        <v>4978905</v>
      </c>
      <c r="C136" t="inlineStr">
        <is>
          <t>HA-2203-330</t>
        </is>
      </c>
      <c r="D136" t="inlineStr">
        <is>
          <t>PR-2203-315</t>
        </is>
      </c>
      <c r="E136" t="inlineStr">
        <is>
          <t>HUPAC</t>
        </is>
      </c>
      <c r="F136" t="inlineStr">
        <is>
          <t>Cargo</t>
        </is>
      </c>
      <c r="I136">
        <f>_xlfn.NUMBERVALUE(A136)</f>
        <v/>
      </c>
    </row>
    <row r="137">
      <c r="A137" s="2" t="n">
        <v>4978858</v>
      </c>
      <c r="C137" t="inlineStr">
        <is>
          <t>HA-2203-258</t>
        </is>
      </c>
      <c r="D137" t="inlineStr">
        <is>
          <t>PR-2203-324</t>
        </is>
      </c>
      <c r="E137" t="inlineStr">
        <is>
          <t>HUPAC</t>
        </is>
      </c>
      <c r="F137" t="inlineStr">
        <is>
          <t>Cargo</t>
        </is>
      </c>
      <c r="I137">
        <f>_xlfn.NUMBERVALUE(A137)</f>
        <v/>
      </c>
    </row>
    <row r="138">
      <c r="A138" s="2" t="n">
        <v>4978842</v>
      </c>
      <c r="C138" t="inlineStr">
        <is>
          <t>HA-2203-232</t>
        </is>
      </c>
      <c r="D138" t="inlineStr">
        <is>
          <t>PR-2203-322</t>
        </is>
      </c>
      <c r="E138" t="inlineStr">
        <is>
          <t>HUPAC</t>
        </is>
      </c>
      <c r="F138" t="inlineStr">
        <is>
          <t>Cargo</t>
        </is>
      </c>
      <c r="I138">
        <f>_xlfn.NUMBERVALUE(A138)</f>
        <v/>
      </c>
    </row>
    <row r="139">
      <c r="A139" s="2" t="n">
        <v>4978861</v>
      </c>
      <c r="C139" t="inlineStr">
        <is>
          <t>HA-2203-200</t>
        </is>
      </c>
      <c r="D139" t="inlineStr">
        <is>
          <t>PR-2203-284</t>
        </is>
      </c>
      <c r="E139" t="inlineStr">
        <is>
          <t>HUPAC</t>
        </is>
      </c>
      <c r="F139" t="inlineStr">
        <is>
          <t>Cargo</t>
        </is>
      </c>
      <c r="I139">
        <f>_xlfn.NUMBERVALUE(A139)</f>
        <v/>
      </c>
    </row>
    <row r="140">
      <c r="A140" s="2" t="n">
        <v>4978800</v>
      </c>
      <c r="C140" t="inlineStr">
        <is>
          <t>HA-2203-260</t>
        </is>
      </c>
      <c r="D140" t="inlineStr">
        <is>
          <t>PR2203-266</t>
        </is>
      </c>
      <c r="E140" t="inlineStr">
        <is>
          <t>HUPAC</t>
        </is>
      </c>
      <c r="F140" t="inlineStr">
        <is>
          <t>Cargo</t>
        </is>
      </c>
      <c r="I140">
        <f>_xlfn.NUMBERVALUE(A140)</f>
        <v/>
      </c>
    </row>
    <row r="141">
      <c r="A141" s="2" t="n">
        <v>4978801</v>
      </c>
      <c r="C141" t="inlineStr">
        <is>
          <t>HA-2203-264</t>
        </is>
      </c>
      <c r="D141" t="inlineStr">
        <is>
          <t>PR-2203-332</t>
        </is>
      </c>
      <c r="E141" t="inlineStr">
        <is>
          <t>HUPAC</t>
        </is>
      </c>
      <c r="F141" t="inlineStr">
        <is>
          <t>Cargo</t>
        </is>
      </c>
      <c r="I141">
        <f>_xlfn.NUMBERVALUE(A141)</f>
        <v/>
      </c>
    </row>
    <row r="142">
      <c r="A142" s="2" t="n">
        <v>4978802</v>
      </c>
      <c r="C142" t="inlineStr">
        <is>
          <t>HA-2203-256</t>
        </is>
      </c>
      <c r="D142" t="inlineStr">
        <is>
          <t>PR-2203-339</t>
        </is>
      </c>
      <c r="E142" t="inlineStr">
        <is>
          <t>HUPAC</t>
        </is>
      </c>
      <c r="F142" t="inlineStr">
        <is>
          <t>Cargo</t>
        </is>
      </c>
      <c r="I142">
        <f>_xlfn.NUMBERVALUE(A142)</f>
        <v/>
      </c>
    </row>
    <row r="143">
      <c r="A143" s="2" t="n">
        <v>4978765</v>
      </c>
      <c r="C143" t="inlineStr">
        <is>
          <t>HA-2203-194</t>
        </is>
      </c>
      <c r="D143" t="inlineStr">
        <is>
          <t>PR-2203-294</t>
        </is>
      </c>
      <c r="E143" t="inlineStr">
        <is>
          <t>HUPAC</t>
        </is>
      </c>
      <c r="F143" t="inlineStr">
        <is>
          <t>Cargo</t>
        </is>
      </c>
      <c r="I143">
        <f>_xlfn.NUMBERVALUE(A143)</f>
        <v/>
      </c>
    </row>
    <row r="144">
      <c r="A144" s="2" t="n">
        <v>4978799</v>
      </c>
      <c r="C144" t="inlineStr">
        <is>
          <t>HA-2203-192</t>
        </is>
      </c>
      <c r="D144" t="inlineStr">
        <is>
          <t>PR-2203-267</t>
        </is>
      </c>
      <c r="E144" t="inlineStr">
        <is>
          <t>HUPAC</t>
        </is>
      </c>
      <c r="F144" t="inlineStr">
        <is>
          <t>Cargo</t>
        </is>
      </c>
      <c r="I144">
        <f>_xlfn.NUMBERVALUE(A144)</f>
        <v/>
      </c>
    </row>
    <row r="145">
      <c r="A145" s="2" t="n">
        <v>4978817</v>
      </c>
      <c r="C145" t="inlineStr">
        <is>
          <t>HA-2203-130</t>
        </is>
      </c>
      <c r="D145" t="inlineStr">
        <is>
          <t>PR-2203-287</t>
        </is>
      </c>
      <c r="E145" t="inlineStr">
        <is>
          <t>HUPAC</t>
        </is>
      </c>
      <c r="F145" t="inlineStr">
        <is>
          <t>Cargo</t>
        </is>
      </c>
      <c r="I145">
        <f>_xlfn.NUMBERVALUE(A145)</f>
        <v/>
      </c>
    </row>
    <row r="146">
      <c r="A146" s="2" t="n">
        <v>4978909</v>
      </c>
      <c r="C146" t="inlineStr">
        <is>
          <t>HA-2203-254</t>
        </is>
      </c>
      <c r="D146" t="inlineStr">
        <is>
          <t>PR-2203-312</t>
        </is>
      </c>
      <c r="E146" t="inlineStr">
        <is>
          <t>HUPAC</t>
        </is>
      </c>
      <c r="F146" t="inlineStr">
        <is>
          <t>Cargo</t>
        </is>
      </c>
      <c r="I146">
        <f>_xlfn.NUMBERVALUE(A146)</f>
        <v/>
      </c>
    </row>
    <row r="147">
      <c r="A147" s="2" t="n">
        <v>4978853</v>
      </c>
      <c r="C147" t="inlineStr">
        <is>
          <t>HA-2203-219</t>
        </is>
      </c>
      <c r="D147" t="inlineStr">
        <is>
          <t>PR-2203-273</t>
        </is>
      </c>
      <c r="E147" t="inlineStr">
        <is>
          <t>HUPAC</t>
        </is>
      </c>
      <c r="F147" t="inlineStr">
        <is>
          <t>Cargo</t>
        </is>
      </c>
      <c r="I147">
        <f>_xlfn.NUMBERVALUE(A147)</f>
        <v/>
      </c>
    </row>
    <row r="148">
      <c r="A148" s="2" t="n">
        <v>4978890</v>
      </c>
      <c r="C148" t="inlineStr">
        <is>
          <t>HA-2203-203</t>
        </is>
      </c>
      <c r="D148" t="inlineStr">
        <is>
          <t>PR-2203-305</t>
        </is>
      </c>
      <c r="E148" t="inlineStr">
        <is>
          <t>HUPAC</t>
        </is>
      </c>
      <c r="F148" t="inlineStr">
        <is>
          <t>Cargo</t>
        </is>
      </c>
      <c r="I148">
        <f>_xlfn.NUMBERVALUE(A148)</f>
        <v/>
      </c>
    </row>
    <row r="149">
      <c r="A149" s="2" t="n">
        <v>4978864</v>
      </c>
      <c r="C149" t="inlineStr">
        <is>
          <t>HA-2203-179</t>
        </is>
      </c>
      <c r="D149" t="inlineStr">
        <is>
          <t>PR-2203-271</t>
        </is>
      </c>
      <c r="E149" t="inlineStr">
        <is>
          <t>HUPAC</t>
        </is>
      </c>
      <c r="F149" t="inlineStr">
        <is>
          <t>Cargo</t>
        </is>
      </c>
      <c r="I149">
        <f>_xlfn.NUMBERVALUE(A149)</f>
        <v/>
      </c>
    </row>
    <row r="150">
      <c r="A150" s="2" t="n">
        <v>4978716</v>
      </c>
      <c r="C150" t="inlineStr">
        <is>
          <t>HA-2203-251</t>
        </is>
      </c>
      <c r="D150" t="inlineStr">
        <is>
          <t>PR-2203-310</t>
        </is>
      </c>
      <c r="E150" t="inlineStr">
        <is>
          <t>HUPAC</t>
        </is>
      </c>
      <c r="F150" t="inlineStr">
        <is>
          <t>Cargo</t>
        </is>
      </c>
      <c r="I150">
        <f>_xlfn.NUMBERVALUE(A150)</f>
        <v/>
      </c>
    </row>
    <row r="151">
      <c r="A151" s="2" t="n">
        <v>4978742</v>
      </c>
      <c r="C151" t="inlineStr">
        <is>
          <t>HA-2203-257</t>
        </is>
      </c>
      <c r="D151" t="inlineStr">
        <is>
          <t>PR-2203-313</t>
        </is>
      </c>
      <c r="E151" t="inlineStr">
        <is>
          <t>HUPAC</t>
        </is>
      </c>
      <c r="F151" t="inlineStr">
        <is>
          <t>Cargo</t>
        </is>
      </c>
      <c r="I151">
        <f>_xlfn.NUMBERVALUE(A151)</f>
        <v/>
      </c>
    </row>
    <row r="152">
      <c r="A152" s="2" t="n">
        <v>4978868</v>
      </c>
      <c r="C152" t="inlineStr">
        <is>
          <t>HA-2203-248</t>
        </is>
      </c>
      <c r="D152" t="inlineStr">
        <is>
          <t>PR-2203-299</t>
        </is>
      </c>
      <c r="E152" t="inlineStr">
        <is>
          <t>HUPAC</t>
        </is>
      </c>
      <c r="F152" t="inlineStr">
        <is>
          <t>Cargo</t>
        </is>
      </c>
      <c r="I152">
        <f>_xlfn.NUMBERVALUE(A152)</f>
        <v/>
      </c>
    </row>
    <row r="153">
      <c r="A153" s="2" t="n">
        <v>4978876</v>
      </c>
      <c r="C153" t="inlineStr">
        <is>
          <t>HA-2203-191</t>
        </is>
      </c>
      <c r="D153" t="inlineStr">
        <is>
          <t>PR-2203-274</t>
        </is>
      </c>
      <c r="E153" t="inlineStr">
        <is>
          <t>HUPAC</t>
        </is>
      </c>
      <c r="F153" t="inlineStr">
        <is>
          <t>Cargo</t>
        </is>
      </c>
      <c r="I153">
        <f>_xlfn.NUMBERVALUE(A153)</f>
        <v/>
      </c>
    </row>
    <row r="154">
      <c r="A154" s="2" t="n">
        <v>4978809</v>
      </c>
      <c r="C154" t="inlineStr">
        <is>
          <t>HA-2203-237</t>
        </is>
      </c>
      <c r="D154" t="inlineStr">
        <is>
          <t>PR-2203-350</t>
        </is>
      </c>
      <c r="E154" t="inlineStr">
        <is>
          <t>HUPAC</t>
        </is>
      </c>
      <c r="F154" t="inlineStr">
        <is>
          <t>Cargo</t>
        </is>
      </c>
      <c r="I154">
        <f>_xlfn.NUMBERVALUE(A154)</f>
        <v/>
      </c>
    </row>
    <row r="155">
      <c r="A155" s="2" t="n">
        <v>4978814</v>
      </c>
      <c r="C155" t="inlineStr">
        <is>
          <t>HA-2203-71</t>
        </is>
      </c>
      <c r="D155" t="inlineStr">
        <is>
          <t>PR-2203-323</t>
        </is>
      </c>
      <c r="E155" t="inlineStr">
        <is>
          <t>HUPAC</t>
        </is>
      </c>
      <c r="F155" t="inlineStr">
        <is>
          <t>Cargo</t>
        </is>
      </c>
      <c r="I155">
        <f>_xlfn.NUMBERVALUE(A155)</f>
        <v/>
      </c>
    </row>
    <row r="156">
      <c r="A156" s="2" t="n">
        <v>4978746</v>
      </c>
      <c r="C156" t="inlineStr">
        <is>
          <t>HA-2203-131</t>
        </is>
      </c>
      <c r="D156" t="inlineStr">
        <is>
          <t>PR-2203-307</t>
        </is>
      </c>
      <c r="E156" t="inlineStr">
        <is>
          <t>HUPAC</t>
        </is>
      </c>
      <c r="F156" t="inlineStr">
        <is>
          <t>Cargo</t>
        </is>
      </c>
      <c r="I156">
        <f>_xlfn.NUMBERVALUE(A156)</f>
        <v/>
      </c>
    </row>
    <row r="157">
      <c r="A157" s="40" t="n">
        <v>4978741</v>
      </c>
      <c r="B157" s="40" t="n"/>
      <c r="C157" t="inlineStr">
        <is>
          <t>HA-2203-75</t>
        </is>
      </c>
      <c r="D157" t="inlineStr">
        <is>
          <t>PR2203-142</t>
        </is>
      </c>
      <c r="E157" t="inlineStr">
        <is>
          <t>HUPAC</t>
        </is>
      </c>
      <c r="F157" t="inlineStr">
        <is>
          <t>Cargo</t>
        </is>
      </c>
      <c r="I157">
        <f>_xlfn.NUMBERVALUE(A157)</f>
        <v/>
      </c>
    </row>
    <row r="158">
      <c r="A158" s="2" t="n">
        <v>4978788</v>
      </c>
      <c r="C158" t="inlineStr">
        <is>
          <t>HA-2203-79</t>
        </is>
      </c>
      <c r="D158" t="inlineStr">
        <is>
          <t>PR-2203-xxx</t>
        </is>
      </c>
      <c r="E158" t="inlineStr">
        <is>
          <t>HUPAC</t>
        </is>
      </c>
      <c r="F158" t="inlineStr">
        <is>
          <t>Cargo</t>
        </is>
      </c>
      <c r="I158">
        <f>_xlfn.NUMBERVALUE(A158)</f>
        <v/>
      </c>
    </row>
    <row r="159">
      <c r="A159" s="2" t="n">
        <v>4978761</v>
      </c>
      <c r="C159" t="inlineStr">
        <is>
          <t>HA-2203-73</t>
        </is>
      </c>
      <c r="D159" t="inlineStr">
        <is>
          <t>PR-2203-354</t>
        </is>
      </c>
      <c r="E159" t="inlineStr">
        <is>
          <t>HUPAC</t>
        </is>
      </c>
      <c r="F159" t="inlineStr">
        <is>
          <t>Cargo</t>
        </is>
      </c>
      <c r="I159">
        <f>_xlfn.NUMBERVALUE(A159)</f>
        <v/>
      </c>
    </row>
    <row r="160">
      <c r="A160" s="2" t="n">
        <v>4978867</v>
      </c>
      <c r="C160" t="inlineStr">
        <is>
          <t>HA-2203-165</t>
        </is>
      </c>
      <c r="D160" t="inlineStr">
        <is>
          <t>PR-2203-337</t>
        </is>
      </c>
      <c r="E160" t="inlineStr">
        <is>
          <t>HUPAC</t>
        </is>
      </c>
      <c r="F160" t="inlineStr">
        <is>
          <t>Cargo</t>
        </is>
      </c>
      <c r="I160">
        <f>_xlfn.NUMBERVALUE(A160)</f>
        <v/>
      </c>
    </row>
    <row r="161">
      <c r="A161" s="2" t="n">
        <v>4978723</v>
      </c>
      <c r="C161" t="inlineStr">
        <is>
          <t>HA-2203-163</t>
        </is>
      </c>
      <c r="D161" t="inlineStr">
        <is>
          <t>PR-2203-346</t>
        </is>
      </c>
      <c r="E161" t="inlineStr">
        <is>
          <t>HUPAC</t>
        </is>
      </c>
      <c r="F161" t="inlineStr">
        <is>
          <t>Cargo</t>
        </is>
      </c>
      <c r="I161">
        <f>_xlfn.NUMBERVALUE(A161)</f>
        <v/>
      </c>
    </row>
    <row r="162">
      <c r="A162" s="2" t="n">
        <v>4978901</v>
      </c>
      <c r="C162" t="inlineStr">
        <is>
          <t>HA-2203-147</t>
        </is>
      </c>
      <c r="D162" t="inlineStr">
        <is>
          <t>PR-2203-270</t>
        </is>
      </c>
      <c r="E162" t="inlineStr">
        <is>
          <t>HUPAC</t>
        </is>
      </c>
      <c r="F162" t="inlineStr">
        <is>
          <t>Cargo</t>
        </is>
      </c>
      <c r="I162">
        <f>_xlfn.NUMBERVALUE(A162)</f>
        <v/>
      </c>
    </row>
    <row r="163">
      <c r="A163" s="2" t="n">
        <v>4978841</v>
      </c>
      <c r="C163" t="inlineStr">
        <is>
          <t>HA-2203-169</t>
        </is>
      </c>
      <c r="D163" t="inlineStr">
        <is>
          <t>PR-2203-320</t>
        </is>
      </c>
      <c r="E163" t="inlineStr">
        <is>
          <t>HUPAC</t>
        </is>
      </c>
      <c r="F163" t="inlineStr">
        <is>
          <t>Cargo</t>
        </is>
      </c>
      <c r="I163">
        <f>_xlfn.NUMBERVALUE(A163)</f>
        <v/>
      </c>
    </row>
    <row r="164">
      <c r="A164" s="2" t="n">
        <v>4978713</v>
      </c>
      <c r="C164" t="inlineStr">
        <is>
          <t>HA-2203-171</t>
        </is>
      </c>
      <c r="D164" t="inlineStr">
        <is>
          <t>PR-2203-331</t>
        </is>
      </c>
      <c r="E164" t="inlineStr">
        <is>
          <t>HUPAC</t>
        </is>
      </c>
      <c r="F164" t="inlineStr">
        <is>
          <t>Cargo</t>
        </is>
      </c>
      <c r="I164">
        <f>_xlfn.NUMBERVALUE(A164)</f>
        <v/>
      </c>
    </row>
    <row r="165">
      <c r="A165" s="2" t="n">
        <v>4978632</v>
      </c>
      <c r="C165" t="inlineStr">
        <is>
          <t>HA-2203-190</t>
        </is>
      </c>
      <c r="D165" t="inlineStr">
        <is>
          <t>PR-2203-295</t>
        </is>
      </c>
      <c r="E165" t="inlineStr">
        <is>
          <t>HUPAC</t>
        </is>
      </c>
      <c r="F165" t="inlineStr">
        <is>
          <t>Cargo</t>
        </is>
      </c>
      <c r="I165">
        <f>_xlfn.NUMBERVALUE(A165)</f>
        <v/>
      </c>
    </row>
    <row r="166">
      <c r="A166" s="2" t="n">
        <v>4978877</v>
      </c>
      <c r="C166" t="inlineStr">
        <is>
          <t>HA-2203-184</t>
        </is>
      </c>
      <c r="D166" t="inlineStr">
        <is>
          <t>PR-2203-286</t>
        </is>
      </c>
      <c r="E166" t="inlineStr">
        <is>
          <t>HUPAC</t>
        </is>
      </c>
      <c r="F166" t="inlineStr">
        <is>
          <t>Cargo</t>
        </is>
      </c>
      <c r="I166">
        <f>_xlfn.NUMBERVALUE(A166)</f>
        <v/>
      </c>
    </row>
    <row r="167">
      <c r="A167" s="2" t="n">
        <v>4978562</v>
      </c>
      <c r="C167" t="inlineStr">
        <is>
          <t>HA-2203-186</t>
        </is>
      </c>
      <c r="D167" t="inlineStr">
        <is>
          <t>PR-2203-280</t>
        </is>
      </c>
      <c r="E167" t="inlineStr">
        <is>
          <t>HUPAC</t>
        </is>
      </c>
      <c r="F167" t="inlineStr">
        <is>
          <t>Cargo</t>
        </is>
      </c>
      <c r="I167">
        <f>_xlfn.NUMBERVALUE(A167)</f>
        <v/>
      </c>
    </row>
    <row r="168">
      <c r="A168" s="2" t="n">
        <v>4978611</v>
      </c>
      <c r="C168" t="inlineStr">
        <is>
          <t>HA-2203-201</t>
        </is>
      </c>
      <c r="D168" t="inlineStr">
        <is>
          <t>PR2203-298</t>
        </is>
      </c>
      <c r="E168" t="inlineStr">
        <is>
          <t>HUPAC</t>
        </is>
      </c>
      <c r="F168" t="inlineStr">
        <is>
          <t>Cargo</t>
        </is>
      </c>
      <c r="I168">
        <f>_xlfn.NUMBERVALUE(A168)</f>
        <v/>
      </c>
    </row>
    <row r="169">
      <c r="A169" s="2" t="n">
        <v>4978749</v>
      </c>
      <c r="C169" t="inlineStr">
        <is>
          <t>HA-2203-172</t>
        </is>
      </c>
      <c r="D169" t="inlineStr">
        <is>
          <t>PR-2203-344</t>
        </is>
      </c>
      <c r="E169" t="inlineStr">
        <is>
          <t>HUPAC</t>
        </is>
      </c>
      <c r="F169" t="inlineStr">
        <is>
          <t>Cargo</t>
        </is>
      </c>
      <c r="I169">
        <f>_xlfn.NUMBERVALUE(A169)</f>
        <v/>
      </c>
    </row>
    <row r="170">
      <c r="A170" s="2" t="n">
        <v>4978855</v>
      </c>
      <c r="C170" t="inlineStr">
        <is>
          <t>HA-2203-164</t>
        </is>
      </c>
      <c r="D170" t="inlineStr">
        <is>
          <t>PR-2203-311</t>
        </is>
      </c>
      <c r="E170" t="inlineStr">
        <is>
          <t>HUPAC</t>
        </is>
      </c>
      <c r="F170" t="inlineStr">
        <is>
          <t>Cargo</t>
        </is>
      </c>
      <c r="I170">
        <f>_xlfn.NUMBERVALUE(A170)</f>
        <v/>
      </c>
    </row>
    <row r="171">
      <c r="A171" s="2" t="n">
        <v>4978710</v>
      </c>
      <c r="C171" t="inlineStr">
        <is>
          <t>HA-2203-162</t>
        </is>
      </c>
      <c r="D171" t="inlineStr">
        <is>
          <t>PR-2203-289</t>
        </is>
      </c>
      <c r="E171" t="inlineStr">
        <is>
          <t>HUPAC</t>
        </is>
      </c>
      <c r="F171" t="inlineStr">
        <is>
          <t>Cargo</t>
        </is>
      </c>
      <c r="I171">
        <f>_xlfn.NUMBERVALUE(A171)</f>
        <v/>
      </c>
    </row>
    <row r="172">
      <c r="A172" s="2" t="n">
        <v>4978777</v>
      </c>
      <c r="C172" t="inlineStr">
        <is>
          <t>HA-2203-166</t>
        </is>
      </c>
      <c r="D172" t="inlineStr">
        <is>
          <t>PR-2203-293</t>
        </is>
      </c>
      <c r="E172" t="inlineStr">
        <is>
          <t>HUPAC</t>
        </is>
      </c>
      <c r="F172" t="inlineStr">
        <is>
          <t>Cargo</t>
        </is>
      </c>
      <c r="I172">
        <f>_xlfn.NUMBERVALUE(A172)</f>
        <v/>
      </c>
    </row>
    <row r="173">
      <c r="A173" s="2" t="n">
        <v>4978787</v>
      </c>
      <c r="C173" t="inlineStr">
        <is>
          <t>HA-2203-195</t>
        </is>
      </c>
      <c r="D173" t="inlineStr">
        <is>
          <t>PR-2203-349</t>
        </is>
      </c>
      <c r="E173" t="inlineStr">
        <is>
          <t>HUPAC</t>
        </is>
      </c>
      <c r="F173" t="inlineStr">
        <is>
          <t>Cargo</t>
        </is>
      </c>
      <c r="I173">
        <f>_xlfn.NUMBERVALUE(A173)</f>
        <v/>
      </c>
    </row>
    <row r="174">
      <c r="A174" s="2" t="n">
        <v>4978571</v>
      </c>
      <c r="C174" t="inlineStr">
        <is>
          <t>HA-2203-181</t>
        </is>
      </c>
      <c r="D174" t="inlineStr">
        <is>
          <t>PR-2203-348</t>
        </is>
      </c>
      <c r="E174" t="inlineStr">
        <is>
          <t>HUPAC</t>
        </is>
      </c>
      <c r="F174" t="inlineStr">
        <is>
          <t>Cargo</t>
        </is>
      </c>
      <c r="I174">
        <f>_xlfn.NUMBERVALUE(A174)</f>
        <v/>
      </c>
    </row>
    <row r="175">
      <c r="A175" s="2" t="n">
        <v>4978819</v>
      </c>
      <c r="C175" t="inlineStr">
        <is>
          <t>HA-2203-188</t>
        </is>
      </c>
      <c r="D175" t="inlineStr">
        <is>
          <t>PR-2203-268</t>
        </is>
      </c>
      <c r="E175" t="inlineStr">
        <is>
          <t>HUPAC</t>
        </is>
      </c>
      <c r="F175" t="inlineStr">
        <is>
          <t>Cargo</t>
        </is>
      </c>
      <c r="I175">
        <f>_xlfn.NUMBERVALUE(A175)</f>
        <v/>
      </c>
    </row>
    <row r="176">
      <c r="A176" s="2" t="n">
        <v>4978654</v>
      </c>
      <c r="C176" t="inlineStr">
        <is>
          <t>HA-2203-183</t>
        </is>
      </c>
      <c r="D176" t="inlineStr">
        <is>
          <t>PR2203-319</t>
        </is>
      </c>
      <c r="E176" t="inlineStr">
        <is>
          <t>HUPAC</t>
        </is>
      </c>
      <c r="F176" t="inlineStr">
        <is>
          <t>Cargo</t>
        </is>
      </c>
      <c r="I176">
        <f>_xlfn.NUMBERVALUE(A176)</f>
        <v/>
      </c>
    </row>
    <row r="177">
      <c r="A177" s="2" t="n">
        <v>4978722</v>
      </c>
      <c r="C177" t="inlineStr">
        <is>
          <t>HA-2203-177</t>
        </is>
      </c>
      <c r="D177" t="inlineStr">
        <is>
          <t>PR-2203-334</t>
        </is>
      </c>
      <c r="E177" t="inlineStr">
        <is>
          <t>HUPAC</t>
        </is>
      </c>
      <c r="F177" t="inlineStr">
        <is>
          <t>Cargo</t>
        </is>
      </c>
      <c r="I177">
        <f>_xlfn.NUMBERVALUE(A177)</f>
        <v/>
      </c>
    </row>
    <row r="178">
      <c r="A178" s="2" t="n">
        <v>4978543</v>
      </c>
      <c r="C178" t="inlineStr">
        <is>
          <t>HA-2203-185</t>
        </is>
      </c>
      <c r="D178" t="inlineStr">
        <is>
          <t>PR-2203-291</t>
        </is>
      </c>
      <c r="E178" t="inlineStr">
        <is>
          <t>HUPAC</t>
        </is>
      </c>
      <c r="F178" t="inlineStr">
        <is>
          <t>Cargo</t>
        </is>
      </c>
      <c r="I178">
        <f>_xlfn.NUMBERVALUE(A178)</f>
        <v/>
      </c>
    </row>
    <row r="179">
      <c r="A179" s="2" t="n">
        <v>4978784</v>
      </c>
      <c r="C179" t="inlineStr">
        <is>
          <t>HA-2203-197</t>
        </is>
      </c>
      <c r="D179" t="inlineStr">
        <is>
          <t>PR-2203-328</t>
        </is>
      </c>
      <c r="E179" t="inlineStr">
        <is>
          <t>HUPAC</t>
        </is>
      </c>
      <c r="F179" t="inlineStr">
        <is>
          <t>Cargo</t>
        </is>
      </c>
      <c r="I179">
        <f>_xlfn.NUMBERVALUE(A179)</f>
        <v/>
      </c>
    </row>
    <row r="180">
      <c r="A180" s="2" t="n">
        <v>4978739</v>
      </c>
      <c r="C180" t="inlineStr">
        <is>
          <t>HA-2203-199</t>
        </is>
      </c>
      <c r="D180" t="inlineStr">
        <is>
          <t>PR-2203-265</t>
        </is>
      </c>
      <c r="E180" t="inlineStr">
        <is>
          <t>HUPAC</t>
        </is>
      </c>
      <c r="F180" t="inlineStr">
        <is>
          <t>Cargo</t>
        </is>
      </c>
      <c r="I180">
        <f>_xlfn.NUMBERVALUE(A180)</f>
        <v/>
      </c>
    </row>
    <row r="181">
      <c r="A181" s="2" t="n">
        <v>4978605</v>
      </c>
      <c r="C181" t="inlineStr">
        <is>
          <t>HA-2203-11</t>
        </is>
      </c>
      <c r="D181" t="inlineStr">
        <is>
          <t>PR-2203-338</t>
        </is>
      </c>
      <c r="E181" t="inlineStr">
        <is>
          <t>HUPAC</t>
        </is>
      </c>
      <c r="F181" t="inlineStr">
        <is>
          <t>Cargo</t>
        </is>
      </c>
      <c r="I181">
        <f>_xlfn.NUMBERVALUE(A181)</f>
        <v/>
      </c>
    </row>
    <row r="182">
      <c r="A182" s="2" t="n">
        <v>4978617</v>
      </c>
      <c r="C182" t="inlineStr">
        <is>
          <t>HA-2203-107</t>
        </is>
      </c>
      <c r="D182" t="inlineStr">
        <is>
          <t>PR2206-425</t>
        </is>
      </c>
      <c r="E182" t="inlineStr">
        <is>
          <t>HUPAC</t>
        </is>
      </c>
      <c r="F182" t="inlineStr">
        <is>
          <t>Cargo</t>
        </is>
      </c>
      <c r="I182">
        <f>_xlfn.NUMBERVALUE(A182)</f>
        <v/>
      </c>
    </row>
    <row r="183">
      <c r="A183" s="2" t="n">
        <v>4978582</v>
      </c>
      <c r="C183" t="inlineStr">
        <is>
          <t>HA-2203-97</t>
        </is>
      </c>
      <c r="D183" t="inlineStr">
        <is>
          <t>PR-2203-300</t>
        </is>
      </c>
      <c r="E183" t="inlineStr">
        <is>
          <t>HUPAC</t>
        </is>
      </c>
      <c r="F183" t="inlineStr">
        <is>
          <t>Cargo</t>
        </is>
      </c>
      <c r="I183">
        <f>_xlfn.NUMBERVALUE(A183)</f>
        <v/>
      </c>
    </row>
    <row r="184">
      <c r="A184" s="2" t="n">
        <v>4978747</v>
      </c>
      <c r="C184" t="inlineStr">
        <is>
          <t>HA-2203-127</t>
        </is>
      </c>
      <c r="D184" t="inlineStr">
        <is>
          <t>PR-2203-359</t>
        </is>
      </c>
      <c r="E184" t="inlineStr">
        <is>
          <t>HUPAC</t>
        </is>
      </c>
      <c r="F184" t="inlineStr">
        <is>
          <t>Cargo</t>
        </is>
      </c>
      <c r="I184">
        <f>_xlfn.NUMBERVALUE(A184)</f>
        <v/>
      </c>
    </row>
    <row r="185">
      <c r="A185" s="2" t="n">
        <v>4978769</v>
      </c>
      <c r="C185" t="inlineStr">
        <is>
          <t>HA-2203-81</t>
        </is>
      </c>
      <c r="D185" t="inlineStr">
        <is>
          <t>PR-2203-309</t>
        </is>
      </c>
      <c r="E185" t="inlineStr">
        <is>
          <t>HUPAC</t>
        </is>
      </c>
      <c r="F185" t="inlineStr">
        <is>
          <t>Cargo</t>
        </is>
      </c>
      <c r="I185">
        <f>_xlfn.NUMBERVALUE(A185)</f>
        <v/>
      </c>
    </row>
    <row r="186">
      <c r="A186" s="2" t="n">
        <v>4978803</v>
      </c>
      <c r="C186" t="inlineStr">
        <is>
          <t>HA-2203-103</t>
        </is>
      </c>
      <c r="D186" t="inlineStr">
        <is>
          <t>PR-2203-316</t>
        </is>
      </c>
      <c r="E186" t="inlineStr">
        <is>
          <t>HUPAC</t>
        </is>
      </c>
      <c r="F186" t="inlineStr">
        <is>
          <t>Cargo</t>
        </is>
      </c>
      <c r="I186">
        <f>_xlfn.NUMBERVALUE(A186)</f>
        <v/>
      </c>
    </row>
    <row r="187">
      <c r="A187" s="2" t="n">
        <v>4978606</v>
      </c>
      <c r="C187" t="inlineStr">
        <is>
          <t>HA-2203-115</t>
        </is>
      </c>
      <c r="D187" t="inlineStr">
        <is>
          <t>PR-2203-335</t>
        </is>
      </c>
      <c r="E187" t="inlineStr">
        <is>
          <t>HUPAC</t>
        </is>
      </c>
      <c r="F187" t="inlineStr">
        <is>
          <t>Cargo</t>
        </is>
      </c>
      <c r="I187">
        <f>_xlfn.NUMBERVALUE(A187)</f>
        <v/>
      </c>
    </row>
    <row r="188">
      <c r="A188" s="2" t="n">
        <v>4978600</v>
      </c>
      <c r="C188" t="inlineStr">
        <is>
          <t>HA-2203-121</t>
        </is>
      </c>
      <c r="D188" t="inlineStr">
        <is>
          <t>PR-2203-296</t>
        </is>
      </c>
      <c r="E188" t="inlineStr">
        <is>
          <t>HUPAC</t>
        </is>
      </c>
      <c r="F188" t="inlineStr">
        <is>
          <t>Cargo</t>
        </is>
      </c>
      <c r="I188">
        <f>_xlfn.NUMBERVALUE(A188)</f>
        <v/>
      </c>
    </row>
    <row r="189">
      <c r="A189" s="2" t="n">
        <v>4978651</v>
      </c>
      <c r="C189" t="inlineStr">
        <is>
          <t>HA-2203-113</t>
        </is>
      </c>
      <c r="D189" t="inlineStr">
        <is>
          <t>PR-2203-318</t>
        </is>
      </c>
      <c r="E189" t="inlineStr">
        <is>
          <t>HUPAC</t>
        </is>
      </c>
      <c r="F189" t="inlineStr">
        <is>
          <t>Cargo</t>
        </is>
      </c>
      <c r="I189">
        <f>_xlfn.NUMBERVALUE(A189)</f>
        <v/>
      </c>
    </row>
    <row r="190">
      <c r="A190" s="2" t="n">
        <v>4978798</v>
      </c>
      <c r="C190" t="inlineStr">
        <is>
          <t>HA-2203-117</t>
        </is>
      </c>
      <c r="D190" t="inlineStr">
        <is>
          <t>PR2203-207</t>
        </is>
      </c>
      <c r="E190" t="inlineStr">
        <is>
          <t>HUPAC</t>
        </is>
      </c>
      <c r="F190" t="inlineStr">
        <is>
          <t>Cargo</t>
        </is>
      </c>
      <c r="I190">
        <f>_xlfn.NUMBERVALUE(A190)</f>
        <v/>
      </c>
    </row>
    <row r="191">
      <c r="A191" s="2" t="n">
        <v>4978750</v>
      </c>
      <c r="C191" t="inlineStr">
        <is>
          <t>HA-2203-119</t>
        </is>
      </c>
      <c r="D191" t="inlineStr">
        <is>
          <t>PR-2203-279</t>
        </is>
      </c>
      <c r="E191" t="inlineStr">
        <is>
          <t>HUPAC</t>
        </is>
      </c>
      <c r="F191" t="inlineStr">
        <is>
          <t>Cargo</t>
        </is>
      </c>
      <c r="I191">
        <f>_xlfn.NUMBERVALUE(A191)</f>
        <v/>
      </c>
    </row>
    <row r="192">
      <c r="A192" s="2" t="n">
        <v>4978586</v>
      </c>
      <c r="C192" t="inlineStr">
        <is>
          <t>HA-2203-123</t>
        </is>
      </c>
      <c r="D192" t="inlineStr">
        <is>
          <t>PR-2203-301</t>
        </is>
      </c>
      <c r="E192" t="inlineStr">
        <is>
          <t>HUPAC</t>
        </is>
      </c>
      <c r="F192" t="inlineStr">
        <is>
          <t>Cargo</t>
        </is>
      </c>
      <c r="I192">
        <f>_xlfn.NUMBERVALUE(A192)</f>
        <v/>
      </c>
    </row>
    <row r="193">
      <c r="A193" s="2" t="n">
        <v>4978745</v>
      </c>
      <c r="C193" t="inlineStr">
        <is>
          <t>HA-2203-133</t>
        </is>
      </c>
      <c r="D193" t="inlineStr">
        <is>
          <t>PR-2203-308</t>
        </is>
      </c>
      <c r="E193" t="inlineStr">
        <is>
          <t>HUPAC</t>
        </is>
      </c>
      <c r="F193" t="inlineStr">
        <is>
          <t>Cargo</t>
        </is>
      </c>
      <c r="I193">
        <f>_xlfn.NUMBERVALUE(A193)</f>
        <v/>
      </c>
    </row>
    <row r="194">
      <c r="A194" s="2" t="n">
        <v>4978786</v>
      </c>
      <c r="C194" t="inlineStr">
        <is>
          <t>HA-2203-129</t>
        </is>
      </c>
      <c r="D194" t="inlineStr">
        <is>
          <t>PR-2203-314</t>
        </is>
      </c>
      <c r="E194" t="inlineStr">
        <is>
          <t>HUPAC</t>
        </is>
      </c>
      <c r="F194" t="inlineStr">
        <is>
          <t>Cargo</t>
        </is>
      </c>
      <c r="I194">
        <f>_xlfn.NUMBERVALUE(A194)</f>
        <v/>
      </c>
    </row>
    <row r="195">
      <c r="A195" s="2" t="n">
        <v>4978812</v>
      </c>
      <c r="C195" t="inlineStr">
        <is>
          <t>HA-2203-143</t>
        </is>
      </c>
      <c r="D195" t="inlineStr">
        <is>
          <t>PR-2203-356</t>
        </is>
      </c>
      <c r="E195" t="inlineStr">
        <is>
          <t>HUPAC</t>
        </is>
      </c>
      <c r="F195" t="inlineStr">
        <is>
          <t>Cargo</t>
        </is>
      </c>
      <c r="I195">
        <f>_xlfn.NUMBERVALUE(A195)</f>
        <v/>
      </c>
    </row>
    <row r="196">
      <c r="A196" s="2" t="n">
        <v>4978576</v>
      </c>
      <c r="C196" t="inlineStr">
        <is>
          <t>HA-2203-141</t>
        </is>
      </c>
      <c r="D196" t="inlineStr">
        <is>
          <t>PR-2203-319</t>
        </is>
      </c>
      <c r="E196" t="inlineStr">
        <is>
          <t>HUPAC</t>
        </is>
      </c>
      <c r="F196" t="inlineStr">
        <is>
          <t>Cargo</t>
        </is>
      </c>
      <c r="I196">
        <f>_xlfn.NUMBERVALUE(A196)</f>
        <v/>
      </c>
    </row>
    <row r="197">
      <c r="A197" s="2" t="n">
        <v>4978522</v>
      </c>
      <c r="C197" t="inlineStr">
        <is>
          <t>HA-2203-135</t>
        </is>
      </c>
      <c r="D197" t="inlineStr">
        <is>
          <t>PR-2203-330</t>
        </is>
      </c>
      <c r="E197" t="inlineStr">
        <is>
          <t>HUPAC</t>
        </is>
      </c>
      <c r="F197" t="inlineStr">
        <is>
          <t>Cargo</t>
        </is>
      </c>
      <c r="I197">
        <f>_xlfn.NUMBERVALUE(A197)</f>
        <v/>
      </c>
    </row>
    <row r="198">
      <c r="A198" s="2" t="n">
        <v>4978717</v>
      </c>
      <c r="C198" t="inlineStr">
        <is>
          <t>HA-2203-99</t>
        </is>
      </c>
      <c r="D198" t="inlineStr">
        <is>
          <t>PR-2203-303</t>
        </is>
      </c>
      <c r="E198" t="inlineStr">
        <is>
          <t>HUPAC</t>
        </is>
      </c>
      <c r="F198" t="inlineStr">
        <is>
          <t>Cargo</t>
        </is>
      </c>
      <c r="I198">
        <f>_xlfn.NUMBERVALUE(A198)</f>
        <v/>
      </c>
    </row>
    <row r="199">
      <c r="A199" s="2" t="n">
        <v>4978866</v>
      </c>
      <c r="C199" t="inlineStr">
        <is>
          <t>HA-2203-77</t>
        </is>
      </c>
      <c r="D199" t="inlineStr">
        <is>
          <t>PR-2203-288</t>
        </is>
      </c>
      <c r="E199" t="inlineStr">
        <is>
          <t>HUPAC</t>
        </is>
      </c>
      <c r="F199" t="inlineStr">
        <is>
          <t>Cargo</t>
        </is>
      </c>
      <c r="I199">
        <f>_xlfn.NUMBERVALUE(A199)</f>
        <v/>
      </c>
    </row>
    <row r="200">
      <c r="A200" s="2" t="n">
        <v>4978542</v>
      </c>
      <c r="C200" t="inlineStr">
        <is>
          <t>HA-2203-101</t>
        </is>
      </c>
      <c r="D200" t="inlineStr">
        <is>
          <t>PR-2203-329</t>
        </is>
      </c>
      <c r="E200" t="inlineStr">
        <is>
          <t>HUPAC</t>
        </is>
      </c>
      <c r="F200" t="inlineStr">
        <is>
          <t>Cargo</t>
        </is>
      </c>
      <c r="I200">
        <f>_xlfn.NUMBERVALUE(A200)</f>
        <v/>
      </c>
    </row>
    <row r="201">
      <c r="A201" s="2" t="n">
        <v>4978785</v>
      </c>
      <c r="C201" t="inlineStr">
        <is>
          <t>HA-2203-91</t>
        </is>
      </c>
      <c r="D201" t="inlineStr">
        <is>
          <t>PR-2203-327</t>
        </is>
      </c>
      <c r="E201" t="inlineStr">
        <is>
          <t>HUPAC</t>
        </is>
      </c>
      <c r="F201" t="inlineStr">
        <is>
          <t>Cargo</t>
        </is>
      </c>
      <c r="I201">
        <f>_xlfn.NUMBERVALUE(A201)</f>
        <v/>
      </c>
    </row>
    <row r="202">
      <c r="A202" s="2" t="n">
        <v>4978865</v>
      </c>
      <c r="C202" t="inlineStr">
        <is>
          <t>HA-2203-138</t>
        </is>
      </c>
      <c r="D202" t="inlineStr">
        <is>
          <t>PR-2203-297</t>
        </is>
      </c>
      <c r="E202" t="inlineStr">
        <is>
          <t>HUPAC</t>
        </is>
      </c>
      <c r="F202" t="inlineStr">
        <is>
          <t>Cargo</t>
        </is>
      </c>
      <c r="I202">
        <f>_xlfn.NUMBERVALUE(A202)</f>
        <v/>
      </c>
    </row>
    <row r="203">
      <c r="A203" s="2" t="n">
        <v>4978781</v>
      </c>
      <c r="C203" t="inlineStr">
        <is>
          <t>HA-2203-83</t>
        </is>
      </c>
      <c r="D203" t="inlineStr">
        <is>
          <t>PR-2203-360</t>
        </is>
      </c>
      <c r="E203" t="inlineStr">
        <is>
          <t>HUPAC</t>
        </is>
      </c>
      <c r="F203" t="inlineStr">
        <is>
          <t>Cargo</t>
        </is>
      </c>
      <c r="I203">
        <f>_xlfn.NUMBERVALUE(A203)</f>
        <v/>
      </c>
    </row>
    <row r="204">
      <c r="A204" s="2" t="n">
        <v>4978626</v>
      </c>
      <c r="C204" t="inlineStr">
        <is>
          <t>HA-2203-160</t>
        </is>
      </c>
      <c r="D204" t="inlineStr">
        <is>
          <t>PR-2203-269</t>
        </is>
      </c>
      <c r="E204" t="inlineStr">
        <is>
          <t>HUPAC</t>
        </is>
      </c>
      <c r="F204" t="inlineStr">
        <is>
          <t>Cargo</t>
        </is>
      </c>
      <c r="I204">
        <f>_xlfn.NUMBERVALUE(A204)</f>
        <v/>
      </c>
    </row>
    <row r="205">
      <c r="A205" s="2" t="n">
        <v>4978794</v>
      </c>
      <c r="C205" t="inlineStr">
        <is>
          <t>HA-2203-145</t>
        </is>
      </c>
      <c r="D205" t="inlineStr">
        <is>
          <t>PR-2203-321</t>
        </is>
      </c>
      <c r="E205" t="inlineStr">
        <is>
          <t>HUPAC</t>
        </is>
      </c>
      <c r="F205" t="inlineStr">
        <is>
          <t>Cargo</t>
        </is>
      </c>
      <c r="I205">
        <f>_xlfn.NUMBERVALUE(A205)</f>
        <v/>
      </c>
    </row>
    <row r="206">
      <c r="A206" s="2" t="n">
        <v>4978581</v>
      </c>
      <c r="C206" t="inlineStr">
        <is>
          <t>HA-2203-93</t>
        </is>
      </c>
      <c r="D206" t="inlineStr">
        <is>
          <t>PR-2203-336</t>
        </is>
      </c>
      <c r="E206" t="inlineStr">
        <is>
          <t>HUPAC</t>
        </is>
      </c>
      <c r="F206" t="inlineStr">
        <is>
          <t>Cargo</t>
        </is>
      </c>
      <c r="I206">
        <f>_xlfn.NUMBERVALUE(A206)</f>
        <v/>
      </c>
    </row>
    <row r="207">
      <c r="A207" s="2" t="n">
        <v>4978892</v>
      </c>
      <c r="C207" t="inlineStr">
        <is>
          <t>HA-2203-156</t>
        </is>
      </c>
      <c r="D207" t="inlineStr">
        <is>
          <t>PR-2203-XXX</t>
        </is>
      </c>
      <c r="E207" t="inlineStr">
        <is>
          <t>HUPAC</t>
        </is>
      </c>
      <c r="F207" t="inlineStr">
        <is>
          <t>Cargo</t>
        </is>
      </c>
      <c r="I207">
        <f>_xlfn.NUMBERVALUE(A207)</f>
        <v/>
      </c>
    </row>
    <row r="208">
      <c r="A208" s="2" t="n">
        <v>4978574</v>
      </c>
      <c r="C208" t="inlineStr">
        <is>
          <t>HA-2203-139</t>
        </is>
      </c>
      <c r="D208" t="inlineStr">
        <is>
          <t>PR-2203-342</t>
        </is>
      </c>
      <c r="E208" t="inlineStr">
        <is>
          <t>HUPAC</t>
        </is>
      </c>
      <c r="F208" t="inlineStr">
        <is>
          <t>Cargo</t>
        </is>
      </c>
      <c r="I208">
        <f>_xlfn.NUMBERVALUE(A208)</f>
        <v/>
      </c>
    </row>
    <row r="209">
      <c r="A209" s="2" t="n">
        <v>4978744</v>
      </c>
      <c r="C209" t="inlineStr">
        <is>
          <t>HA-2203-137</t>
        </is>
      </c>
      <c r="D209" s="7" t="inlineStr">
        <is>
          <t>PR-2203-306</t>
        </is>
      </c>
      <c r="E209" t="inlineStr">
        <is>
          <t>HUPAC</t>
        </is>
      </c>
      <c r="F209" t="inlineStr">
        <is>
          <t>Cargo</t>
        </is>
      </c>
      <c r="G209" t="inlineStr">
        <is>
          <t>duplicate</t>
        </is>
      </c>
      <c r="I209">
        <f>_xlfn.NUMBERVALUE(A209)</f>
        <v/>
      </c>
    </row>
    <row r="210">
      <c r="A210" s="2" t="n">
        <v>4978870</v>
      </c>
      <c r="C210" t="inlineStr">
        <is>
          <t>HA-2203-125</t>
        </is>
      </c>
      <c r="D210" t="inlineStr">
        <is>
          <t>PR-2203-317</t>
        </is>
      </c>
      <c r="E210" t="inlineStr">
        <is>
          <t>HUPAC</t>
        </is>
      </c>
      <c r="F210" t="inlineStr">
        <is>
          <t>Cargo</t>
        </is>
      </c>
      <c r="I210">
        <f>_xlfn.NUMBERVALUE(A210)</f>
        <v/>
      </c>
    </row>
    <row r="211">
      <c r="A211" s="2" t="n">
        <v>4978912</v>
      </c>
      <c r="C211" t="inlineStr">
        <is>
          <t>HA-2203-105</t>
        </is>
      </c>
      <c r="D211" t="inlineStr">
        <is>
          <t>PR-2203-340</t>
        </is>
      </c>
      <c r="E211" t="inlineStr">
        <is>
          <t>HUPAC</t>
        </is>
      </c>
      <c r="F211" t="inlineStr">
        <is>
          <t>Cargo</t>
        </is>
      </c>
      <c r="I211">
        <f>_xlfn.NUMBERVALUE(A211)</f>
        <v/>
      </c>
    </row>
    <row r="212">
      <c r="A212" s="2" t="n">
        <v>4978873</v>
      </c>
      <c r="C212" t="inlineStr">
        <is>
          <t>HA-2203-246</t>
        </is>
      </c>
      <c r="D212" t="inlineStr">
        <is>
          <t>PR2203-333</t>
        </is>
      </c>
      <c r="E212" t="inlineStr">
        <is>
          <t>HUPAC</t>
        </is>
      </c>
      <c r="F212" t="inlineStr">
        <is>
          <t>Cargo</t>
        </is>
      </c>
      <c r="I212">
        <f>_xlfn.NUMBERVALUE(A212)</f>
        <v/>
      </c>
    </row>
    <row r="213">
      <c r="A213" s="2" t="n">
        <v>4978849</v>
      </c>
      <c r="C213" t="inlineStr">
        <is>
          <t>HA-2203-180</t>
        </is>
      </c>
      <c r="D213" t="inlineStr">
        <is>
          <t>PR-2203-290</t>
        </is>
      </c>
      <c r="E213" t="inlineStr">
        <is>
          <t>HUPAC</t>
        </is>
      </c>
      <c r="F213" t="inlineStr">
        <is>
          <t>Cargo</t>
        </is>
      </c>
      <c r="I213">
        <f>_xlfn.NUMBERVALUE(A213)</f>
        <v/>
      </c>
    </row>
    <row r="214">
      <c r="A214" s="2" t="n">
        <v>4978783</v>
      </c>
      <c r="C214" t="inlineStr">
        <is>
          <t>Tadiran</t>
        </is>
      </c>
      <c r="D214" t="inlineStr">
        <is>
          <t>LINK-PR2201-010</t>
        </is>
      </c>
      <c r="E214" t="inlineStr">
        <is>
          <t>LTG</t>
        </is>
      </c>
      <c r="F214" t="inlineStr">
        <is>
          <t>Link</t>
        </is>
      </c>
      <c r="I214">
        <f>_xlfn.NUMBERVALUE(A214)</f>
        <v/>
      </c>
    </row>
    <row r="215">
      <c r="A215" s="2" t="n">
        <v>4978720</v>
      </c>
      <c r="C215" t="inlineStr">
        <is>
          <t>Tadiran</t>
        </is>
      </c>
      <c r="D215" t="inlineStr">
        <is>
          <t>LINK-PR2201-006</t>
        </is>
      </c>
      <c r="E215" t="inlineStr">
        <is>
          <t>LTG</t>
        </is>
      </c>
      <c r="F215" t="inlineStr">
        <is>
          <t>Link</t>
        </is>
      </c>
      <c r="I215">
        <f>_xlfn.NUMBERVALUE(A215)</f>
        <v/>
      </c>
    </row>
    <row r="216">
      <c r="A216" s="2" t="n">
        <v>4978771</v>
      </c>
      <c r="C216" t="inlineStr">
        <is>
          <t>Tadiran</t>
        </is>
      </c>
      <c r="D216" t="inlineStr">
        <is>
          <t>LINK-PR2201-007</t>
        </is>
      </c>
      <c r="E216" t="inlineStr">
        <is>
          <t>LTG</t>
        </is>
      </c>
      <c r="F216" t="inlineStr">
        <is>
          <t>Link</t>
        </is>
      </c>
      <c r="I216">
        <f>_xlfn.NUMBERVALUE(A216)</f>
        <v/>
      </c>
    </row>
    <row r="217">
      <c r="A217" s="2" t="n">
        <v>4978780</v>
      </c>
      <c r="C217" t="inlineStr">
        <is>
          <t>Tadiran</t>
        </is>
      </c>
      <c r="D217" t="inlineStr">
        <is>
          <t>LINK-PR2201-009</t>
        </is>
      </c>
      <c r="E217" t="inlineStr">
        <is>
          <t>LTG</t>
        </is>
      </c>
      <c r="F217" t="inlineStr">
        <is>
          <t>Link</t>
        </is>
      </c>
      <c r="I217">
        <f>_xlfn.NUMBERVALUE(A217)</f>
        <v/>
      </c>
    </row>
    <row r="218">
      <c r="A218" s="2" t="n">
        <v>4978804</v>
      </c>
      <c r="C218" t="inlineStr">
        <is>
          <t>Tadiran</t>
        </is>
      </c>
      <c r="D218" t="inlineStr">
        <is>
          <t>LINK-PR2201-003</t>
        </is>
      </c>
      <c r="E218" t="inlineStr">
        <is>
          <t>LTG</t>
        </is>
      </c>
      <c r="F218" t="inlineStr">
        <is>
          <t>Link</t>
        </is>
      </c>
      <c r="I218">
        <f>_xlfn.NUMBERVALUE(A218)</f>
        <v/>
      </c>
    </row>
    <row r="219">
      <c r="A219" s="2" t="n">
        <v>4978726</v>
      </c>
      <c r="C219" t="inlineStr">
        <is>
          <t>Tadiran</t>
        </is>
      </c>
      <c r="D219" t="inlineStr">
        <is>
          <t>LINK-PR2201-002</t>
        </is>
      </c>
      <c r="E219" t="inlineStr">
        <is>
          <t>LTG</t>
        </is>
      </c>
      <c r="F219" t="inlineStr">
        <is>
          <t>Link</t>
        </is>
      </c>
      <c r="I219">
        <f>_xlfn.NUMBERVALUE(A219)</f>
        <v/>
      </c>
    </row>
    <row r="220">
      <c r="A220" s="2" t="n">
        <v>4978805</v>
      </c>
      <c r="C220" t="inlineStr">
        <is>
          <t>Tadiran</t>
        </is>
      </c>
      <c r="D220" t="inlineStr">
        <is>
          <t>LINK-PR2201-001</t>
        </is>
      </c>
      <c r="E220" t="inlineStr">
        <is>
          <t>LTG</t>
        </is>
      </c>
      <c r="F220" t="inlineStr">
        <is>
          <t>Link</t>
        </is>
      </c>
      <c r="I220">
        <f>_xlfn.NUMBERVALUE(A220)</f>
        <v/>
      </c>
    </row>
    <row r="221">
      <c r="A221" s="2" t="n">
        <v>4978875</v>
      </c>
      <c r="C221" t="inlineStr">
        <is>
          <t>HA-2203-436</t>
        </is>
      </c>
      <c r="D221" t="inlineStr">
        <is>
          <t>PR-2203-176</t>
        </is>
      </c>
      <c r="E221" t="inlineStr">
        <is>
          <t>HUPAC</t>
        </is>
      </c>
      <c r="F221" t="inlineStr">
        <is>
          <t>Cargo</t>
        </is>
      </c>
      <c r="G221" t="inlineStr">
        <is>
          <t>warranty replacement</t>
        </is>
      </c>
      <c r="I221">
        <f>_xlfn.NUMBERVALUE(A221)</f>
        <v/>
      </c>
    </row>
    <row r="222">
      <c r="A222" s="2" t="n">
        <v>4978593</v>
      </c>
      <c r="C222" t="inlineStr">
        <is>
          <t>SS-PR2203-349</t>
        </is>
      </c>
      <c r="D222" t="inlineStr">
        <is>
          <t>PR-2203-241</t>
        </is>
      </c>
      <c r="E222" t="inlineStr">
        <is>
          <t>HUPAC</t>
        </is>
      </c>
      <c r="F222" t="inlineStr">
        <is>
          <t>Cargo</t>
        </is>
      </c>
      <c r="G222" t="inlineStr">
        <is>
          <t>warranty replacement</t>
        </is>
      </c>
      <c r="I222">
        <f>_xlfn.NUMBERVALUE(A222)</f>
        <v/>
      </c>
    </row>
    <row r="223">
      <c r="A223" s="2" t="n">
        <v>4978580</v>
      </c>
      <c r="C223" t="inlineStr">
        <is>
          <t>SS-PR2203-295</t>
        </is>
      </c>
      <c r="D223" t="inlineStr">
        <is>
          <t>PR-2203-216</t>
        </is>
      </c>
      <c r="E223" t="inlineStr">
        <is>
          <t>HUPAC</t>
        </is>
      </c>
      <c r="F223" t="inlineStr">
        <is>
          <t>Cargo</t>
        </is>
      </c>
      <c r="G223" t="inlineStr">
        <is>
          <t>warranty replacement</t>
        </is>
      </c>
      <c r="I223">
        <f>_xlfn.NUMBERVALUE(A223)</f>
        <v/>
      </c>
    </row>
    <row r="224">
      <c r="A224" s="2" t="n">
        <v>4978822</v>
      </c>
      <c r="C224" t="inlineStr">
        <is>
          <t>SS-PR2203-303</t>
        </is>
      </c>
      <c r="D224" t="inlineStr">
        <is>
          <t>PR-2203-184</t>
        </is>
      </c>
      <c r="E224" t="inlineStr">
        <is>
          <t>HUPAC</t>
        </is>
      </c>
      <c r="F224" t="inlineStr">
        <is>
          <t>Cargo</t>
        </is>
      </c>
      <c r="G224" t="inlineStr">
        <is>
          <t>warranty replacement</t>
        </is>
      </c>
      <c r="I224">
        <f>_xlfn.NUMBERVALUE(A224)</f>
        <v/>
      </c>
    </row>
    <row r="225">
      <c r="A225" s="2" t="n">
        <v>4978525</v>
      </c>
      <c r="C225" t="inlineStr">
        <is>
          <t>SS-PR2203-309</t>
        </is>
      </c>
      <c r="D225" t="inlineStr">
        <is>
          <t>PR-2203-142</t>
        </is>
      </c>
      <c r="E225" t="inlineStr">
        <is>
          <t>HUPAC</t>
        </is>
      </c>
      <c r="F225" t="inlineStr">
        <is>
          <t>Cargo</t>
        </is>
      </c>
      <c r="G225" t="inlineStr">
        <is>
          <t>warranty replacement</t>
        </is>
      </c>
      <c r="I225">
        <f>_xlfn.NUMBERVALUE(A225)</f>
        <v/>
      </c>
    </row>
    <row r="226">
      <c r="A226" s="2" t="n">
        <v>4978764</v>
      </c>
      <c r="C226" t="inlineStr">
        <is>
          <t>SS-PR2203-311</t>
        </is>
      </c>
      <c r="D226" t="inlineStr">
        <is>
          <t>PR-2203-217</t>
        </is>
      </c>
      <c r="E226" t="inlineStr">
        <is>
          <t>HUPAC</t>
        </is>
      </c>
      <c r="F226" t="inlineStr">
        <is>
          <t>Cargo</t>
        </is>
      </c>
      <c r="G226" t="inlineStr">
        <is>
          <t>warranty replacement</t>
        </is>
      </c>
      <c r="I226">
        <f>_xlfn.NUMBERVALUE(A226)</f>
        <v/>
      </c>
    </row>
    <row r="227">
      <c r="A227" s="2" t="n">
        <v>4978594</v>
      </c>
      <c r="C227" t="inlineStr">
        <is>
          <t>SG-PR2203-428</t>
        </is>
      </c>
      <c r="D227" t="inlineStr">
        <is>
          <t>PR-2203-240</t>
        </is>
      </c>
      <c r="E227" t="inlineStr">
        <is>
          <t>HUPAC</t>
        </is>
      </c>
      <c r="F227" t="inlineStr">
        <is>
          <t>Cargo</t>
        </is>
      </c>
      <c r="G227" t="inlineStr">
        <is>
          <t>warranty replacement</t>
        </is>
      </c>
      <c r="I227">
        <f>_xlfn.NUMBERVALUE(A227)</f>
        <v/>
      </c>
    </row>
    <row r="228">
      <c r="A228" s="2" t="n">
        <v>4978652</v>
      </c>
      <c r="C228" t="inlineStr">
        <is>
          <t>SS-PR2203-345</t>
        </is>
      </c>
      <c r="D228" t="inlineStr">
        <is>
          <t>PR-2203-182</t>
        </is>
      </c>
      <c r="E228" t="inlineStr">
        <is>
          <t>HUPAC</t>
        </is>
      </c>
      <c r="F228" t="inlineStr">
        <is>
          <t>Cargo</t>
        </is>
      </c>
      <c r="G228" t="inlineStr">
        <is>
          <t>warranty replacement</t>
        </is>
      </c>
      <c r="I228">
        <f>_xlfn.NUMBERVALUE(A228)</f>
        <v/>
      </c>
    </row>
    <row r="229">
      <c r="A229" s="2" t="n">
        <v>4978587</v>
      </c>
      <c r="C229" t="inlineStr">
        <is>
          <t>SG-PR2203-402</t>
        </is>
      </c>
      <c r="D229" t="inlineStr">
        <is>
          <t>PR-2203-151</t>
        </is>
      </c>
      <c r="E229" t="inlineStr">
        <is>
          <t>HUPAC</t>
        </is>
      </c>
      <c r="F229" t="inlineStr">
        <is>
          <t>Cargo</t>
        </is>
      </c>
      <c r="G229" t="inlineStr">
        <is>
          <t>warranty replacement</t>
        </is>
      </c>
      <c r="I229">
        <f>_xlfn.NUMBERVALUE(A229)</f>
        <v/>
      </c>
    </row>
    <row r="230">
      <c r="A230" s="2" t="n">
        <v>4978904</v>
      </c>
      <c r="C230" t="inlineStr">
        <is>
          <t>HA-2203-460</t>
        </is>
      </c>
      <c r="D230" t="inlineStr">
        <is>
          <t>PR-2203-119</t>
        </is>
      </c>
      <c r="E230" t="inlineStr">
        <is>
          <t>HUPAC</t>
        </is>
      </c>
      <c r="F230" t="inlineStr">
        <is>
          <t>Cargo</t>
        </is>
      </c>
      <c r="G230" t="inlineStr">
        <is>
          <t>warranty replacement</t>
        </is>
      </c>
      <c r="I230">
        <f>_xlfn.NUMBERVALUE(A230)</f>
        <v/>
      </c>
    </row>
    <row r="231">
      <c r="A231" s="2" t="n">
        <v>4978545</v>
      </c>
      <c r="C231" t="inlineStr">
        <is>
          <t>HA-2203-432</t>
        </is>
      </c>
      <c r="D231" t="inlineStr">
        <is>
          <t>PR-2203-243</t>
        </is>
      </c>
      <c r="E231" t="inlineStr">
        <is>
          <t>EUROWAGON</t>
        </is>
      </c>
      <c r="F231" t="inlineStr">
        <is>
          <t>Cargo</t>
        </is>
      </c>
      <c r="I231">
        <f>_xlfn.NUMBERVALUE(A231)</f>
        <v/>
      </c>
    </row>
    <row r="232">
      <c r="A232" s="2" t="n">
        <v>4978766</v>
      </c>
      <c r="C232" t="inlineStr">
        <is>
          <t>HA-2203-462</t>
        </is>
      </c>
      <c r="D232" t="inlineStr">
        <is>
          <t>PR-2203-132</t>
        </is>
      </c>
      <c r="E232" t="inlineStr">
        <is>
          <t>EUROWAGON</t>
        </is>
      </c>
      <c r="F232" t="inlineStr">
        <is>
          <t>Cargo</t>
        </is>
      </c>
      <c r="I232">
        <f>_xlfn.NUMBERVALUE(A232)</f>
        <v/>
      </c>
    </row>
    <row r="233">
      <c r="A233" s="2" t="n">
        <v>4978818</v>
      </c>
      <c r="C233" t="inlineStr">
        <is>
          <t>HA-2203-289</t>
        </is>
      </c>
      <c r="D233" t="inlineStr">
        <is>
          <t>PR-2203-226</t>
        </is>
      </c>
      <c r="E233" t="inlineStr">
        <is>
          <t>EUROWAGON</t>
        </is>
      </c>
      <c r="F233" t="inlineStr">
        <is>
          <t>Cargo</t>
        </is>
      </c>
      <c r="I233">
        <f>_xlfn.NUMBERVALUE(A233)</f>
        <v/>
      </c>
    </row>
    <row r="234">
      <c r="A234" s="2" t="n">
        <v>4978589</v>
      </c>
      <c r="C234" t="inlineStr">
        <is>
          <t>HA-2203-434</t>
        </is>
      </c>
      <c r="D234" t="inlineStr">
        <is>
          <t>PR-2203-175</t>
        </is>
      </c>
      <c r="E234" t="inlineStr">
        <is>
          <t>EUROWAGON</t>
        </is>
      </c>
      <c r="F234" t="inlineStr">
        <is>
          <t>Cargo</t>
        </is>
      </c>
      <c r="I234">
        <f>_xlfn.NUMBERVALUE(A234)</f>
        <v/>
      </c>
    </row>
    <row r="235">
      <c r="A235" s="2" t="n">
        <v>4978657</v>
      </c>
      <c r="C235" t="inlineStr">
        <is>
          <t>HA-2203-291</t>
        </is>
      </c>
      <c r="D235" t="inlineStr">
        <is>
          <t>PR-2203-148</t>
        </is>
      </c>
      <c r="E235" t="inlineStr">
        <is>
          <t>EUROWAGON</t>
        </is>
      </c>
      <c r="F235" t="inlineStr">
        <is>
          <t>Cargo</t>
        </is>
      </c>
      <c r="I235">
        <f>_xlfn.NUMBERVALUE(A235)</f>
        <v/>
      </c>
    </row>
    <row r="236">
      <c r="A236" s="2" t="n">
        <v>4978609</v>
      </c>
      <c r="C236" t="inlineStr">
        <is>
          <t>HA-2203-464</t>
        </is>
      </c>
      <c r="D236" t="inlineStr">
        <is>
          <t>PR-2203-131</t>
        </is>
      </c>
      <c r="E236" t="inlineStr">
        <is>
          <t>EUROWAGON</t>
        </is>
      </c>
      <c r="F236" t="inlineStr">
        <is>
          <t>Cargo</t>
        </is>
      </c>
      <c r="I236">
        <f>_xlfn.NUMBERVALUE(A236)</f>
        <v/>
      </c>
    </row>
    <row r="237">
      <c r="A237" s="2" t="n">
        <v>4978906</v>
      </c>
      <c r="C237" t="inlineStr">
        <is>
          <t>HA-2203-364</t>
        </is>
      </c>
      <c r="D237" t="inlineStr">
        <is>
          <t>PR-2203-171</t>
        </is>
      </c>
      <c r="F237" t="inlineStr">
        <is>
          <t>Cargo</t>
        </is>
      </c>
      <c r="I237">
        <f>_xlfn.NUMBERVALUE(A237)</f>
        <v/>
      </c>
    </row>
    <row r="238">
      <c r="A238" s="2" t="n">
        <v>4978711</v>
      </c>
      <c r="C238" t="inlineStr">
        <is>
          <t>HA-2203-376</t>
        </is>
      </c>
      <c r="D238" t="inlineStr">
        <is>
          <t>PR-2203-183</t>
        </is>
      </c>
      <c r="E238" t="inlineStr">
        <is>
          <t>EUROWAGON</t>
        </is>
      </c>
      <c r="F238" t="inlineStr">
        <is>
          <t>Cargo</t>
        </is>
      </c>
      <c r="I238">
        <f>_xlfn.NUMBERVALUE(A238)</f>
        <v/>
      </c>
    </row>
    <row r="239">
      <c r="A239" s="2" t="n">
        <v>4978521</v>
      </c>
      <c r="C239" t="inlineStr">
        <is>
          <t>HA-2203-458</t>
        </is>
      </c>
      <c r="D239" t="inlineStr">
        <is>
          <t>PR-2203-160</t>
        </is>
      </c>
      <c r="E239" t="inlineStr">
        <is>
          <t>Viezo</t>
        </is>
      </c>
      <c r="F239" t="inlineStr">
        <is>
          <t>Cargo</t>
        </is>
      </c>
      <c r="G239" t="inlineStr">
        <is>
          <t>dead</t>
        </is>
      </c>
      <c r="I239">
        <f>_xlfn.NUMBERVALUE(A239)</f>
        <v/>
      </c>
    </row>
    <row r="240">
      <c r="A240" s="2" t="n">
        <v>4978569</v>
      </c>
      <c r="C240" t="inlineStr">
        <is>
          <t>HA-2203-371</t>
        </is>
      </c>
      <c r="D240" t="inlineStr">
        <is>
          <t>PR-2203-435</t>
        </is>
      </c>
      <c r="E240" t="inlineStr">
        <is>
          <t>HVLE</t>
        </is>
      </c>
      <c r="F240" t="inlineStr">
        <is>
          <t>Cargo</t>
        </is>
      </c>
      <c r="G240" t="inlineStr">
        <is>
          <t>warranty replacement</t>
        </is>
      </c>
      <c r="I240">
        <f>_xlfn.NUMBERVALUE(A240)</f>
        <v/>
      </c>
    </row>
    <row r="241">
      <c r="A241" s="2" t="n">
        <v>4978613</v>
      </c>
      <c r="C241" t="inlineStr">
        <is>
          <t>HA-2203-331</t>
        </is>
      </c>
      <c r="D241" t="inlineStr">
        <is>
          <t>PR-2203-440</t>
        </is>
      </c>
      <c r="E241" t="inlineStr">
        <is>
          <t>HVLE</t>
        </is>
      </c>
      <c r="F241" t="inlineStr">
        <is>
          <t>Cargo</t>
        </is>
      </c>
      <c r="G241" t="inlineStr">
        <is>
          <t>warranty replacement</t>
        </is>
      </c>
      <c r="I241">
        <f>_xlfn.NUMBERVALUE(A241)</f>
        <v/>
      </c>
    </row>
    <row r="242">
      <c r="A242" s="2" t="n">
        <v>4978603</v>
      </c>
      <c r="C242" t="inlineStr">
        <is>
          <t>HA-2203-461</t>
        </is>
      </c>
      <c r="D242" t="inlineStr">
        <is>
          <t>PR-2203-433</t>
        </is>
      </c>
      <c r="E242" t="inlineStr">
        <is>
          <t>HVLE</t>
        </is>
      </c>
      <c r="F242" t="inlineStr">
        <is>
          <t>Cargo</t>
        </is>
      </c>
      <c r="G242" t="inlineStr">
        <is>
          <t>warranty replacement</t>
        </is>
      </c>
      <c r="I242">
        <f>_xlfn.NUMBERVALUE(A242)</f>
        <v/>
      </c>
    </row>
    <row r="243">
      <c r="A243" s="2" t="n">
        <v>4978827</v>
      </c>
      <c r="C243" t="inlineStr">
        <is>
          <t>HA-2203-395</t>
        </is>
      </c>
      <c r="D243" t="inlineStr">
        <is>
          <t>PR-2203-162</t>
        </is>
      </c>
      <c r="E243" t="inlineStr">
        <is>
          <t>HVLE</t>
        </is>
      </c>
      <c r="F243" t="inlineStr">
        <is>
          <t>Cargo</t>
        </is>
      </c>
      <c r="G243" t="inlineStr">
        <is>
          <t>warranty replacement</t>
        </is>
      </c>
      <c r="I243">
        <f>_xlfn.NUMBERVALUE(A243)</f>
        <v/>
      </c>
    </row>
    <row r="244">
      <c r="A244" s="2" t="n">
        <v>4978570</v>
      </c>
      <c r="C244" t="inlineStr">
        <is>
          <t>HA-2203-449</t>
        </is>
      </c>
      <c r="D244" t="inlineStr">
        <is>
          <t>PR-2203-137</t>
        </is>
      </c>
      <c r="E244" t="inlineStr">
        <is>
          <t>HVLE</t>
        </is>
      </c>
      <c r="F244" t="inlineStr">
        <is>
          <t>Cargo</t>
        </is>
      </c>
      <c r="G244" t="inlineStr">
        <is>
          <t>warranty replacement</t>
        </is>
      </c>
      <c r="I244">
        <f>_xlfn.NUMBERVALUE(A244)</f>
        <v/>
      </c>
    </row>
    <row r="245">
      <c r="A245" s="2" t="n">
        <v>4978533</v>
      </c>
      <c r="C245" t="inlineStr">
        <is>
          <t>HA-2203-323</t>
        </is>
      </c>
      <c r="D245" t="inlineStr">
        <is>
          <t>PR-2203-153</t>
        </is>
      </c>
      <c r="E245" t="inlineStr">
        <is>
          <t>HVLE</t>
        </is>
      </c>
      <c r="F245" t="inlineStr">
        <is>
          <t>Cargo</t>
        </is>
      </c>
      <c r="G245" t="inlineStr">
        <is>
          <t>warranty replacement</t>
        </is>
      </c>
      <c r="I245">
        <f>_xlfn.NUMBERVALUE(A245)</f>
        <v/>
      </c>
    </row>
    <row r="246">
      <c r="A246" s="2" t="n">
        <v>4978529</v>
      </c>
      <c r="C246" t="inlineStr">
        <is>
          <t>HA-2203-437</t>
        </is>
      </c>
      <c r="D246" t="inlineStr">
        <is>
          <t>PR-2203-427</t>
        </is>
      </c>
      <c r="E246" t="inlineStr">
        <is>
          <t>HVLE</t>
        </is>
      </c>
      <c r="F246" t="inlineStr">
        <is>
          <t>Cargo</t>
        </is>
      </c>
      <c r="G246" t="inlineStr">
        <is>
          <t>warranty replacement</t>
        </is>
      </c>
      <c r="I246">
        <f>_xlfn.NUMBERVALUE(A246)</f>
        <v/>
      </c>
    </row>
    <row r="247">
      <c r="A247" s="2" t="n">
        <v>4978675</v>
      </c>
      <c r="C247" t="inlineStr">
        <is>
          <t>HA-2203-419</t>
        </is>
      </c>
      <c r="D247" t="inlineStr">
        <is>
          <t>PR-2203-475</t>
        </is>
      </c>
      <c r="E247" t="inlineStr">
        <is>
          <t>HVLE</t>
        </is>
      </c>
      <c r="F247" t="inlineStr">
        <is>
          <t>Cargo</t>
        </is>
      </c>
      <c r="G247" t="inlineStr">
        <is>
          <t>warranty replacement</t>
        </is>
      </c>
      <c r="I247">
        <f>_xlfn.NUMBERVALUE(A247)</f>
        <v/>
      </c>
    </row>
    <row r="248">
      <c r="A248" s="2" t="n">
        <v>4978519</v>
      </c>
      <c r="C248" t="inlineStr">
        <is>
          <t>HA-2203-463</t>
        </is>
      </c>
      <c r="D248" t="inlineStr">
        <is>
          <t>PR-2203-157</t>
        </is>
      </c>
      <c r="E248" t="inlineStr">
        <is>
          <t>HVLE</t>
        </is>
      </c>
      <c r="F248" t="inlineStr">
        <is>
          <t>Cargo</t>
        </is>
      </c>
      <c r="G248" t="inlineStr">
        <is>
          <t>warranty replacement</t>
        </is>
      </c>
      <c r="I248">
        <f>_xlfn.NUMBERVALUE(A248)</f>
        <v/>
      </c>
    </row>
    <row r="249">
      <c r="A249" s="2" t="n">
        <v>4978575</v>
      </c>
      <c r="C249" t="inlineStr">
        <is>
          <t>HA-2203-421</t>
        </is>
      </c>
      <c r="D249" t="inlineStr">
        <is>
          <t>PR-2203-164</t>
        </is>
      </c>
      <c r="E249" t="inlineStr">
        <is>
          <t>HVLE</t>
        </is>
      </c>
      <c r="F249" t="inlineStr">
        <is>
          <t>Cargo</t>
        </is>
      </c>
      <c r="G249" t="inlineStr">
        <is>
          <t>warranty replacement</t>
        </is>
      </c>
      <c r="I249">
        <f>_xlfn.NUMBERVALUE(A249)</f>
        <v/>
      </c>
    </row>
    <row r="250">
      <c r="A250" s="2" t="n">
        <v>4978737</v>
      </c>
      <c r="C250" t="inlineStr">
        <is>
          <t>HA-2203-359</t>
        </is>
      </c>
      <c r="D250" t="inlineStr">
        <is>
          <t>PR-2203-180</t>
        </is>
      </c>
      <c r="E250" t="inlineStr">
        <is>
          <t>HVLE</t>
        </is>
      </c>
      <c r="F250" t="inlineStr">
        <is>
          <t>Cargo</t>
        </is>
      </c>
      <c r="G250" t="inlineStr">
        <is>
          <t>warranty replacement</t>
        </is>
      </c>
      <c r="I250">
        <f>_xlfn.NUMBERVALUE(A250)</f>
        <v/>
      </c>
    </row>
    <row r="251">
      <c r="A251" s="2" t="n">
        <v>4978524</v>
      </c>
      <c r="C251" t="inlineStr">
        <is>
          <t>HA-2203-403</t>
        </is>
      </c>
      <c r="D251" t="inlineStr">
        <is>
          <t>PR-2203-149</t>
        </is>
      </c>
      <c r="E251" t="inlineStr">
        <is>
          <t>HVLE</t>
        </is>
      </c>
      <c r="F251" t="inlineStr">
        <is>
          <t>Cargo</t>
        </is>
      </c>
      <c r="G251" t="inlineStr">
        <is>
          <t>warranty replacement</t>
        </is>
      </c>
      <c r="I251">
        <f>_xlfn.NUMBERVALUE(A251)</f>
        <v/>
      </c>
    </row>
    <row r="252">
      <c r="A252" s="2" t="n">
        <v>4978585</v>
      </c>
      <c r="C252" t="inlineStr">
        <is>
          <t>HA-2203-465</t>
        </is>
      </c>
      <c r="D252" t="inlineStr">
        <is>
          <t>PR-2203-116</t>
        </is>
      </c>
      <c r="E252" t="inlineStr">
        <is>
          <t>HVLE</t>
        </is>
      </c>
      <c r="F252" t="inlineStr">
        <is>
          <t>Cargo</t>
        </is>
      </c>
      <c r="G252" t="inlineStr">
        <is>
          <t>warranty replacement</t>
        </is>
      </c>
      <c r="I252">
        <f>_xlfn.NUMBERVALUE(A252)</f>
        <v/>
      </c>
    </row>
    <row r="253">
      <c r="A253" s="2" t="n">
        <v>4978655</v>
      </c>
      <c r="C253" t="inlineStr">
        <is>
          <t>HA-2203-335</t>
        </is>
      </c>
      <c r="D253" t="inlineStr">
        <is>
          <t>PR-2203-423</t>
        </is>
      </c>
      <c r="E253" t="inlineStr">
        <is>
          <t>HVLE</t>
        </is>
      </c>
      <c r="F253" t="inlineStr">
        <is>
          <t>Cargo</t>
        </is>
      </c>
      <c r="G253" t="inlineStr">
        <is>
          <t>warranty replacement</t>
        </is>
      </c>
      <c r="I253">
        <f>_xlfn.NUMBERVALUE(A253)</f>
        <v/>
      </c>
    </row>
    <row r="254">
      <c r="A254" s="2" t="n">
        <v>4978577</v>
      </c>
      <c r="C254" t="inlineStr">
        <is>
          <t>HA-2203-329</t>
        </is>
      </c>
      <c r="D254" t="inlineStr">
        <is>
          <t>PR-2203-192</t>
        </is>
      </c>
      <c r="E254" t="inlineStr">
        <is>
          <t>HVLE</t>
        </is>
      </c>
      <c r="F254" t="inlineStr">
        <is>
          <t>Cargo</t>
        </is>
      </c>
      <c r="G254" t="inlineStr">
        <is>
          <t>warranty replacement</t>
        </is>
      </c>
      <c r="I254">
        <f>_xlfn.NUMBERVALUE(A254)</f>
        <v/>
      </c>
    </row>
    <row r="255">
      <c r="A255" s="2" t="n">
        <v>4978526</v>
      </c>
      <c r="C255" t="inlineStr">
        <is>
          <t>HA-2203-343</t>
        </is>
      </c>
      <c r="D255" t="inlineStr">
        <is>
          <t>PR-2203-178</t>
        </is>
      </c>
      <c r="E255" t="inlineStr">
        <is>
          <t>HVLE</t>
        </is>
      </c>
      <c r="F255" t="inlineStr">
        <is>
          <t>Cargo</t>
        </is>
      </c>
      <c r="G255" t="inlineStr">
        <is>
          <t>warranty replacement</t>
        </is>
      </c>
      <c r="I255">
        <f>_xlfn.NUMBERVALUE(A255)</f>
        <v/>
      </c>
    </row>
    <row r="256">
      <c r="A256" s="2" t="n">
        <v>4978595</v>
      </c>
      <c r="C256" t="inlineStr">
        <is>
          <t>HA-2203-301</t>
        </is>
      </c>
      <c r="D256" t="inlineStr">
        <is>
          <t>PR-2203-166</t>
        </is>
      </c>
      <c r="E256" t="inlineStr">
        <is>
          <t>HVLE</t>
        </is>
      </c>
      <c r="F256" t="inlineStr">
        <is>
          <t>Cargo</t>
        </is>
      </c>
      <c r="G256" t="inlineStr">
        <is>
          <t>warranty replacement</t>
        </is>
      </c>
      <c r="I256">
        <f>_xlfn.NUMBERVALUE(A256)</f>
        <v/>
      </c>
    </row>
    <row r="257">
      <c r="A257" s="2" t="n">
        <v>4978677</v>
      </c>
      <c r="C257" t="inlineStr">
        <is>
          <t>HA-2203-439</t>
        </is>
      </c>
      <c r="D257" t="inlineStr">
        <is>
          <t>PR-2203-206</t>
        </is>
      </c>
      <c r="E257" t="inlineStr">
        <is>
          <t>HVLE</t>
        </is>
      </c>
      <c r="F257" t="inlineStr">
        <is>
          <t>Cargo</t>
        </is>
      </c>
      <c r="G257" t="inlineStr">
        <is>
          <t>warranty replacement</t>
        </is>
      </c>
      <c r="I257">
        <f>_xlfn.NUMBERVALUE(A257)</f>
        <v/>
      </c>
    </row>
    <row r="258">
      <c r="A258" s="2" t="n">
        <v>4978672</v>
      </c>
      <c r="C258" t="inlineStr">
        <is>
          <t>HA-2203-357</t>
        </is>
      </c>
      <c r="D258" t="inlineStr">
        <is>
          <t>PR-2203-448</t>
        </is>
      </c>
      <c r="E258" t="inlineStr">
        <is>
          <t>HVLE</t>
        </is>
      </c>
      <c r="F258" t="inlineStr">
        <is>
          <t>Cargo</t>
        </is>
      </c>
      <c r="G258" t="inlineStr">
        <is>
          <t>warranty replacement</t>
        </is>
      </c>
      <c r="I258">
        <f>_xlfn.NUMBERVALUE(A258)</f>
        <v/>
      </c>
    </row>
    <row r="259">
      <c r="A259" s="2" t="n">
        <v>4978832</v>
      </c>
      <c r="C259" t="inlineStr">
        <is>
          <t>HA-2203-453</t>
        </is>
      </c>
      <c r="D259" t="inlineStr">
        <is>
          <t>PR-2203-426</t>
        </is>
      </c>
      <c r="E259" t="inlineStr">
        <is>
          <t>HVLE</t>
        </is>
      </c>
      <c r="F259" t="inlineStr">
        <is>
          <t>Cargo</t>
        </is>
      </c>
      <c r="G259" t="inlineStr">
        <is>
          <t>warranty replacement</t>
        </is>
      </c>
      <c r="I259">
        <f>_xlfn.NUMBERVALUE(A259)</f>
        <v/>
      </c>
    </row>
    <row r="260">
      <c r="A260" s="2" t="n">
        <v>4978591</v>
      </c>
      <c r="C260" t="inlineStr">
        <is>
          <t>HA-2203-299</t>
        </is>
      </c>
      <c r="D260" t="inlineStr">
        <is>
          <t>PR-2203-190</t>
        </is>
      </c>
      <c r="E260" t="inlineStr">
        <is>
          <t>HVLE</t>
        </is>
      </c>
      <c r="F260" t="inlineStr">
        <is>
          <t>Cargo</t>
        </is>
      </c>
      <c r="G260" t="inlineStr">
        <is>
          <t>warranty replacement</t>
        </is>
      </c>
      <c r="I260">
        <f>_xlfn.NUMBERVALUE(A260)</f>
        <v/>
      </c>
    </row>
    <row r="261">
      <c r="A261" s="2" t="n">
        <v>4978612</v>
      </c>
      <c r="C261" t="inlineStr">
        <is>
          <t>HA-2203-423</t>
        </is>
      </c>
      <c r="D261" t="inlineStr">
        <is>
          <t>PR-2203-431</t>
        </is>
      </c>
      <c r="E261" t="inlineStr">
        <is>
          <t>HVLE</t>
        </is>
      </c>
      <c r="F261" t="inlineStr">
        <is>
          <t>Cargo</t>
        </is>
      </c>
      <c r="G261" t="inlineStr">
        <is>
          <t>warranty replacement</t>
        </is>
      </c>
      <c r="I261">
        <f>_xlfn.NUMBERVALUE(A261)</f>
        <v/>
      </c>
    </row>
    <row r="262">
      <c r="A262" s="2" t="n">
        <v>4978670</v>
      </c>
      <c r="C262" t="inlineStr">
        <is>
          <t>HA-2203-470</t>
        </is>
      </c>
      <c r="D262" t="inlineStr">
        <is>
          <t>PR-2203-212</t>
        </is>
      </c>
      <c r="E262" t="inlineStr">
        <is>
          <t>HVLE</t>
        </is>
      </c>
      <c r="F262" t="inlineStr">
        <is>
          <t>Cargo</t>
        </is>
      </c>
      <c r="G262" t="inlineStr">
        <is>
          <t>warranty replacement</t>
        </is>
      </c>
      <c r="I262">
        <f>_xlfn.NUMBERVALUE(A262)</f>
        <v/>
      </c>
    </row>
    <row r="263">
      <c r="A263" s="2" t="n">
        <v>4978590</v>
      </c>
      <c r="C263" t="inlineStr">
        <is>
          <t>HA-2203-399</t>
        </is>
      </c>
      <c r="D263" t="inlineStr">
        <is>
          <t>PR-2203-430</t>
        </is>
      </c>
      <c r="E263" t="inlineStr">
        <is>
          <t>HVLE</t>
        </is>
      </c>
      <c r="F263" t="inlineStr">
        <is>
          <t>Cargo</t>
        </is>
      </c>
      <c r="G263" t="inlineStr">
        <is>
          <t>warranty replacement</t>
        </is>
      </c>
      <c r="I263">
        <f>_xlfn.NUMBERVALUE(A263)</f>
        <v/>
      </c>
    </row>
    <row r="264">
      <c r="A264" s="2" t="n">
        <v>4978527</v>
      </c>
      <c r="C264" t="inlineStr">
        <is>
          <t>HA-2203-407</t>
        </is>
      </c>
      <c r="D264" t="inlineStr">
        <is>
          <t>PR-2203-478</t>
        </is>
      </c>
      <c r="E264" t="inlineStr">
        <is>
          <t>HVLE</t>
        </is>
      </c>
      <c r="F264" t="inlineStr">
        <is>
          <t>Cargo</t>
        </is>
      </c>
      <c r="G264" t="inlineStr">
        <is>
          <t>warranty replacement</t>
        </is>
      </c>
      <c r="I264">
        <f>_xlfn.NUMBERVALUE(A264)</f>
        <v/>
      </c>
    </row>
    <row r="265">
      <c r="A265" s="2" t="n">
        <v>4978648</v>
      </c>
      <c r="C265" t="inlineStr">
        <is>
          <t>HA-2203-313</t>
        </is>
      </c>
      <c r="D265" t="inlineStr">
        <is>
          <t>PR-2203-468</t>
        </is>
      </c>
      <c r="E265" t="inlineStr">
        <is>
          <t>HVLE</t>
        </is>
      </c>
      <c r="F265" t="inlineStr">
        <is>
          <t>Cargo</t>
        </is>
      </c>
      <c r="G265" t="inlineStr">
        <is>
          <t>warranty replacement</t>
        </is>
      </c>
      <c r="I265">
        <f>_xlfn.NUMBERVALUE(A265)</f>
        <v/>
      </c>
    </row>
    <row r="266">
      <c r="A266" s="2" t="n">
        <v>4978523</v>
      </c>
      <c r="C266" t="inlineStr">
        <is>
          <t>HA-2203-451</t>
        </is>
      </c>
      <c r="D266" t="inlineStr">
        <is>
          <t>PR2203-434</t>
        </is>
      </c>
      <c r="E266" t="inlineStr">
        <is>
          <t>HVLE</t>
        </is>
      </c>
      <c r="F266" t="inlineStr">
        <is>
          <t>Cargo</t>
        </is>
      </c>
      <c r="G266" t="inlineStr">
        <is>
          <t>warranty replacement</t>
        </is>
      </c>
      <c r="I266">
        <f>_xlfn.NUMBERVALUE(A266)</f>
        <v/>
      </c>
    </row>
    <row r="267">
      <c r="A267" s="2" t="n">
        <v>4978650</v>
      </c>
      <c r="C267" t="inlineStr">
        <is>
          <t>HA-2203-429</t>
        </is>
      </c>
      <c r="D267" t="inlineStr">
        <is>
          <t>PR-2203-146</t>
        </is>
      </c>
      <c r="E267" t="inlineStr">
        <is>
          <t>HVLE</t>
        </is>
      </c>
      <c r="F267" t="inlineStr">
        <is>
          <t>Cargo</t>
        </is>
      </c>
      <c r="G267" t="inlineStr">
        <is>
          <t>warranty replacement</t>
        </is>
      </c>
      <c r="I267">
        <f>_xlfn.NUMBERVALUE(A267)</f>
        <v/>
      </c>
    </row>
    <row r="268">
      <c r="A268" s="2" t="n">
        <v>4978616</v>
      </c>
      <c r="C268" t="inlineStr">
        <is>
          <t>HA-2203-469</t>
        </is>
      </c>
      <c r="D268" t="inlineStr">
        <is>
          <t>PR-2203-451</t>
        </is>
      </c>
      <c r="E268" t="inlineStr">
        <is>
          <t>HVLE</t>
        </is>
      </c>
      <c r="F268" t="inlineStr">
        <is>
          <t>Cargo</t>
        </is>
      </c>
      <c r="G268" t="inlineStr">
        <is>
          <t>warranty replacement</t>
        </is>
      </c>
      <c r="I268">
        <f>_xlfn.NUMBERVALUE(A268)</f>
        <v/>
      </c>
    </row>
    <row r="269">
      <c r="A269" s="2" t="n">
        <v>4978544</v>
      </c>
      <c r="C269" t="inlineStr">
        <is>
          <t>HA-2203-468</t>
        </is>
      </c>
      <c r="D269" t="inlineStr">
        <is>
          <t>PR-2203-466</t>
        </is>
      </c>
      <c r="E269" t="inlineStr">
        <is>
          <t>HVLE</t>
        </is>
      </c>
      <c r="F269" t="inlineStr">
        <is>
          <t>Cargo</t>
        </is>
      </c>
      <c r="G269" t="inlineStr">
        <is>
          <t>warranty replacement</t>
        </is>
      </c>
      <c r="I269">
        <f>_xlfn.NUMBERVALUE(A269)</f>
        <v/>
      </c>
    </row>
    <row r="270">
      <c r="A270" s="2" t="n">
        <v>4978518</v>
      </c>
      <c r="C270" t="inlineStr">
        <is>
          <t>HA-2203-457</t>
        </is>
      </c>
      <c r="D270" t="inlineStr">
        <is>
          <t>PR-2203-465</t>
        </is>
      </c>
      <c r="E270" t="inlineStr">
        <is>
          <t>HVLE</t>
        </is>
      </c>
      <c r="F270" t="inlineStr">
        <is>
          <t>Cargo</t>
        </is>
      </c>
      <c r="G270" t="inlineStr">
        <is>
          <t>warranty replacement</t>
        </is>
      </c>
      <c r="I270">
        <f>_xlfn.NUMBERVALUE(A270)</f>
        <v/>
      </c>
    </row>
    <row r="271">
      <c r="A271" s="2" t="n">
        <v>4978813</v>
      </c>
      <c r="C271" t="inlineStr">
        <is>
          <t>HA-2203-409</t>
        </is>
      </c>
      <c r="D271" t="inlineStr">
        <is>
          <t>PR-2203-437</t>
        </is>
      </c>
      <c r="E271" t="inlineStr">
        <is>
          <t>HVLE</t>
        </is>
      </c>
      <c r="F271" t="inlineStr">
        <is>
          <t>Cargo</t>
        </is>
      </c>
      <c r="G271" t="inlineStr">
        <is>
          <t>warranty replacement</t>
        </is>
      </c>
      <c r="I271">
        <f>_xlfn.NUMBERVALUE(A271)</f>
        <v/>
      </c>
    </row>
    <row r="272">
      <c r="A272" s="2" t="n">
        <v>4978811</v>
      </c>
      <c r="C272" t="inlineStr">
        <is>
          <t>HA-2203-413</t>
        </is>
      </c>
      <c r="D272" t="inlineStr">
        <is>
          <t>PR-2203-161</t>
        </is>
      </c>
      <c r="E272" t="inlineStr">
        <is>
          <t>HVLE</t>
        </is>
      </c>
      <c r="F272" t="inlineStr">
        <is>
          <t>Cargo</t>
        </is>
      </c>
      <c r="G272" t="inlineStr">
        <is>
          <t>warranty replacement</t>
        </is>
      </c>
      <c r="I272">
        <f>_xlfn.NUMBERVALUE(A272)</f>
        <v/>
      </c>
    </row>
    <row r="273">
      <c r="A273" s="2" t="n">
        <v>4978791</v>
      </c>
      <c r="C273" t="inlineStr">
        <is>
          <t>HA-2203-377</t>
        </is>
      </c>
      <c r="D273" t="inlineStr">
        <is>
          <t>PR-2203-173</t>
        </is>
      </c>
      <c r="E273" t="inlineStr">
        <is>
          <t>HVLE</t>
        </is>
      </c>
      <c r="F273" t="inlineStr">
        <is>
          <t>Cargo</t>
        </is>
      </c>
      <c r="G273" t="inlineStr">
        <is>
          <t>warranty replacement</t>
        </is>
      </c>
      <c r="I273">
        <f>_xlfn.NUMBERVALUE(A273)</f>
        <v/>
      </c>
    </row>
    <row r="274">
      <c r="A274" s="2" t="n">
        <v>4978520</v>
      </c>
      <c r="C274" t="inlineStr">
        <is>
          <t>HA-2203-435</t>
        </is>
      </c>
      <c r="D274" t="inlineStr">
        <is>
          <t>PR-2203-141</t>
        </is>
      </c>
      <c r="E274" t="inlineStr">
        <is>
          <t>HVLE</t>
        </is>
      </c>
      <c r="F274" t="inlineStr">
        <is>
          <t>Cargo</t>
        </is>
      </c>
      <c r="G274" t="inlineStr">
        <is>
          <t>warranty replacement</t>
        </is>
      </c>
      <c r="I274">
        <f>_xlfn.NUMBERVALUE(A274)</f>
        <v/>
      </c>
    </row>
    <row r="275">
      <c r="A275" s="2" t="n">
        <v>4978645</v>
      </c>
      <c r="C275" t="inlineStr">
        <is>
          <t>HA-2203-433</t>
        </is>
      </c>
      <c r="D275" t="inlineStr">
        <is>
          <t>PR-2203-189</t>
        </is>
      </c>
      <c r="E275" t="inlineStr">
        <is>
          <t>HVLE</t>
        </is>
      </c>
      <c r="F275" t="inlineStr">
        <is>
          <t>Cargo</t>
        </is>
      </c>
      <c r="G275" t="inlineStr">
        <is>
          <t>warranty replacement</t>
        </is>
      </c>
      <c r="I275">
        <f>_xlfn.NUMBERVALUE(A275)</f>
        <v/>
      </c>
    </row>
    <row r="276">
      <c r="A276" s="2" t="n">
        <v>4978821</v>
      </c>
      <c r="C276" t="inlineStr">
        <is>
          <t>HA-2203-431</t>
        </is>
      </c>
      <c r="D276" t="inlineStr">
        <is>
          <t>PR-2203-204</t>
        </is>
      </c>
      <c r="E276" t="inlineStr">
        <is>
          <t>HVLE</t>
        </is>
      </c>
      <c r="F276" t="inlineStr">
        <is>
          <t>Cargo</t>
        </is>
      </c>
      <c r="G276" t="inlineStr">
        <is>
          <t>warranty replacement</t>
        </is>
      </c>
      <c r="I276">
        <f>_xlfn.NUMBERVALUE(A276)</f>
        <v/>
      </c>
    </row>
    <row r="277">
      <c r="A277" s="2" t="n">
        <v>4978495</v>
      </c>
      <c r="C277" t="inlineStr">
        <is>
          <t>HA-2203-387</t>
        </is>
      </c>
      <c r="D277" t="inlineStr">
        <is>
          <t>PR-2203-214</t>
        </is>
      </c>
      <c r="E277" t="inlineStr">
        <is>
          <t>HVLE</t>
        </is>
      </c>
      <c r="F277" t="inlineStr">
        <is>
          <t>Cargo</t>
        </is>
      </c>
      <c r="G277" t="inlineStr">
        <is>
          <t>warranty replacement</t>
        </is>
      </c>
      <c r="I277">
        <f>_xlfn.NUMBERVALUE(A277)</f>
        <v/>
      </c>
    </row>
    <row r="278">
      <c r="A278" s="2" t="n">
        <v>4978636</v>
      </c>
      <c r="C278" t="inlineStr">
        <is>
          <t>HA-2203-455</t>
        </is>
      </c>
      <c r="D278" t="inlineStr">
        <is>
          <t>PR-2203-425</t>
        </is>
      </c>
      <c r="E278" t="inlineStr">
        <is>
          <t>HVLE</t>
        </is>
      </c>
      <c r="F278" t="inlineStr">
        <is>
          <t>Cargo</t>
        </is>
      </c>
      <c r="G278" t="inlineStr">
        <is>
          <t>warranty replacement</t>
        </is>
      </c>
      <c r="I278">
        <f>_xlfn.NUMBERVALUE(A278)</f>
        <v/>
      </c>
    </row>
    <row r="279">
      <c r="A279" s="2" t="n">
        <v>4978701</v>
      </c>
      <c r="C279" t="inlineStr">
        <is>
          <t>HA-2203-373</t>
        </is>
      </c>
      <c r="D279" t="inlineStr">
        <is>
          <t>PR-2203-418</t>
        </is>
      </c>
      <c r="E279" t="inlineStr">
        <is>
          <t>HVLE</t>
        </is>
      </c>
      <c r="F279" t="inlineStr">
        <is>
          <t>Cargo</t>
        </is>
      </c>
      <c r="G279" t="inlineStr">
        <is>
          <t>warranty replacement</t>
        </is>
      </c>
      <c r="I279">
        <f>_xlfn.NUMBERVALUE(A279)</f>
        <v/>
      </c>
    </row>
    <row r="280">
      <c r="A280" s="2" t="n">
        <v>4978508</v>
      </c>
      <c r="C280" t="inlineStr">
        <is>
          <t>HA-2203-447</t>
        </is>
      </c>
      <c r="D280" t="inlineStr">
        <is>
          <t>PR-2203-467</t>
        </is>
      </c>
      <c r="E280" t="inlineStr">
        <is>
          <t>HVLE</t>
        </is>
      </c>
      <c r="F280" t="inlineStr">
        <is>
          <t>Link</t>
        </is>
      </c>
      <c r="G280" t="inlineStr">
        <is>
          <t>warranty replacement</t>
        </is>
      </c>
      <c r="I280">
        <f>_xlfn.NUMBERVALUE(A280)</f>
        <v/>
      </c>
    </row>
    <row r="281">
      <c r="A281" s="2" t="n">
        <v>4978459</v>
      </c>
      <c r="C281" t="inlineStr">
        <is>
          <t>HA-2203-417</t>
        </is>
      </c>
      <c r="D281" t="inlineStr">
        <is>
          <t>PR-2203-429</t>
        </is>
      </c>
      <c r="E281" t="inlineStr">
        <is>
          <t>HVLE</t>
        </is>
      </c>
      <c r="F281" t="inlineStr">
        <is>
          <t>Link</t>
        </is>
      </c>
      <c r="G281" t="inlineStr">
        <is>
          <t>warranty replacement</t>
        </is>
      </c>
      <c r="I281">
        <f>_xlfn.NUMBERVALUE(A281)</f>
        <v/>
      </c>
    </row>
    <row r="282">
      <c r="A282" s="2" t="n">
        <v>4978502</v>
      </c>
      <c r="C282" t="inlineStr">
        <is>
          <t>HA-2203-397</t>
        </is>
      </c>
      <c r="D282" t="inlineStr">
        <is>
          <t>PR-2203-424</t>
        </is>
      </c>
      <c r="E282" t="inlineStr">
        <is>
          <t>HVLE</t>
        </is>
      </c>
      <c r="F282" t="inlineStr">
        <is>
          <t>Link</t>
        </is>
      </c>
      <c r="G282" t="inlineStr">
        <is>
          <t>warranty replacement</t>
        </is>
      </c>
      <c r="I282">
        <f>_xlfn.NUMBERVALUE(A282)</f>
        <v/>
      </c>
    </row>
    <row r="283">
      <c r="A283" s="2" t="n">
        <v>4978456</v>
      </c>
      <c r="C283" t="inlineStr">
        <is>
          <t>HA-2203-415</t>
        </is>
      </c>
      <c r="D283" t="inlineStr">
        <is>
          <t>PR-2203-209</t>
        </is>
      </c>
      <c r="E283" t="inlineStr">
        <is>
          <t>HVLE</t>
        </is>
      </c>
      <c r="F283" t="inlineStr">
        <is>
          <t>Link</t>
        </is>
      </c>
      <c r="G283" t="inlineStr">
        <is>
          <t>warranty replacement</t>
        </is>
      </c>
      <c r="I283">
        <f>_xlfn.NUMBERVALUE(A283)</f>
        <v/>
      </c>
    </row>
    <row r="284">
      <c r="A284" s="2" t="n">
        <v>4978468</v>
      </c>
      <c r="C284" t="inlineStr">
        <is>
          <t>HA-2203-401</t>
        </is>
      </c>
      <c r="D284" t="inlineStr">
        <is>
          <t>PR-2203-201</t>
        </is>
      </c>
      <c r="E284" t="inlineStr">
        <is>
          <t>HVLE</t>
        </is>
      </c>
      <c r="F284" t="inlineStr">
        <is>
          <t>Link</t>
        </is>
      </c>
      <c r="G284" t="inlineStr">
        <is>
          <t>warranty replacement</t>
        </is>
      </c>
      <c r="I284">
        <f>_xlfn.NUMBERVALUE(A284)</f>
        <v/>
      </c>
    </row>
    <row r="285">
      <c r="A285" s="2" t="n">
        <v>4978475</v>
      </c>
      <c r="C285" t="inlineStr">
        <is>
          <t>HA-2203-393</t>
        </is>
      </c>
      <c r="D285" t="inlineStr">
        <is>
          <t>PR-2203-113</t>
        </is>
      </c>
      <c r="E285" t="inlineStr">
        <is>
          <t>HVLE</t>
        </is>
      </c>
      <c r="F285" t="inlineStr">
        <is>
          <t>Link</t>
        </is>
      </c>
      <c r="G285" t="inlineStr">
        <is>
          <t>warranty replacement</t>
        </is>
      </c>
      <c r="I285">
        <f>_xlfn.NUMBERVALUE(A285)</f>
        <v/>
      </c>
    </row>
    <row r="286">
      <c r="A286" s="2" t="n">
        <v>4978504</v>
      </c>
      <c r="C286" t="inlineStr">
        <is>
          <t>HA-2203-307</t>
        </is>
      </c>
      <c r="D286" t="inlineStr">
        <is>
          <t>PR-2203-446</t>
        </is>
      </c>
      <c r="E286" t="inlineStr">
        <is>
          <t>HVLE</t>
        </is>
      </c>
      <c r="F286" t="inlineStr">
        <is>
          <t>Link</t>
        </is>
      </c>
      <c r="G286" t="inlineStr">
        <is>
          <t>warranty replacement</t>
        </is>
      </c>
      <c r="I286">
        <f>_xlfn.NUMBERVALUE(A286)</f>
        <v/>
      </c>
    </row>
    <row r="287">
      <c r="A287" s="2" t="n">
        <v>4978482</v>
      </c>
      <c r="C287" t="inlineStr">
        <is>
          <t>HA-2203-443</t>
        </is>
      </c>
      <c r="D287" t="inlineStr">
        <is>
          <t>PR-2203-114</t>
        </is>
      </c>
      <c r="E287" t="inlineStr">
        <is>
          <t>HVLE</t>
        </is>
      </c>
      <c r="F287" t="inlineStr">
        <is>
          <t>Link</t>
        </is>
      </c>
      <c r="G287" t="inlineStr">
        <is>
          <t>warranty replacement</t>
        </is>
      </c>
      <c r="I287">
        <f>_xlfn.NUMBERVALUE(A287)</f>
        <v/>
      </c>
    </row>
    <row r="288">
      <c r="A288" s="2" t="n">
        <v>4978464</v>
      </c>
      <c r="C288" t="inlineStr">
        <is>
          <t>HA-2203-471</t>
        </is>
      </c>
      <c r="D288" t="inlineStr">
        <is>
          <t>PR-2203-421</t>
        </is>
      </c>
      <c r="E288" t="inlineStr">
        <is>
          <t>HVLE</t>
        </is>
      </c>
      <c r="F288" t="inlineStr">
        <is>
          <t>Link</t>
        </is>
      </c>
      <c r="G288" t="inlineStr">
        <is>
          <t>warranty replacement</t>
        </is>
      </c>
      <c r="I288">
        <f>_xlfn.NUMBERVALUE(A288)</f>
        <v/>
      </c>
    </row>
    <row r="289">
      <c r="A289" s="2" t="n">
        <v>4978453</v>
      </c>
      <c r="C289" t="inlineStr">
        <is>
          <t>HA-2203-441</t>
        </is>
      </c>
      <c r="D289" t="inlineStr">
        <is>
          <t>PR-2203-177</t>
        </is>
      </c>
      <c r="E289" t="inlineStr">
        <is>
          <t>HVLE</t>
        </is>
      </c>
      <c r="F289" t="inlineStr">
        <is>
          <t>Link</t>
        </is>
      </c>
      <c r="G289" t="inlineStr">
        <is>
          <t>warranty replacement</t>
        </is>
      </c>
      <c r="I289">
        <f>_xlfn.NUMBERVALUE(A289)</f>
        <v/>
      </c>
    </row>
    <row r="290">
      <c r="A290" s="2" t="n">
        <v>4978488</v>
      </c>
      <c r="C290" t="inlineStr">
        <is>
          <t>HA-2203-405</t>
        </is>
      </c>
      <c r="D290" t="inlineStr">
        <is>
          <t>PR-2203-456</t>
        </is>
      </c>
      <c r="E290" t="inlineStr">
        <is>
          <t>HVLE</t>
        </is>
      </c>
      <c r="F290" t="inlineStr">
        <is>
          <t>Link</t>
        </is>
      </c>
      <c r="G290" t="inlineStr">
        <is>
          <t>warranty replacement</t>
        </is>
      </c>
      <c r="I290">
        <f>_xlfn.NUMBERVALUE(A290)</f>
        <v/>
      </c>
    </row>
    <row r="291">
      <c r="A291" s="2" t="n">
        <v>4978510</v>
      </c>
      <c r="C291" t="inlineStr">
        <is>
          <t>HA-2203-293</t>
        </is>
      </c>
      <c r="D291" t="inlineStr">
        <is>
          <t>PR-2203-443</t>
        </is>
      </c>
      <c r="E291" t="inlineStr">
        <is>
          <t>HVLE</t>
        </is>
      </c>
      <c r="F291" t="inlineStr">
        <is>
          <t>Link</t>
        </is>
      </c>
      <c r="G291" t="inlineStr">
        <is>
          <t>warranty replacement</t>
        </is>
      </c>
      <c r="I291">
        <f>_xlfn.NUMBERVALUE(A291)</f>
        <v/>
      </c>
    </row>
    <row r="292">
      <c r="A292" s="2" t="n">
        <v>4978450</v>
      </c>
      <c r="C292" t="inlineStr">
        <is>
          <t>HA-2203-445</t>
        </is>
      </c>
      <c r="D292" t="inlineStr">
        <is>
          <t>PR-2203-133</t>
        </is>
      </c>
      <c r="E292" t="inlineStr">
        <is>
          <t>HVLE</t>
        </is>
      </c>
      <c r="F292" t="inlineStr">
        <is>
          <t>Link</t>
        </is>
      </c>
      <c r="G292" t="inlineStr">
        <is>
          <t>warranty replacement</t>
        </is>
      </c>
      <c r="I292">
        <f>_xlfn.NUMBERVALUE(A292)</f>
        <v/>
      </c>
    </row>
    <row r="293">
      <c r="A293" s="2" t="n">
        <v>4978474</v>
      </c>
      <c r="C293" t="inlineStr">
        <is>
          <t>HA-2203-385</t>
        </is>
      </c>
      <c r="D293" t="inlineStr">
        <is>
          <t>PR-2203-170</t>
        </is>
      </c>
      <c r="E293" t="inlineStr">
        <is>
          <t>HVLE</t>
        </is>
      </c>
      <c r="F293" t="inlineStr">
        <is>
          <t>Link</t>
        </is>
      </c>
      <c r="G293" t="inlineStr">
        <is>
          <t>warranty replacement</t>
        </is>
      </c>
      <c r="I293">
        <f>_xlfn.NUMBERVALUE(A293)</f>
        <v/>
      </c>
    </row>
    <row r="294">
      <c r="A294" s="2" t="n">
        <v>4978492</v>
      </c>
      <c r="C294" t="inlineStr">
        <is>
          <t>HA-2203-337</t>
        </is>
      </c>
      <c r="D294" t="inlineStr">
        <is>
          <t>PR-2203-193</t>
        </is>
      </c>
      <c r="E294" t="inlineStr">
        <is>
          <t>HVLE</t>
        </is>
      </c>
      <c r="F294" t="inlineStr">
        <is>
          <t>Link</t>
        </is>
      </c>
      <c r="G294" t="inlineStr">
        <is>
          <t>warranty replacement</t>
        </is>
      </c>
      <c r="I294">
        <f>_xlfn.NUMBERVALUE(A294)</f>
        <v/>
      </c>
    </row>
    <row r="295">
      <c r="A295" s="2" t="n">
        <v>4978421</v>
      </c>
      <c r="C295" t="inlineStr">
        <is>
          <t>HA-2203-369</t>
        </is>
      </c>
      <c r="D295" t="inlineStr">
        <is>
          <t>PR-2203-462</t>
        </is>
      </c>
      <c r="E295" t="inlineStr">
        <is>
          <t>HVLE</t>
        </is>
      </c>
      <c r="F295" t="inlineStr">
        <is>
          <t>Link</t>
        </is>
      </c>
      <c r="G295" t="inlineStr">
        <is>
          <t>warranty replacement</t>
        </is>
      </c>
      <c r="I295">
        <f>_xlfn.NUMBERVALUE(A295)</f>
        <v/>
      </c>
    </row>
    <row r="296">
      <c r="A296" s="2" t="n">
        <v>4978469</v>
      </c>
      <c r="C296" t="inlineStr">
        <is>
          <t>HA-2203-333</t>
        </is>
      </c>
      <c r="D296" t="inlineStr">
        <is>
          <t>PR-2203-134</t>
        </is>
      </c>
      <c r="E296" t="inlineStr">
        <is>
          <t>HVLE</t>
        </is>
      </c>
      <c r="F296" t="inlineStr">
        <is>
          <t>Link</t>
        </is>
      </c>
      <c r="G296" t="inlineStr">
        <is>
          <t>warranty replacement</t>
        </is>
      </c>
      <c r="I296">
        <f>_xlfn.NUMBERVALUE(A296)</f>
        <v/>
      </c>
    </row>
    <row r="297">
      <c r="A297" s="2" t="n">
        <v>4978512</v>
      </c>
      <c r="C297" t="inlineStr">
        <is>
          <t>HA-2203-327</t>
        </is>
      </c>
      <c r="D297" t="inlineStr">
        <is>
          <t>PR-2203-154</t>
        </is>
      </c>
      <c r="E297" t="inlineStr">
        <is>
          <t>HVLE</t>
        </is>
      </c>
      <c r="F297" t="inlineStr">
        <is>
          <t>Link</t>
        </is>
      </c>
      <c r="G297" t="inlineStr">
        <is>
          <t>warranty replacement</t>
        </is>
      </c>
      <c r="I297">
        <f>_xlfn.NUMBERVALUE(A297)</f>
        <v/>
      </c>
    </row>
    <row r="298">
      <c r="A298" s="2" t="n">
        <v>4978481</v>
      </c>
      <c r="C298" t="inlineStr">
        <is>
          <t>HA-2203-341</t>
        </is>
      </c>
      <c r="D298" t="inlineStr">
        <is>
          <t>PR-2203-156</t>
        </is>
      </c>
      <c r="E298" t="inlineStr">
        <is>
          <t>HVLE</t>
        </is>
      </c>
      <c r="F298" t="inlineStr">
        <is>
          <t>Link</t>
        </is>
      </c>
      <c r="G298" t="inlineStr">
        <is>
          <t>warranty replacement</t>
        </is>
      </c>
      <c r="I298">
        <f>_xlfn.NUMBERVALUE(A298)</f>
        <v/>
      </c>
    </row>
    <row r="299">
      <c r="A299" s="2" t="n">
        <v>4978497</v>
      </c>
      <c r="C299" t="inlineStr">
        <is>
          <t>HA-2203-467</t>
        </is>
      </c>
      <c r="D299" t="inlineStr">
        <is>
          <t>PR-2203-237</t>
        </is>
      </c>
      <c r="E299" t="inlineStr">
        <is>
          <t>HVLE</t>
        </is>
      </c>
      <c r="F299" t="inlineStr">
        <is>
          <t>Link</t>
        </is>
      </c>
      <c r="G299" t="inlineStr">
        <is>
          <t>warranty replacement</t>
        </is>
      </c>
      <c r="I299">
        <f>_xlfn.NUMBERVALUE(A299)</f>
        <v/>
      </c>
    </row>
    <row r="300">
      <c r="A300" s="2" t="n">
        <v>4978452</v>
      </c>
      <c r="C300" t="inlineStr">
        <is>
          <t>HA-2203-355</t>
        </is>
      </c>
      <c r="D300" t="inlineStr">
        <is>
          <t>PR-2203-419</t>
        </is>
      </c>
      <c r="E300" t="inlineStr">
        <is>
          <t>HVLE</t>
        </is>
      </c>
      <c r="F300" t="inlineStr">
        <is>
          <t>Link</t>
        </is>
      </c>
      <c r="G300" t="inlineStr">
        <is>
          <t>warranty replacement</t>
        </is>
      </c>
      <c r="I300">
        <f>_xlfn.NUMBERVALUE(A300)</f>
        <v/>
      </c>
    </row>
    <row r="301">
      <c r="A301" s="2" t="n">
        <v>4978487</v>
      </c>
      <c r="C301" t="inlineStr">
        <is>
          <t>HA-2203-353</t>
        </is>
      </c>
      <c r="D301" t="inlineStr">
        <is>
          <t>PR-2203-479</t>
        </is>
      </c>
      <c r="E301" t="inlineStr">
        <is>
          <t>HVLE</t>
        </is>
      </c>
      <c r="F301" t="inlineStr">
        <is>
          <t>Link</t>
        </is>
      </c>
      <c r="G301" t="inlineStr">
        <is>
          <t>warranty replacement</t>
        </is>
      </c>
      <c r="I301">
        <f>_xlfn.NUMBERVALUE(A301)</f>
        <v/>
      </c>
    </row>
    <row r="302">
      <c r="A302" s="2" t="n">
        <v>4978425</v>
      </c>
      <c r="C302" t="inlineStr">
        <is>
          <t>HA-2203-297</t>
        </is>
      </c>
      <c r="D302" t="inlineStr">
        <is>
          <t>PR-2203-452</t>
        </is>
      </c>
      <c r="E302" t="inlineStr">
        <is>
          <t>HVLE</t>
        </is>
      </c>
      <c r="F302" t="inlineStr">
        <is>
          <t>Link</t>
        </is>
      </c>
      <c r="G302" t="inlineStr">
        <is>
          <t>warranty replacement</t>
        </is>
      </c>
      <c r="I302">
        <f>_xlfn.NUMBERVALUE(A302)</f>
        <v/>
      </c>
    </row>
    <row r="303">
      <c r="A303" s="2" t="n">
        <v>4978428</v>
      </c>
      <c r="C303" t="inlineStr">
        <is>
          <t>HA-2203-321</t>
        </is>
      </c>
      <c r="D303" t="inlineStr">
        <is>
          <t>PR-2203-477</t>
        </is>
      </c>
      <c r="E303" t="inlineStr">
        <is>
          <t>HVLE</t>
        </is>
      </c>
      <c r="F303" t="inlineStr">
        <is>
          <t>Link</t>
        </is>
      </c>
      <c r="G303" t="inlineStr">
        <is>
          <t>warranty replacement</t>
        </is>
      </c>
      <c r="I303">
        <f>_xlfn.NUMBERVALUE(A303)</f>
        <v/>
      </c>
    </row>
    <row r="304">
      <c r="A304" s="2" t="n">
        <v>4978420</v>
      </c>
      <c r="C304" t="inlineStr">
        <is>
          <t>HA-2203-347</t>
        </is>
      </c>
      <c r="D304" t="inlineStr">
        <is>
          <t>PR-2203-463</t>
        </is>
      </c>
      <c r="E304" t="inlineStr">
        <is>
          <t>HVLE</t>
        </is>
      </c>
      <c r="F304" t="inlineStr">
        <is>
          <t>Link</t>
        </is>
      </c>
      <c r="G304" t="inlineStr">
        <is>
          <t>warranty replacement</t>
        </is>
      </c>
      <c r="I304">
        <f>_xlfn.NUMBERVALUE(A304)</f>
        <v/>
      </c>
    </row>
    <row r="305">
      <c r="A305" s="2" t="n">
        <v>4978460</v>
      </c>
      <c r="C305" t="inlineStr">
        <is>
          <t>HA-2203-411</t>
        </is>
      </c>
      <c r="D305" t="inlineStr">
        <is>
          <t>PR-2203-210</t>
        </is>
      </c>
      <c r="E305" t="inlineStr">
        <is>
          <t>HVLE</t>
        </is>
      </c>
      <c r="F305" t="inlineStr">
        <is>
          <t>Link</t>
        </is>
      </c>
      <c r="G305" t="inlineStr">
        <is>
          <t>warranty replacement</t>
        </is>
      </c>
      <c r="I305">
        <f>_xlfn.NUMBERVALUE(A305)</f>
        <v/>
      </c>
    </row>
    <row r="306">
      <c r="A306" s="2" t="n">
        <v>4978466</v>
      </c>
      <c r="C306" t="inlineStr">
        <is>
          <t>HA-2203-367</t>
        </is>
      </c>
      <c r="D306" t="inlineStr">
        <is>
          <t>PR-2203-197</t>
        </is>
      </c>
      <c r="E306" t="inlineStr">
        <is>
          <t>HVLE</t>
        </is>
      </c>
      <c r="F306" t="inlineStr">
        <is>
          <t>Link</t>
        </is>
      </c>
      <c r="G306" t="inlineStr">
        <is>
          <t>warranty replacement</t>
        </is>
      </c>
      <c r="I306">
        <f>_xlfn.NUMBERVALUE(A306)</f>
        <v/>
      </c>
    </row>
    <row r="307">
      <c r="A307" s="2" t="n">
        <v>4978472</v>
      </c>
      <c r="C307" t="inlineStr">
        <is>
          <t>HA-2203-325</t>
        </is>
      </c>
      <c r="D307" t="inlineStr">
        <is>
          <t>PR-2203-125</t>
        </is>
      </c>
      <c r="E307" t="inlineStr">
        <is>
          <t>HVLE</t>
        </is>
      </c>
      <c r="F307" t="inlineStr">
        <is>
          <t>Link</t>
        </is>
      </c>
      <c r="G307" t="inlineStr">
        <is>
          <t>warranty replacement</t>
        </is>
      </c>
      <c r="I307">
        <f>_xlfn.NUMBERVALUE(A307)</f>
        <v/>
      </c>
    </row>
    <row r="308">
      <c r="A308" s="2" t="n">
        <v>4978511</v>
      </c>
      <c r="C308" t="inlineStr">
        <is>
          <t>HA-2203-425</t>
        </is>
      </c>
      <c r="D308" t="inlineStr">
        <is>
          <t>PR-2203-174</t>
        </is>
      </c>
      <c r="E308" t="inlineStr">
        <is>
          <t>HVLE</t>
        </is>
      </c>
      <c r="F308" t="inlineStr">
        <is>
          <t>Link</t>
        </is>
      </c>
      <c r="G308" t="inlineStr">
        <is>
          <t>warranty replacement</t>
        </is>
      </c>
      <c r="I308">
        <f>_xlfn.NUMBERVALUE(A308)</f>
        <v/>
      </c>
    </row>
    <row r="309">
      <c r="A309" s="2" t="n">
        <v>4978509</v>
      </c>
      <c r="C309" t="inlineStr">
        <is>
          <t>HA-2203-427</t>
        </is>
      </c>
      <c r="D309" t="inlineStr">
        <is>
          <t>PR-2203-169</t>
        </is>
      </c>
      <c r="E309" t="inlineStr">
        <is>
          <t>HVLE</t>
        </is>
      </c>
      <c r="F309" t="inlineStr">
        <is>
          <t>Link</t>
        </is>
      </c>
      <c r="G309" t="inlineStr">
        <is>
          <t>warranty replacement</t>
        </is>
      </c>
      <c r="I309">
        <f>_xlfn.NUMBERVALUE(A309)</f>
        <v/>
      </c>
    </row>
    <row r="310">
      <c r="A310" s="2" t="n">
        <v>4978457</v>
      </c>
      <c r="C310" t="inlineStr">
        <is>
          <t>HA-2203-339</t>
        </is>
      </c>
      <c r="D310" t="inlineStr">
        <is>
          <t>PR-2203-445</t>
        </is>
      </c>
      <c r="E310" t="inlineStr">
        <is>
          <t>HVLE</t>
        </is>
      </c>
      <c r="F310" t="inlineStr">
        <is>
          <t>Link</t>
        </is>
      </c>
      <c r="G310" t="inlineStr">
        <is>
          <t>warranty replacement</t>
        </is>
      </c>
      <c r="I310">
        <f>_xlfn.NUMBERVALUE(A310)</f>
        <v/>
      </c>
    </row>
    <row r="311">
      <c r="A311" s="2" t="n">
        <v>4978471</v>
      </c>
      <c r="C311" t="inlineStr">
        <is>
          <t>HA-2203-315</t>
        </is>
      </c>
      <c r="D311" t="inlineStr">
        <is>
          <t>PR-2203-200</t>
        </is>
      </c>
      <c r="E311" t="inlineStr">
        <is>
          <t>HVLE</t>
        </is>
      </c>
      <c r="F311" t="inlineStr">
        <is>
          <t>Link</t>
        </is>
      </c>
      <c r="G311" t="inlineStr">
        <is>
          <t>warranty replacement</t>
        </is>
      </c>
      <c r="I311">
        <f>_xlfn.NUMBERVALUE(A311)</f>
        <v/>
      </c>
    </row>
    <row r="312">
      <c r="A312" s="2" t="n">
        <v>4978615</v>
      </c>
      <c r="C312" t="inlineStr">
        <is>
          <t>HA-2203-365</t>
        </is>
      </c>
      <c r="D312" t="inlineStr">
        <is>
          <t>PR-2203-129</t>
        </is>
      </c>
      <c r="E312" t="inlineStr">
        <is>
          <t>HVLE</t>
        </is>
      </c>
      <c r="F312" t="inlineStr">
        <is>
          <t>Cargo</t>
        </is>
      </c>
      <c r="G312" t="inlineStr">
        <is>
          <t>warranty replacement</t>
        </is>
      </c>
      <c r="I312">
        <f>_xlfn.NUMBERVALUE(A312)</f>
        <v/>
      </c>
    </row>
    <row r="313">
      <c r="A313" s="2" t="n">
        <v>4978566</v>
      </c>
      <c r="C313" t="inlineStr">
        <is>
          <t>HA-2203-361</t>
        </is>
      </c>
      <c r="D313" t="inlineStr">
        <is>
          <t>PR-2203-460</t>
        </is>
      </c>
      <c r="E313" t="inlineStr">
        <is>
          <t>HVLE</t>
        </is>
      </c>
      <c r="F313" t="inlineStr">
        <is>
          <t>Cargo</t>
        </is>
      </c>
      <c r="G313" t="inlineStr">
        <is>
          <t>warranty replacement</t>
        </is>
      </c>
      <c r="I313">
        <f>_xlfn.NUMBERVALUE(A313)</f>
        <v/>
      </c>
    </row>
    <row r="314">
      <c r="A314" s="2" t="n">
        <v>4978579</v>
      </c>
      <c r="C314" t="inlineStr">
        <is>
          <t>HA-2203-351</t>
        </is>
      </c>
      <c r="D314" t="inlineStr">
        <is>
          <t>PR-2203-126</t>
        </is>
      </c>
      <c r="E314" t="inlineStr">
        <is>
          <t>HVLE</t>
        </is>
      </c>
      <c r="F314" t="inlineStr">
        <is>
          <t>Cargo</t>
        </is>
      </c>
      <c r="G314" t="inlineStr">
        <is>
          <t>warranty replacement</t>
        </is>
      </c>
      <c r="I314">
        <f>_xlfn.NUMBERVALUE(A314)</f>
        <v/>
      </c>
    </row>
    <row r="315">
      <c r="A315" s="2" t="n">
        <v>4978583</v>
      </c>
      <c r="C315" t="inlineStr">
        <is>
          <t>HA-2203-363</t>
        </is>
      </c>
      <c r="D315" t="inlineStr">
        <is>
          <t>PR-2203-122</t>
        </is>
      </c>
      <c r="E315" t="inlineStr">
        <is>
          <t>HVLE</t>
        </is>
      </c>
      <c r="F315" t="inlineStr">
        <is>
          <t>Cargo</t>
        </is>
      </c>
      <c r="G315" t="inlineStr">
        <is>
          <t>warranty replacement</t>
        </is>
      </c>
      <c r="I315">
        <f>_xlfn.NUMBERVALUE(A315)</f>
        <v/>
      </c>
    </row>
    <row r="316">
      <c r="A316" s="2" t="n">
        <v>4978762</v>
      </c>
      <c r="C316" t="inlineStr">
        <is>
          <t>HA-2203-305</t>
        </is>
      </c>
      <c r="D316" t="inlineStr">
        <is>
          <t>PR-2203-138</t>
        </is>
      </c>
      <c r="E316" t="inlineStr">
        <is>
          <t>HVLE</t>
        </is>
      </c>
      <c r="F316" t="inlineStr">
        <is>
          <t>Cargo</t>
        </is>
      </c>
      <c r="G316" t="inlineStr">
        <is>
          <t>warranty replacement</t>
        </is>
      </c>
      <c r="I316">
        <f>_xlfn.NUMBERVALUE(A316)</f>
        <v/>
      </c>
    </row>
    <row r="317">
      <c r="A317" s="2" t="n">
        <v>4978584</v>
      </c>
      <c r="C317" t="inlineStr">
        <is>
          <t>HA-2203-383</t>
        </is>
      </c>
      <c r="D317" t="inlineStr">
        <is>
          <t>PR-2203-118</t>
        </is>
      </c>
      <c r="E317" t="inlineStr">
        <is>
          <t>HVLE</t>
        </is>
      </c>
      <c r="F317" t="inlineStr">
        <is>
          <t>Cargo</t>
        </is>
      </c>
      <c r="G317" t="inlineStr">
        <is>
          <t>warranty replacement</t>
        </is>
      </c>
      <c r="I317">
        <f>_xlfn.NUMBERVALUE(A317)</f>
        <v/>
      </c>
    </row>
    <row r="318">
      <c r="A318" s="2" t="n">
        <v>4978572</v>
      </c>
      <c r="C318" t="inlineStr">
        <is>
          <t>HA-2203-381</t>
        </is>
      </c>
      <c r="D318" t="inlineStr">
        <is>
          <t>PR-2203-470</t>
        </is>
      </c>
      <c r="E318" t="inlineStr">
        <is>
          <t>HVLE</t>
        </is>
      </c>
      <c r="F318" t="inlineStr">
        <is>
          <t>Cargo</t>
        </is>
      </c>
      <c r="G318" t="inlineStr">
        <is>
          <t>warranty replacement</t>
        </is>
      </c>
      <c r="I318">
        <f>_xlfn.NUMBERVALUE(A318)</f>
        <v/>
      </c>
    </row>
    <row r="319">
      <c r="A319" s="2" t="n">
        <v>4978733</v>
      </c>
      <c r="C319" t="inlineStr">
        <is>
          <t>HA-2203-375</t>
        </is>
      </c>
      <c r="D319" t="inlineStr">
        <is>
          <t>PR-2203-121</t>
        </is>
      </c>
      <c r="E319" t="inlineStr">
        <is>
          <t>HVLE</t>
        </is>
      </c>
      <c r="F319" t="inlineStr">
        <is>
          <t>Cargo</t>
        </is>
      </c>
      <c r="G319" t="inlineStr">
        <is>
          <t>warranty replacement</t>
        </is>
      </c>
      <c r="I319">
        <f>_xlfn.NUMBERVALUE(A319)</f>
        <v/>
      </c>
    </row>
    <row r="320">
      <c r="A320" s="2" t="inlineStr">
        <is>
          <t>88C989A3D9FA1DE4</t>
        </is>
      </c>
      <c r="B320" s="2" t="inlineStr">
        <is>
          <t>C98DD086A23A</t>
        </is>
      </c>
      <c r="C320" t="inlineStr">
        <is>
          <t>HA-2206-19</t>
        </is>
      </c>
      <c r="D320" t="inlineStr">
        <is>
          <t>PR-2206-362</t>
        </is>
      </c>
      <c r="E320" t="inlineStr">
        <is>
          <t>LTG</t>
        </is>
      </c>
      <c r="F320" t="inlineStr">
        <is>
          <t>Link</t>
        </is>
      </c>
    </row>
    <row r="321">
      <c r="A321" s="2" t="inlineStr">
        <is>
          <t>5E3282BAAB8BF0D8</t>
        </is>
      </c>
      <c r="B321" s="2" t="inlineStr">
        <is>
          <t>C6D9514EA269</t>
        </is>
      </c>
      <c r="C321" t="inlineStr">
        <is>
          <t>HA-2206-013</t>
        </is>
      </c>
      <c r="D321" t="inlineStr">
        <is>
          <t>PR-2206-061</t>
        </is>
      </c>
      <c r="E321" t="inlineStr">
        <is>
          <t>EUROWAGON</t>
        </is>
      </c>
      <c r="F321" t="inlineStr">
        <is>
          <t>Cargo</t>
        </is>
      </c>
    </row>
    <row r="322">
      <c r="A322" s="2" t="inlineStr">
        <is>
          <t>75C13F86D0BF9768</t>
        </is>
      </c>
      <c r="C322" t="inlineStr">
        <is>
          <t>HA-2206-116</t>
        </is>
      </c>
      <c r="D322" t="inlineStr">
        <is>
          <t>PR-2206-103</t>
        </is>
      </c>
      <c r="E322" t="inlineStr">
        <is>
          <t>LTG</t>
        </is>
      </c>
      <c r="F322" t="inlineStr">
        <is>
          <t>Link</t>
        </is>
      </c>
    </row>
    <row r="323">
      <c r="A323" s="2" t="inlineStr">
        <is>
          <t>84103767B4FB7566</t>
        </is>
      </c>
      <c r="B323" s="2" t="inlineStr">
        <is>
          <t>C7141A16EA46</t>
        </is>
      </c>
      <c r="C323" t="inlineStr">
        <is>
          <t>HA-2206-107</t>
        </is>
      </c>
      <c r="D323" t="inlineStr">
        <is>
          <t>PR-2206-050</t>
        </is>
      </c>
      <c r="E323" t="inlineStr">
        <is>
          <t>Ambrogio</t>
        </is>
      </c>
    </row>
    <row r="324">
      <c r="C324" t="inlineStr">
        <is>
          <t>HA-2206-173</t>
        </is>
      </c>
      <c r="D324" t="inlineStr">
        <is>
          <t>PR-2206-374</t>
        </is>
      </c>
      <c r="E324" t="inlineStr">
        <is>
          <t>AXBenet</t>
        </is>
      </c>
    </row>
    <row r="325">
      <c r="C325" t="inlineStr">
        <is>
          <t>HA-2206-101</t>
        </is>
      </c>
      <c r="D325" t="inlineStr">
        <is>
          <t>PR-2206-041</t>
        </is>
      </c>
      <c r="E325" t="inlineStr">
        <is>
          <t>AXBenet</t>
        </is>
      </c>
    </row>
    <row r="326">
      <c r="C326" t="inlineStr">
        <is>
          <t>HA-2206-147</t>
        </is>
      </c>
      <c r="D326" t="inlineStr">
        <is>
          <t>PR-2206-366</t>
        </is>
      </c>
      <c r="E326" t="inlineStr">
        <is>
          <t>AXBenet</t>
        </is>
      </c>
    </row>
    <row r="327">
      <c r="C327" t="inlineStr">
        <is>
          <t>HA-2206-152</t>
        </is>
      </c>
      <c r="D327" t="inlineStr">
        <is>
          <t>PR-2206-379</t>
        </is>
      </c>
      <c r="E327" t="inlineStr">
        <is>
          <t>AXBenet</t>
        </is>
      </c>
    </row>
    <row r="328">
      <c r="C328" t="inlineStr">
        <is>
          <t>HA-2206-163</t>
        </is>
      </c>
      <c r="D328" t="inlineStr">
        <is>
          <t>PR-2206-033</t>
        </is>
      </c>
      <c r="E328" t="inlineStr">
        <is>
          <t>AXBenet</t>
        </is>
      </c>
    </row>
    <row r="329">
      <c r="C329" t="inlineStr">
        <is>
          <t>HA-2206-6</t>
        </is>
      </c>
      <c r="D329" t="inlineStr">
        <is>
          <t>PR-2206-089</t>
        </is>
      </c>
      <c r="E329" t="inlineStr">
        <is>
          <t>AXBenet</t>
        </is>
      </c>
    </row>
    <row r="330">
      <c r="C330" t="inlineStr">
        <is>
          <t>HA-2206-38</t>
        </is>
      </c>
      <c r="D330" t="inlineStr">
        <is>
          <t>PR-2206-297</t>
        </is>
      </c>
      <c r="E330" t="inlineStr">
        <is>
          <t>AXBenet</t>
        </is>
      </c>
    </row>
    <row r="331">
      <c r="C331" t="inlineStr">
        <is>
          <t>HA-2206-111</t>
        </is>
      </c>
      <c r="D331" t="inlineStr">
        <is>
          <t>PR-2206-333</t>
        </is>
      </c>
      <c r="E331" t="inlineStr">
        <is>
          <t>AXBenet</t>
        </is>
      </c>
    </row>
    <row r="332">
      <c r="A332" s="2" t="inlineStr">
        <is>
          <t>9C6ACB5BCF58EA09</t>
        </is>
      </c>
      <c r="B332" s="2" t="inlineStr">
        <is>
          <t>C5555DADF4CE</t>
        </is>
      </c>
      <c r="C332" t="inlineStr">
        <is>
          <t>HA-2206-21</t>
        </is>
      </c>
      <c r="D332" t="inlineStr">
        <is>
          <t>PR-2206-357</t>
        </is>
      </c>
      <c r="E332" t="inlineStr">
        <is>
          <t>Mercitalia</t>
        </is>
      </c>
    </row>
    <row r="333">
      <c r="A333" s="2" t="inlineStr">
        <is>
          <t>4765178B9E95AB9A</t>
        </is>
      </c>
      <c r="B333" s="2" t="inlineStr">
        <is>
          <t>DDAA1C12EC43</t>
        </is>
      </c>
      <c r="C333" t="inlineStr">
        <is>
          <t>HA-2206-28</t>
        </is>
      </c>
      <c r="D333" t="inlineStr">
        <is>
          <t>PR-2206-025</t>
        </is>
      </c>
      <c r="E333" t="inlineStr">
        <is>
          <t>Mercitalia</t>
        </is>
      </c>
    </row>
    <row r="334">
      <c r="A334" s="2" t="inlineStr">
        <is>
          <t>674BD0FDD493BC88</t>
        </is>
      </c>
      <c r="B334" s="2" t="inlineStr">
        <is>
          <t>CB25A7D2B398</t>
        </is>
      </c>
      <c r="C334" t="inlineStr">
        <is>
          <t>HA-2206-66</t>
        </is>
      </c>
      <c r="D334" t="inlineStr">
        <is>
          <t>PR-2206-098</t>
        </is>
      </c>
      <c r="E334" t="inlineStr">
        <is>
          <t>Mercitalia</t>
        </is>
      </c>
    </row>
    <row r="335">
      <c r="A335" s="2" t="inlineStr">
        <is>
          <t>3BA6760B0C11FE6D</t>
        </is>
      </c>
      <c r="B335" s="2" t="inlineStr">
        <is>
          <t>D2E1AC6D20F1</t>
        </is>
      </c>
      <c r="C335" t="inlineStr">
        <is>
          <t>HA-2206-49</t>
        </is>
      </c>
      <c r="D335" t="inlineStr">
        <is>
          <t>PR-2206-044</t>
        </is>
      </c>
      <c r="E335" t="inlineStr">
        <is>
          <t>Mercitalia</t>
        </is>
      </c>
    </row>
    <row r="336">
      <c r="A336" s="2" t="inlineStr">
        <is>
          <t>E192C11CA5D08A9B</t>
        </is>
      </c>
      <c r="B336" s="2" t="inlineStr">
        <is>
          <t>D548910134E7</t>
        </is>
      </c>
      <c r="C336" t="inlineStr">
        <is>
          <t>HA-2206-26</t>
        </is>
      </c>
      <c r="D336" t="inlineStr">
        <is>
          <t>PR-2206-382</t>
        </is>
      </c>
      <c r="E336" t="inlineStr">
        <is>
          <t>Mercitalia</t>
        </is>
      </c>
    </row>
    <row r="337">
      <c r="A337" s="2" t="inlineStr">
        <is>
          <t>ED8FAE6B4C95C9F5</t>
        </is>
      </c>
      <c r="B337" s="2" t="inlineStr">
        <is>
          <t>CBDB48E85D24</t>
        </is>
      </c>
      <c r="C337" t="inlineStr">
        <is>
          <t>HA-2206-57</t>
        </is>
      </c>
      <c r="D337" t="inlineStr">
        <is>
          <t>PR-2206-035</t>
        </is>
      </c>
      <c r="E337" t="inlineStr">
        <is>
          <t>Mercitalia</t>
        </is>
      </c>
    </row>
    <row r="338">
      <c r="A338" s="2" t="inlineStr">
        <is>
          <t>3FE1A4A21DA2522C</t>
        </is>
      </c>
      <c r="B338" s="2" t="inlineStr">
        <is>
          <t>E194A006FC24</t>
        </is>
      </c>
      <c r="C338" t="inlineStr">
        <is>
          <t>HA-2206-11</t>
        </is>
      </c>
      <c r="D338" t="inlineStr">
        <is>
          <t>PR-2206-057</t>
        </is>
      </c>
      <c r="E338" t="inlineStr">
        <is>
          <t>Mercitalia</t>
        </is>
      </c>
    </row>
    <row r="339">
      <c r="A339" s="2" t="inlineStr">
        <is>
          <t>B03AD84F85608041</t>
        </is>
      </c>
      <c r="B339" s="2" t="inlineStr">
        <is>
          <t>FE6248C5C4C6</t>
        </is>
      </c>
      <c r="C339" t="inlineStr">
        <is>
          <t>HA-2206-47</t>
        </is>
      </c>
      <c r="D339" t="inlineStr">
        <is>
          <t>PR-2206-011</t>
        </is>
      </c>
      <c r="E339" t="inlineStr">
        <is>
          <t>Mercitalia</t>
        </is>
      </c>
    </row>
    <row r="340">
      <c r="A340" s="2" t="inlineStr">
        <is>
          <t>E8300CFAAC1266F4</t>
        </is>
      </c>
      <c r="B340" s="2" t="inlineStr">
        <is>
          <t>FC2D556BCA67</t>
        </is>
      </c>
      <c r="C340" t="inlineStr">
        <is>
          <t>HA-2206-31</t>
        </is>
      </c>
      <c r="D340" t="inlineStr">
        <is>
          <t>PR-2206-346</t>
        </is>
      </c>
      <c r="E340" t="inlineStr">
        <is>
          <t>Mercitalia</t>
        </is>
      </c>
    </row>
    <row r="341">
      <c r="A341" s="2" t="inlineStr">
        <is>
          <t>507F6E10AE3F4387</t>
        </is>
      </c>
      <c r="B341" s="2" t="inlineStr">
        <is>
          <t>E49AC76DD99A</t>
        </is>
      </c>
      <c r="C341" t="inlineStr">
        <is>
          <t>HA-2206-20</t>
        </is>
      </c>
      <c r="D341" t="inlineStr">
        <is>
          <t>PR-2206-038</t>
        </is>
      </c>
      <c r="E341" t="inlineStr">
        <is>
          <t>Mercitalia</t>
        </is>
      </c>
    </row>
    <row r="342">
      <c r="A342" s="2" t="inlineStr">
        <is>
          <t>84F7EC8017192E58</t>
        </is>
      </c>
      <c r="B342" s="2" t="inlineStr">
        <is>
          <t>C997AE37E9ED</t>
        </is>
      </c>
      <c r="C342" t="inlineStr">
        <is>
          <t>HA-2206-56</t>
        </is>
      </c>
      <c r="D342" t="inlineStr">
        <is>
          <t>PR-2206-377</t>
        </is>
      </c>
      <c r="E342" t="inlineStr">
        <is>
          <t>Mercitalia</t>
        </is>
      </c>
    </row>
    <row r="343">
      <c r="A343" s="2" t="inlineStr">
        <is>
          <t>D5140B357ED5B230</t>
        </is>
      </c>
      <c r="B343" s="2" t="inlineStr">
        <is>
          <t>F426FC1E1741</t>
        </is>
      </c>
      <c r="C343" t="inlineStr">
        <is>
          <t>HA-2206-14</t>
        </is>
      </c>
      <c r="D343" t="inlineStr">
        <is>
          <t>PR-2206-311</t>
        </is>
      </c>
      <c r="E343" t="inlineStr">
        <is>
          <t>Mercitalia</t>
        </is>
      </c>
    </row>
    <row r="344">
      <c r="A344" s="2" t="inlineStr">
        <is>
          <t>47FA10B96CE896EB</t>
        </is>
      </c>
      <c r="B344" s="2" t="inlineStr">
        <is>
          <t>CA2A8FE5132B</t>
        </is>
      </c>
      <c r="C344" t="inlineStr">
        <is>
          <t>HA-2206-33</t>
        </is>
      </c>
      <c r="D344" t="inlineStr">
        <is>
          <t>PR-2206-019</t>
        </is>
      </c>
      <c r="E344" t="inlineStr">
        <is>
          <t>Mercitalia</t>
        </is>
      </c>
    </row>
    <row r="345">
      <c r="A345" s="2" t="inlineStr">
        <is>
          <t>1C7C95127306E535</t>
        </is>
      </c>
      <c r="B345" s="2" t="inlineStr">
        <is>
          <t>DFE1C8D13339</t>
        </is>
      </c>
      <c r="C345" t="inlineStr">
        <is>
          <t>HA-2206-51</t>
        </is>
      </c>
      <c r="D345" t="inlineStr">
        <is>
          <t>PR-2206-032</t>
        </is>
      </c>
      <c r="E345" t="inlineStr">
        <is>
          <t>Mercitalia</t>
        </is>
      </c>
    </row>
    <row r="346">
      <c r="A346" s="2" t="inlineStr">
        <is>
          <t>505E4525CBB851F9</t>
        </is>
      </c>
      <c r="B346" s="2" t="inlineStr">
        <is>
          <t>EF59EC8DF09C</t>
        </is>
      </c>
      <c r="C346" t="inlineStr">
        <is>
          <t>HA-2206-18</t>
        </is>
      </c>
      <c r="D346" t="inlineStr">
        <is>
          <t>PR-2206-338</t>
        </is>
      </c>
      <c r="E346" t="inlineStr">
        <is>
          <t>Mercitalia</t>
        </is>
      </c>
    </row>
    <row r="347">
      <c r="A347" s="2" t="inlineStr">
        <is>
          <t>5F910220651C7F5C</t>
        </is>
      </c>
      <c r="B347" s="2" t="inlineStr">
        <is>
          <t>D9067BFAA11F</t>
        </is>
      </c>
      <c r="C347" t="inlineStr">
        <is>
          <t>HA-2206-44</t>
        </is>
      </c>
      <c r="D347" t="inlineStr">
        <is>
          <t>PR-2206-043</t>
        </is>
      </c>
      <c r="E347" t="inlineStr">
        <is>
          <t>Mercitalia</t>
        </is>
      </c>
    </row>
    <row r="348">
      <c r="A348" s="2" t="inlineStr">
        <is>
          <t>E7F53DE9F89BD5EF</t>
        </is>
      </c>
      <c r="B348" s="2" t="inlineStr">
        <is>
          <t>CE6BCD4C02E8</t>
        </is>
      </c>
      <c r="C348" t="inlineStr">
        <is>
          <t>HA-2206-12</t>
        </is>
      </c>
      <c r="D348" t="inlineStr">
        <is>
          <t>PR-2206-092</t>
        </is>
      </c>
      <c r="E348" t="inlineStr">
        <is>
          <t>Mercitalia</t>
        </is>
      </c>
    </row>
    <row r="349">
      <c r="A349" s="2" t="inlineStr">
        <is>
          <t>593AFA55DDA09ADF</t>
        </is>
      </c>
      <c r="B349" s="2" t="inlineStr">
        <is>
          <t>E471CF9E542F</t>
        </is>
      </c>
      <c r="C349" t="inlineStr">
        <is>
          <t>HA-2206-157</t>
        </is>
      </c>
      <c r="D349" t="inlineStr">
        <is>
          <t>PR-2206-097</t>
        </is>
      </c>
      <c r="E349" t="inlineStr">
        <is>
          <t>Mercitalia</t>
        </is>
      </c>
    </row>
    <row r="350">
      <c r="A350" s="2" t="inlineStr">
        <is>
          <t>AB3E972D3267A0EE</t>
        </is>
      </c>
      <c r="B350" s="2" t="inlineStr">
        <is>
          <t>DDBB7DB64C29</t>
        </is>
      </c>
      <c r="C350" t="inlineStr">
        <is>
          <t>HA-2206-54</t>
        </is>
      </c>
      <c r="D350" t="inlineStr">
        <is>
          <t>PR-2206-054</t>
        </is>
      </c>
      <c r="E350" t="inlineStr">
        <is>
          <t>Mercitalia</t>
        </is>
      </c>
    </row>
    <row r="351">
      <c r="A351" s="2" t="inlineStr">
        <is>
          <t>9380F2DEA036B7C7</t>
        </is>
      </c>
      <c r="B351" s="2" t="inlineStr">
        <is>
          <t>D444D428A103</t>
        </is>
      </c>
      <c r="C351" t="inlineStr">
        <is>
          <t>HA-2206-137</t>
        </is>
      </c>
      <c r="D351" t="inlineStr">
        <is>
          <t>PR-2206-010</t>
        </is>
      </c>
      <c r="E351" t="inlineStr">
        <is>
          <t>Mercitalia</t>
        </is>
      </c>
    </row>
    <row r="352">
      <c r="A352" s="2" t="inlineStr">
        <is>
          <t>F72F23B28F654E1A</t>
        </is>
      </c>
      <c r="B352" s="2" t="inlineStr">
        <is>
          <t>F09B5F733735</t>
        </is>
      </c>
      <c r="C352" t="inlineStr">
        <is>
          <t>HA-2206-165</t>
        </is>
      </c>
      <c r="D352" t="inlineStr">
        <is>
          <t>PR-2206-034</t>
        </is>
      </c>
      <c r="E352" t="inlineStr">
        <is>
          <t>Mercitalia</t>
        </is>
      </c>
    </row>
    <row r="353">
      <c r="A353" s="2" t="inlineStr">
        <is>
          <t>31594E319FBED7E0</t>
        </is>
      </c>
      <c r="B353" s="2" t="inlineStr">
        <is>
          <t>FB46408303A8</t>
        </is>
      </c>
      <c r="C353" t="inlineStr">
        <is>
          <t>HA-2206-184</t>
        </is>
      </c>
      <c r="D353" t="inlineStr">
        <is>
          <t>PR-2206-082</t>
        </is>
      </c>
      <c r="E353" t="inlineStr">
        <is>
          <t>Mercitalia</t>
        </is>
      </c>
    </row>
    <row r="354">
      <c r="A354" s="2" t="inlineStr">
        <is>
          <t>497A31F5E4A87055</t>
        </is>
      </c>
      <c r="B354" s="2" t="inlineStr">
        <is>
          <t>E717D2FC946C</t>
        </is>
      </c>
      <c r="C354" t="inlineStr">
        <is>
          <t>HA-2206-170</t>
        </is>
      </c>
      <c r="D354" t="inlineStr">
        <is>
          <t>PR-2206-042</t>
        </is>
      </c>
      <c r="E354" t="inlineStr">
        <is>
          <t>Mercitalia</t>
        </is>
      </c>
    </row>
    <row r="355">
      <c r="A355" s="2" t="inlineStr">
        <is>
          <t>9D107FDBC11A295E</t>
        </is>
      </c>
      <c r="B355" s="2" t="inlineStr">
        <is>
          <t>E6A4DF5F1E7F</t>
        </is>
      </c>
      <c r="C355" t="inlineStr">
        <is>
          <t>HA-2206-146</t>
        </is>
      </c>
      <c r="D355" t="inlineStr">
        <is>
          <t>PR-2206-030</t>
        </is>
      </c>
      <c r="E355" t="inlineStr">
        <is>
          <t>Mercitalia</t>
        </is>
      </c>
    </row>
    <row r="356">
      <c r="A356" s="2" t="inlineStr">
        <is>
          <t>21849CA8B551ABEC</t>
        </is>
      </c>
      <c r="B356" s="2" t="inlineStr">
        <is>
          <t>D47A7E7DC0A2</t>
        </is>
      </c>
      <c r="C356" t="inlineStr">
        <is>
          <t>HA-2206-103</t>
        </is>
      </c>
      <c r="D356" t="inlineStr">
        <is>
          <t>PR-2206-062</t>
        </is>
      </c>
      <c r="E356" t="inlineStr">
        <is>
          <t>Mercitalia</t>
        </is>
      </c>
    </row>
    <row r="357">
      <c r="A357" s="2" t="inlineStr">
        <is>
          <t>03F38D514364A951</t>
        </is>
      </c>
      <c r="B357" s="2" t="inlineStr">
        <is>
          <t>D321FD91A79A</t>
        </is>
      </c>
      <c r="C357" t="inlineStr">
        <is>
          <t>HA-2206-161</t>
        </is>
      </c>
      <c r="D357" t="inlineStr">
        <is>
          <t>PR-2206-068</t>
        </is>
      </c>
      <c r="E357" t="inlineStr">
        <is>
          <t>Mercitalia</t>
        </is>
      </c>
    </row>
    <row r="358">
      <c r="A358" s="2" t="inlineStr">
        <is>
          <t>C24A2AC617A8A136</t>
        </is>
      </c>
      <c r="B358" s="2" t="inlineStr">
        <is>
          <t>CEF36537E724</t>
        </is>
      </c>
      <c r="C358" t="inlineStr">
        <is>
          <t>HA-2206-178</t>
        </is>
      </c>
      <c r="D358" t="inlineStr">
        <is>
          <t>PR-2206-002</t>
        </is>
      </c>
      <c r="E358" t="inlineStr">
        <is>
          <t>Mercitalia</t>
        </is>
      </c>
    </row>
    <row r="359">
      <c r="A359" s="2" t="inlineStr">
        <is>
          <t>F278E151AD918DD5</t>
        </is>
      </c>
      <c r="B359" s="2" t="inlineStr">
        <is>
          <t>FE4E199C036E</t>
        </is>
      </c>
      <c r="C359" t="inlineStr">
        <is>
          <t>HA-2206-180</t>
        </is>
      </c>
      <c r="D359" t="inlineStr">
        <is>
          <t>PR-2206-275</t>
        </is>
      </c>
      <c r="E359" t="inlineStr">
        <is>
          <t>Mercitalia</t>
        </is>
      </c>
    </row>
    <row r="360">
      <c r="A360" s="2" t="inlineStr">
        <is>
          <t>DFA0DBF2F7817122</t>
        </is>
      </c>
      <c r="B360" s="2" t="inlineStr">
        <is>
          <t>D3423334BE54</t>
        </is>
      </c>
      <c r="C360" t="inlineStr">
        <is>
          <t>HA-2206-148</t>
        </is>
      </c>
      <c r="D360" t="inlineStr">
        <is>
          <t>PR-2206-036</t>
        </is>
      </c>
      <c r="E360" t="inlineStr">
        <is>
          <t>Mercitalia</t>
        </is>
      </c>
    </row>
    <row r="361">
      <c r="A361" s="2" t="inlineStr">
        <is>
          <t>6ED2FC4DD08EF5BB</t>
        </is>
      </c>
      <c r="B361" s="2" t="inlineStr">
        <is>
          <t>D289274AEE75</t>
        </is>
      </c>
      <c r="C361" t="inlineStr">
        <is>
          <t>HA-2206-82</t>
        </is>
      </c>
      <c r="D361" t="inlineStr">
        <is>
          <t>PR-2206-017</t>
        </is>
      </c>
      <c r="E361" t="inlineStr">
        <is>
          <t>Mercitalia</t>
        </is>
      </c>
    </row>
    <row r="362">
      <c r="A362" s="2" t="inlineStr">
        <is>
          <t>4239A035F9ADD243</t>
        </is>
      </c>
      <c r="B362" s="2" t="inlineStr">
        <is>
          <t>D19992897541</t>
        </is>
      </c>
      <c r="C362" t="inlineStr">
        <is>
          <t>HA-2206-151</t>
        </is>
      </c>
      <c r="D362" t="inlineStr">
        <is>
          <t>PR-2206-104</t>
        </is>
      </c>
      <c r="E362" t="inlineStr">
        <is>
          <t>Mercitalia</t>
        </is>
      </c>
    </row>
    <row r="363">
      <c r="A363" s="2" t="inlineStr">
        <is>
          <t>944FB46B205C4B33</t>
        </is>
      </c>
      <c r="B363" s="2" t="inlineStr">
        <is>
          <t>E42E5E0CCC7A</t>
        </is>
      </c>
      <c r="C363" t="inlineStr">
        <is>
          <t>HA-2206-175</t>
        </is>
      </c>
      <c r="D363" t="inlineStr">
        <is>
          <t>PR-2206-052</t>
        </is>
      </c>
      <c r="E363" t="inlineStr">
        <is>
          <t>Mercitalia</t>
        </is>
      </c>
    </row>
    <row r="364">
      <c r="A364" s="2" t="inlineStr">
        <is>
          <t>B4ABAB5093330B03</t>
        </is>
      </c>
      <c r="B364" s="2" t="inlineStr">
        <is>
          <t>DC87F3C113B1</t>
        </is>
      </c>
      <c r="C364" t="inlineStr">
        <is>
          <t>HA-2206-139</t>
        </is>
      </c>
      <c r="D364" t="inlineStr">
        <is>
          <t>PR-2206-389</t>
        </is>
      </c>
      <c r="E364" t="inlineStr">
        <is>
          <t>Mercitalia</t>
        </is>
      </c>
    </row>
    <row r="365">
      <c r="A365" s="2" t="inlineStr">
        <is>
          <t>292A75A257B7FEE2</t>
        </is>
      </c>
      <c r="B365" s="2" t="inlineStr">
        <is>
          <t>D393FDF1ED49</t>
        </is>
      </c>
      <c r="C365" t="inlineStr">
        <is>
          <t>HA-2206-160</t>
        </is>
      </c>
      <c r="D365" t="inlineStr">
        <is>
          <t>PR-2206-005</t>
        </is>
      </c>
      <c r="E365" t="inlineStr">
        <is>
          <t>Mercitalia</t>
        </is>
      </c>
    </row>
    <row r="366">
      <c r="A366" s="2" t="inlineStr">
        <is>
          <t>CB2249182278621B</t>
        </is>
      </c>
      <c r="B366" s="2" t="inlineStr">
        <is>
          <t>D6BD589A8C16</t>
        </is>
      </c>
      <c r="C366" t="inlineStr">
        <is>
          <t>HA-2206-25</t>
        </is>
      </c>
      <c r="D366" t="inlineStr">
        <is>
          <t>PR-2206-361</t>
        </is>
      </c>
      <c r="E366" t="inlineStr">
        <is>
          <t>Mercitalia</t>
        </is>
      </c>
    </row>
    <row r="367">
      <c r="A367" s="2" t="inlineStr">
        <is>
          <t>6E3D1BE69956AF18</t>
        </is>
      </c>
      <c r="B367" s="2" t="inlineStr">
        <is>
          <t>D1355546ECB9</t>
        </is>
      </c>
      <c r="C367" t="inlineStr">
        <is>
          <t>HA-2206-118</t>
        </is>
      </c>
      <c r="D367" t="inlineStr">
        <is>
          <t>PR-2206-096</t>
        </is>
      </c>
      <c r="E367" t="inlineStr">
        <is>
          <t>Mercitalia</t>
        </is>
      </c>
    </row>
    <row r="368">
      <c r="A368" s="2" t="inlineStr">
        <is>
          <t>3E9D2EDA0C57F812</t>
        </is>
      </c>
      <c r="B368" s="2" t="inlineStr">
        <is>
          <t>EB980D099964</t>
        </is>
      </c>
      <c r="C368" t="inlineStr">
        <is>
          <t>HA-2206-69</t>
        </is>
      </c>
      <c r="D368" t="inlineStr">
        <is>
          <t>PR-2206-298</t>
        </is>
      </c>
      <c r="E368" t="inlineStr">
        <is>
          <t>Mercitalia</t>
        </is>
      </c>
    </row>
    <row r="369">
      <c r="A369" s="2" t="inlineStr">
        <is>
          <t>14E7F073C1809CD2</t>
        </is>
      </c>
      <c r="B369" s="2" t="inlineStr">
        <is>
          <t>CB820D411CCA</t>
        </is>
      </c>
      <c r="C369" t="inlineStr">
        <is>
          <t>HA-2206-124</t>
        </is>
      </c>
      <c r="D369" t="inlineStr">
        <is>
          <t>PR-2206-390</t>
        </is>
      </c>
      <c r="E369" t="inlineStr">
        <is>
          <t>Mercitalia</t>
        </is>
      </c>
    </row>
    <row r="370">
      <c r="A370" s="2" t="inlineStr">
        <is>
          <t>B154BD9BE30C2F6A</t>
        </is>
      </c>
      <c r="B370" s="2" t="inlineStr">
        <is>
          <t>CEB2553AC7A2</t>
        </is>
      </c>
      <c r="C370" t="inlineStr">
        <is>
          <t>HA-2206-39</t>
        </is>
      </c>
      <c r="D370" t="inlineStr">
        <is>
          <t>PR-2206-359</t>
        </is>
      </c>
      <c r="E370" t="inlineStr">
        <is>
          <t>Mercitalia</t>
        </is>
      </c>
    </row>
    <row r="371">
      <c r="A371" s="2" t="inlineStr">
        <is>
          <t>BAAFB5B7BD8DFD92</t>
        </is>
      </c>
      <c r="B371" s="2" t="inlineStr">
        <is>
          <t>E984285BAC4A</t>
        </is>
      </c>
      <c r="C371" t="inlineStr">
        <is>
          <t>HA-2206-138</t>
        </is>
      </c>
      <c r="D371" t="inlineStr">
        <is>
          <t>PR-2206-380</t>
        </is>
      </c>
      <c r="E371" t="inlineStr">
        <is>
          <t>Mercitalia</t>
        </is>
      </c>
    </row>
    <row r="372">
      <c r="A372" s="2" t="inlineStr">
        <is>
          <t>8E174C19A0670F33</t>
        </is>
      </c>
      <c r="B372" s="2" t="inlineStr">
        <is>
          <t>FA819D28D759</t>
        </is>
      </c>
      <c r="C372" t="inlineStr">
        <is>
          <t>HA-2206-117</t>
        </is>
      </c>
      <c r="D372" t="inlineStr">
        <is>
          <t>PR-2206-344</t>
        </is>
      </c>
      <c r="E372" t="inlineStr">
        <is>
          <t>Mercitalia</t>
        </is>
      </c>
    </row>
    <row r="373">
      <c r="A373" s="2" t="inlineStr">
        <is>
          <t>F0D5BCE00F7D3901</t>
        </is>
      </c>
      <c r="B373" s="2" t="inlineStr">
        <is>
          <t>C7C8A2C7C022</t>
        </is>
      </c>
      <c r="C373" t="inlineStr">
        <is>
          <t>HA-2206-108</t>
        </is>
      </c>
      <c r="D373" t="inlineStr">
        <is>
          <t>PR-2206-385</t>
        </is>
      </c>
      <c r="E373" t="inlineStr">
        <is>
          <t>Mercitalia</t>
        </is>
      </c>
    </row>
    <row r="374">
      <c r="A374" s="2" t="inlineStr">
        <is>
          <t>C101B37CFC42676D</t>
        </is>
      </c>
      <c r="B374" s="2" t="inlineStr">
        <is>
          <t>F3E340B15551</t>
        </is>
      </c>
      <c r="C374" t="inlineStr">
        <is>
          <t>HA-2206-145</t>
        </is>
      </c>
      <c r="D374" t="inlineStr">
        <is>
          <t>PR-2206-342</t>
        </is>
      </c>
      <c r="E374" t="inlineStr">
        <is>
          <t>Mercitalia</t>
        </is>
      </c>
    </row>
    <row r="375">
      <c r="A375" s="2" t="inlineStr">
        <is>
          <t>AF6EB656D594A634</t>
        </is>
      </c>
      <c r="B375" s="2" t="inlineStr">
        <is>
          <t>C99CEE6526AF</t>
        </is>
      </c>
      <c r="C375" t="inlineStr">
        <is>
          <t>HA-2206-113</t>
        </is>
      </c>
      <c r="D375" t="inlineStr">
        <is>
          <t>PR-2206-031</t>
        </is>
      </c>
      <c r="E375" t="inlineStr">
        <is>
          <t>Mercitalia</t>
        </is>
      </c>
    </row>
    <row r="376">
      <c r="A376" s="2" t="inlineStr">
        <is>
          <t>6C3A43A20613294D</t>
        </is>
      </c>
      <c r="B376" s="2" t="inlineStr">
        <is>
          <t>F8D9960621DD</t>
        </is>
      </c>
      <c r="C376" t="inlineStr">
        <is>
          <t>HA-2206-112</t>
        </is>
      </c>
      <c r="D376" t="inlineStr">
        <is>
          <t>PR-2206-046</t>
        </is>
      </c>
      <c r="E376" t="inlineStr">
        <is>
          <t>Mercitalia</t>
        </is>
      </c>
    </row>
    <row r="377">
      <c r="A377" s="2" t="inlineStr">
        <is>
          <t>7E41C3B298C36EC0</t>
        </is>
      </c>
      <c r="B377" s="2" t="inlineStr">
        <is>
          <t>D092891AC02D</t>
        </is>
      </c>
      <c r="C377" t="inlineStr">
        <is>
          <t>HA-2206-159</t>
        </is>
      </c>
      <c r="D377" s="51" t="inlineStr">
        <is>
          <t>PR-2206-049</t>
        </is>
      </c>
      <c r="E377" t="inlineStr">
        <is>
          <t>Mercitalia</t>
        </is>
      </c>
    </row>
    <row r="378">
      <c r="A378" s="2" t="inlineStr">
        <is>
          <t>E8F95EDD0BB94B50</t>
        </is>
      </c>
      <c r="B378" s="2" t="inlineStr">
        <is>
          <t>F106F701B5ED</t>
        </is>
      </c>
      <c r="C378" t="inlineStr">
        <is>
          <t>HA-2206-115</t>
        </is>
      </c>
      <c r="D378" t="inlineStr">
        <is>
          <t>PR-2206-015</t>
        </is>
      </c>
      <c r="E378" t="inlineStr">
        <is>
          <t>Mercitalia</t>
        </is>
      </c>
    </row>
    <row r="379">
      <c r="A379" s="2" t="inlineStr">
        <is>
          <t>26ACB0F40F8F29D4</t>
        </is>
      </c>
      <c r="B379" s="2" t="inlineStr">
        <is>
          <t>D66E37E271E1</t>
        </is>
      </c>
      <c r="C379" t="inlineStr">
        <is>
          <t>HA-2206-114</t>
        </is>
      </c>
      <c r="D379" t="inlineStr">
        <is>
          <t>PR-2206-001</t>
        </is>
      </c>
      <c r="E379" t="inlineStr">
        <is>
          <t>Mercitalia</t>
        </is>
      </c>
    </row>
    <row r="380">
      <c r="A380" s="2" t="inlineStr">
        <is>
          <t>3E8CFC9B52F6D35C</t>
        </is>
      </c>
      <c r="B380" s="2" t="inlineStr">
        <is>
          <t>F962E99ACA69</t>
        </is>
      </c>
      <c r="C380" t="inlineStr">
        <is>
          <t>HA-2206-27</t>
        </is>
      </c>
      <c r="D380" t="inlineStr">
        <is>
          <t>PR-2206-099</t>
        </is>
      </c>
      <c r="E380" t="inlineStr">
        <is>
          <t>Mercitalia</t>
        </is>
      </c>
    </row>
    <row r="381">
      <c r="A381" s="2" t="inlineStr">
        <is>
          <t>0143C883A1426C40</t>
        </is>
      </c>
      <c r="B381" s="2" t="inlineStr">
        <is>
          <t>D4B2288F32A9</t>
        </is>
      </c>
      <c r="C381" t="inlineStr">
        <is>
          <t>HA-2206-65</t>
        </is>
      </c>
      <c r="D381" t="inlineStr">
        <is>
          <t>PR-2206-020</t>
        </is>
      </c>
      <c r="E381" t="inlineStr">
        <is>
          <t>Mercitalia</t>
        </is>
      </c>
    </row>
    <row r="382">
      <c r="A382" s="2" t="inlineStr">
        <is>
          <t>E857351C6E965557</t>
        </is>
      </c>
      <c r="B382" s="2" t="inlineStr">
        <is>
          <t>D36B4B682636</t>
        </is>
      </c>
      <c r="C382" t="inlineStr">
        <is>
          <t>HA-2206-90</t>
        </is>
      </c>
      <c r="D382" t="inlineStr">
        <is>
          <t>PR-2206-013</t>
        </is>
      </c>
      <c r="E382" t="inlineStr">
        <is>
          <t>Mercitalia</t>
        </is>
      </c>
    </row>
    <row r="383">
      <c r="A383" s="2" t="inlineStr">
        <is>
          <t>82CA953E3BA08095</t>
        </is>
      </c>
      <c r="B383" s="2" t="inlineStr">
        <is>
          <t>CAED283A89FB</t>
        </is>
      </c>
      <c r="C383" t="inlineStr">
        <is>
          <t>HA-2206-70</t>
        </is>
      </c>
      <c r="D383" t="inlineStr">
        <is>
          <t>PR-2206-091</t>
        </is>
      </c>
      <c r="E383" t="inlineStr">
        <is>
          <t>Mercitalia</t>
        </is>
      </c>
    </row>
    <row r="384">
      <c r="A384" s="2" t="inlineStr">
        <is>
          <t>D036B38DF68D6164</t>
        </is>
      </c>
      <c r="B384" s="2" t="inlineStr">
        <is>
          <t>DCADFA767B61</t>
        </is>
      </c>
      <c r="C384" t="inlineStr">
        <is>
          <t>HA-2206-64</t>
        </is>
      </c>
      <c r="D384" t="inlineStr">
        <is>
          <t>PR-2206-004</t>
        </is>
      </c>
      <c r="E384" t="inlineStr">
        <is>
          <t>Mercitalia</t>
        </is>
      </c>
    </row>
    <row r="385">
      <c r="A385" s="2" t="inlineStr">
        <is>
          <t>22DFE6364F218492</t>
        </is>
      </c>
      <c r="B385" s="2" t="inlineStr">
        <is>
          <t>E748CA6FCC37</t>
        </is>
      </c>
      <c r="C385" t="inlineStr">
        <is>
          <t>HA-2206-134</t>
        </is>
      </c>
      <c r="D385" t="inlineStr">
        <is>
          <t>PR-2206-047</t>
        </is>
      </c>
      <c r="E385" t="inlineStr">
        <is>
          <t>Mercitalia</t>
        </is>
      </c>
    </row>
    <row r="386">
      <c r="A386" s="2" t="inlineStr">
        <is>
          <t>33035E77A96044FC</t>
        </is>
      </c>
      <c r="B386" s="2" t="inlineStr">
        <is>
          <t>DD51A16CDEBF</t>
        </is>
      </c>
      <c r="C386" t="inlineStr">
        <is>
          <t>HA-2206-121</t>
        </is>
      </c>
      <c r="D386" t="inlineStr">
        <is>
          <t>PR-2206-012</t>
        </is>
      </c>
      <c r="E386" t="inlineStr">
        <is>
          <t>Mercitalia</t>
        </is>
      </c>
    </row>
    <row r="387">
      <c r="A387" s="2" t="inlineStr">
        <is>
          <t>D75B67AA076D7D7A</t>
        </is>
      </c>
      <c r="B387" s="2" t="inlineStr">
        <is>
          <t>E51DE74C4D32</t>
        </is>
      </c>
      <c r="C387" t="inlineStr">
        <is>
          <t>HA-2206-73</t>
        </is>
      </c>
      <c r="D387" t="inlineStr">
        <is>
          <t>PR-2206-283</t>
        </is>
      </c>
      <c r="E387" t="inlineStr">
        <is>
          <t>Mercitalia</t>
        </is>
      </c>
    </row>
    <row r="388">
      <c r="A388" s="2" t="inlineStr">
        <is>
          <t>BCC7948C51E7588D</t>
        </is>
      </c>
      <c r="B388" s="2" t="inlineStr">
        <is>
          <t>F312C9CE96C3</t>
        </is>
      </c>
      <c r="C388" t="inlineStr">
        <is>
          <t>HA-2206-2</t>
        </is>
      </c>
      <c r="D388" t="inlineStr">
        <is>
          <t>PR-2206-384</t>
        </is>
      </c>
      <c r="E388" t="inlineStr">
        <is>
          <t>Mercitalia</t>
        </is>
      </c>
    </row>
    <row r="389">
      <c r="A389" s="2" t="inlineStr">
        <is>
          <t>5D28CB8017AEA2CD</t>
        </is>
      </c>
      <c r="B389" s="2" t="inlineStr">
        <is>
          <t>C3F635D7BDF1</t>
        </is>
      </c>
      <c r="C389" t="inlineStr">
        <is>
          <t>HA-2206-36</t>
        </is>
      </c>
      <c r="D389" t="inlineStr">
        <is>
          <t>PR-2206-394</t>
        </is>
      </c>
      <c r="E389" t="inlineStr">
        <is>
          <t>Mercitalia</t>
        </is>
      </c>
    </row>
    <row r="390">
      <c r="A390" s="2" t="inlineStr">
        <is>
          <t>7B05D4D1D2A0E34E</t>
        </is>
      </c>
      <c r="B390" s="2" t="inlineStr">
        <is>
          <t>E235F90C3CD4</t>
        </is>
      </c>
      <c r="C390" t="inlineStr">
        <is>
          <t>HA-2206-17</t>
        </is>
      </c>
      <c r="D390" t="inlineStr">
        <is>
          <t>PR-2206-101</t>
        </is>
      </c>
      <c r="E390" t="inlineStr">
        <is>
          <t>Mercitalia</t>
        </is>
      </c>
    </row>
    <row r="391">
      <c r="A391" s="2" t="inlineStr">
        <is>
          <t>6FEF097F88F2814B</t>
        </is>
      </c>
      <c r="B391" s="2" t="inlineStr">
        <is>
          <t>D10F90EFB978</t>
        </is>
      </c>
      <c r="C391" t="inlineStr">
        <is>
          <t>HA-2206-91</t>
        </is>
      </c>
      <c r="D391" t="inlineStr">
        <is>
          <t>PR-2206-055</t>
        </is>
      </c>
      <c r="E391" t="inlineStr">
        <is>
          <t>Mercitalia</t>
        </is>
      </c>
    </row>
    <row r="392">
      <c r="A392" s="2" t="inlineStr">
        <is>
          <t>FE2E1F64BF185AB1</t>
        </is>
      </c>
      <c r="B392" s="2" t="inlineStr">
        <is>
          <t>E440183D11FC</t>
        </is>
      </c>
      <c r="C392" t="inlineStr">
        <is>
          <t>HA-2206-129</t>
        </is>
      </c>
      <c r="D392" t="inlineStr">
        <is>
          <t>PR-2206-343</t>
        </is>
      </c>
      <c r="E392" t="inlineStr">
        <is>
          <t>Mercitalia</t>
        </is>
      </c>
    </row>
    <row r="393">
      <c r="A393" s="2" t="inlineStr">
        <is>
          <t>A287840C26E25F38</t>
        </is>
      </c>
      <c r="B393" s="2" t="inlineStr">
        <is>
          <t>D2DC7A3C9665</t>
        </is>
      </c>
      <c r="C393" t="inlineStr">
        <is>
          <t>HA-2206-153</t>
        </is>
      </c>
      <c r="D393" t="inlineStr">
        <is>
          <t>PR-2206-279</t>
        </is>
      </c>
      <c r="E393" t="inlineStr">
        <is>
          <t>Mercitalia</t>
        </is>
      </c>
    </row>
    <row r="394">
      <c r="A394" s="2" t="inlineStr">
        <is>
          <t>5A3CC8A0D4CA979F</t>
        </is>
      </c>
      <c r="B394" s="2" t="inlineStr">
        <is>
          <t>C4912512D8C8</t>
        </is>
      </c>
      <c r="C394" t="inlineStr">
        <is>
          <t>HA-2206-62</t>
        </is>
      </c>
      <c r="D394" t="inlineStr">
        <is>
          <t>PR-2206-347</t>
        </is>
      </c>
      <c r="E394" t="inlineStr">
        <is>
          <t>Mercitalia</t>
        </is>
      </c>
    </row>
    <row r="395">
      <c r="A395" s="2" t="inlineStr">
        <is>
          <t>20066518B4BE9A79</t>
        </is>
      </c>
      <c r="B395" s="2" t="inlineStr">
        <is>
          <t>CB38BAC39122</t>
        </is>
      </c>
      <c r="C395" t="inlineStr">
        <is>
          <t>HA-2206-135</t>
        </is>
      </c>
      <c r="D395" t="inlineStr">
        <is>
          <t>PR-2206-395</t>
        </is>
      </c>
      <c r="E395" t="inlineStr">
        <is>
          <t>Mercitalia</t>
        </is>
      </c>
    </row>
    <row r="396">
      <c r="A396" s="2" t="inlineStr">
        <is>
          <t>5FC24EE460FD2E0B</t>
        </is>
      </c>
      <c r="B396" s="2" t="inlineStr">
        <is>
          <t>C7EFE41F7138</t>
        </is>
      </c>
      <c r="C396" t="inlineStr">
        <is>
          <t>HA-2206-45</t>
        </is>
      </c>
      <c r="D396" t="inlineStr">
        <is>
          <t>PR-2206-393</t>
        </is>
      </c>
      <c r="E396" t="inlineStr">
        <is>
          <t>Mercitalia</t>
        </is>
      </c>
    </row>
    <row r="397">
      <c r="A397" s="2" t="inlineStr">
        <is>
          <t>D23011281A447948</t>
        </is>
      </c>
      <c r="B397" s="2" t="inlineStr">
        <is>
          <t>D0549961014B</t>
        </is>
      </c>
      <c r="C397" t="inlineStr">
        <is>
          <t>HA-2206-96</t>
        </is>
      </c>
      <c r="D397" t="inlineStr">
        <is>
          <t>PR-2206-332</t>
        </is>
      </c>
      <c r="E397" t="inlineStr">
        <is>
          <t>Mercitalia</t>
        </is>
      </c>
    </row>
    <row r="398">
      <c r="A398" s="2" t="inlineStr">
        <is>
          <t>1D324270DB42F6FE</t>
        </is>
      </c>
      <c r="B398" s="2" t="inlineStr">
        <is>
          <t>DDC997B66F48</t>
        </is>
      </c>
      <c r="C398" t="inlineStr">
        <is>
          <t>HA-2206-150</t>
        </is>
      </c>
      <c r="D398" t="inlineStr">
        <is>
          <t>PR-2206-353</t>
        </is>
      </c>
      <c r="E398" t="inlineStr">
        <is>
          <t>Mercitalia</t>
        </is>
      </c>
    </row>
    <row r="399">
      <c r="A399" s="2" t="inlineStr">
        <is>
          <t>1C759F8E58C7CBB2</t>
        </is>
      </c>
      <c r="B399" s="2" t="inlineStr">
        <is>
          <t>C53CA03E13AD</t>
        </is>
      </c>
      <c r="C399" t="inlineStr">
        <is>
          <t>HA-2206-130</t>
        </is>
      </c>
      <c r="D399" t="inlineStr">
        <is>
          <t>PR-2206-369</t>
        </is>
      </c>
      <c r="E399" t="inlineStr">
        <is>
          <t>Mercitalia</t>
        </is>
      </c>
    </row>
    <row r="400">
      <c r="A400" s="2" t="inlineStr">
        <is>
          <t>256DF9DEB6B2B4E3</t>
        </is>
      </c>
      <c r="B400" s="2" t="inlineStr">
        <is>
          <t>E28064CED0FB</t>
        </is>
      </c>
      <c r="C400" t="inlineStr">
        <is>
          <t>HA-2206-133</t>
        </is>
      </c>
      <c r="D400" t="inlineStr">
        <is>
          <t>PR-2206-376</t>
        </is>
      </c>
      <c r="E400" t="inlineStr">
        <is>
          <t>Mercitalia</t>
        </is>
      </c>
    </row>
    <row r="401">
      <c r="A401" s="2" t="inlineStr">
        <is>
          <t>D4BF02715DE49104</t>
        </is>
      </c>
      <c r="B401" s="2" t="inlineStr">
        <is>
          <t>E0304FCCE79F</t>
        </is>
      </c>
      <c r="C401" t="inlineStr">
        <is>
          <t>HA-2206-9</t>
        </is>
      </c>
      <c r="D401" t="inlineStr">
        <is>
          <t>PR-2206-367</t>
        </is>
      </c>
      <c r="E401" t="inlineStr">
        <is>
          <t>Mercitalia</t>
        </is>
      </c>
    </row>
    <row r="402">
      <c r="A402" s="2" t="inlineStr">
        <is>
          <t>63DE15D054F10F88</t>
        </is>
      </c>
      <c r="B402" s="2" t="inlineStr">
        <is>
          <t>E02FD87A67DB</t>
        </is>
      </c>
      <c r="C402" t="inlineStr">
        <is>
          <t>HA-2206-85</t>
        </is>
      </c>
      <c r="D402" t="inlineStr">
        <is>
          <t>PR-2206-381</t>
        </is>
      </c>
      <c r="E402" t="inlineStr">
        <is>
          <t>Mercitalia</t>
        </is>
      </c>
    </row>
    <row r="403">
      <c r="A403" s="2" t="inlineStr">
        <is>
          <t>8CA553A6D7ADC8A8</t>
        </is>
      </c>
      <c r="B403" s="2" t="inlineStr">
        <is>
          <t>C52324A49EBE</t>
        </is>
      </c>
      <c r="C403" t="inlineStr">
        <is>
          <t>HA-2206-172</t>
        </is>
      </c>
      <c r="D403" t="inlineStr">
        <is>
          <t>PR-2206-313</t>
        </is>
      </c>
      <c r="E403" t="inlineStr">
        <is>
          <t>Mercitalia</t>
        </is>
      </c>
    </row>
    <row r="404">
      <c r="A404" s="2" t="inlineStr">
        <is>
          <t>0460344ECA62AC97</t>
        </is>
      </c>
      <c r="B404" s="2" t="inlineStr">
        <is>
          <t>D994E3963C14</t>
        </is>
      </c>
      <c r="C404" t="inlineStr">
        <is>
          <t>HA-2206-8</t>
        </is>
      </c>
      <c r="D404" t="inlineStr">
        <is>
          <t>PR-2206-100</t>
        </is>
      </c>
      <c r="E404" t="inlineStr">
        <is>
          <t>Mercitalia</t>
        </is>
      </c>
    </row>
    <row r="405">
      <c r="A405" s="2" t="inlineStr">
        <is>
          <t>D4F3F8DDF7F65865</t>
        </is>
      </c>
      <c r="B405" s="2" t="inlineStr">
        <is>
          <t>E613706C233D</t>
        </is>
      </c>
      <c r="C405" t="inlineStr">
        <is>
          <t>HA-2206-120</t>
        </is>
      </c>
      <c r="D405" t="inlineStr">
        <is>
          <t>PR-2206-387</t>
        </is>
      </c>
      <c r="E405" t="inlineStr">
        <is>
          <t>Mercitalia</t>
        </is>
      </c>
    </row>
    <row r="406">
      <c r="A406" s="2" t="inlineStr">
        <is>
          <t>E7220C618E7853B7</t>
        </is>
      </c>
      <c r="B406" s="2" t="inlineStr">
        <is>
          <t>D04CE5D3FC18</t>
        </is>
      </c>
      <c r="C406" t="inlineStr">
        <is>
          <t>HA-2206-95</t>
        </is>
      </c>
      <c r="D406" t="inlineStr">
        <is>
          <t>PR-2206-370</t>
        </is>
      </c>
      <c r="E406" t="inlineStr">
        <is>
          <t>Mercitalia</t>
        </is>
      </c>
    </row>
    <row r="407">
      <c r="A407" s="2" t="inlineStr">
        <is>
          <t>AD13C70880D533E2</t>
        </is>
      </c>
      <c r="B407" s="2" t="inlineStr">
        <is>
          <t>E4CE24DA91B6</t>
        </is>
      </c>
      <c r="C407" t="inlineStr">
        <is>
          <t>HA-2206-92</t>
        </is>
      </c>
      <c r="D407" t="inlineStr">
        <is>
          <t>PR-2206-392</t>
        </is>
      </c>
      <c r="E407" t="inlineStr">
        <is>
          <t>Mercitalia</t>
        </is>
      </c>
    </row>
    <row r="408">
      <c r="A408" s="2" t="inlineStr">
        <is>
          <t>2FE58C645D0B65B9</t>
        </is>
      </c>
      <c r="B408" s="2" t="inlineStr">
        <is>
          <t>C905C79087E7</t>
        </is>
      </c>
      <c r="C408" t="inlineStr">
        <is>
          <t>HA-2206-72</t>
        </is>
      </c>
      <c r="D408" t="inlineStr">
        <is>
          <t>PR-2206-340</t>
        </is>
      </c>
      <c r="E408" t="inlineStr">
        <is>
          <t>Mercitalia</t>
        </is>
      </c>
    </row>
    <row r="409">
      <c r="A409" s="2" t="inlineStr">
        <is>
          <t>924F41FCB1BFBD95</t>
        </is>
      </c>
      <c r="B409" s="2" t="inlineStr">
        <is>
          <t>C5A4DB10399C</t>
        </is>
      </c>
      <c r="C409" t="inlineStr">
        <is>
          <t>HA-2206-78</t>
        </is>
      </c>
      <c r="D409" t="inlineStr">
        <is>
          <t>PR-2206-027</t>
        </is>
      </c>
      <c r="E409" t="inlineStr">
        <is>
          <t>Mercitalia</t>
        </is>
      </c>
    </row>
    <row r="410">
      <c r="A410" s="2" t="inlineStr">
        <is>
          <t>4CA838C7102ED769</t>
        </is>
      </c>
      <c r="B410" s="2" t="inlineStr">
        <is>
          <t>C29CA9ABB5F6</t>
        </is>
      </c>
      <c r="C410" t="inlineStr">
        <is>
          <t>HA-2206-98</t>
        </is>
      </c>
      <c r="D410" t="inlineStr">
        <is>
          <t>PR-2206-364</t>
        </is>
      </c>
      <c r="E410" t="inlineStr">
        <is>
          <t>Mercitalia</t>
        </is>
      </c>
    </row>
    <row r="411">
      <c r="A411" s="2" t="inlineStr">
        <is>
          <t>6922A02EE9C2A313</t>
        </is>
      </c>
      <c r="B411" s="2" t="inlineStr">
        <is>
          <t>FEB92BE79CEE</t>
        </is>
      </c>
      <c r="C411" t="inlineStr">
        <is>
          <t>HA-2206-131</t>
        </is>
      </c>
      <c r="D411" s="51" t="inlineStr">
        <is>
          <t>PR-2206-349</t>
        </is>
      </c>
      <c r="E411" t="inlineStr">
        <is>
          <t>Mercitalia</t>
        </is>
      </c>
    </row>
    <row r="412">
      <c r="B412" s="26" t="inlineStr">
        <is>
          <t>E05A955FD526</t>
        </is>
      </c>
      <c r="C412" s="26" t="inlineStr">
        <is>
          <t>HA-2209-044</t>
        </is>
      </c>
      <c r="D412" s="26" t="inlineStr">
        <is>
          <t>PR2206-109</t>
        </is>
      </c>
      <c r="E412" t="inlineStr">
        <is>
          <t>HUPAC</t>
        </is>
      </c>
      <c r="F412" t="inlineStr">
        <is>
          <t>Cargo</t>
        </is>
      </c>
    </row>
    <row r="413">
      <c r="B413" s="26" t="inlineStr">
        <is>
          <t>F5E7FD52B4E7</t>
        </is>
      </c>
      <c r="C413" s="26" t="inlineStr">
        <is>
          <t>HA-2209-061</t>
        </is>
      </c>
      <c r="D413" s="26" t="inlineStr">
        <is>
          <t>PR2206-127</t>
        </is>
      </c>
      <c r="E413" t="inlineStr">
        <is>
          <t>HUPAC</t>
        </is>
      </c>
      <c r="F413" t="inlineStr">
        <is>
          <t>Cargo</t>
        </is>
      </c>
    </row>
    <row r="414">
      <c r="B414" s="26" t="inlineStr">
        <is>
          <t>D051E4DF6571</t>
        </is>
      </c>
      <c r="C414" s="26" t="inlineStr">
        <is>
          <t>HA-2209-107</t>
        </is>
      </c>
      <c r="D414" s="26" t="inlineStr">
        <is>
          <t>PR2206-140</t>
        </is>
      </c>
      <c r="E414" t="inlineStr">
        <is>
          <t>HUPAC</t>
        </is>
      </c>
      <c r="F414" t="inlineStr">
        <is>
          <t>Cargo</t>
        </is>
      </c>
    </row>
    <row r="415">
      <c r="B415" s="26" t="inlineStr">
        <is>
          <t>D7637E095C42</t>
        </is>
      </c>
      <c r="C415" s="26" t="inlineStr">
        <is>
          <t>HA-2209-056</t>
        </is>
      </c>
      <c r="D415" s="26" t="inlineStr">
        <is>
          <t>PR2206-134</t>
        </is>
      </c>
      <c r="E415" t="inlineStr">
        <is>
          <t>HUPAC</t>
        </is>
      </c>
      <c r="F415" t="inlineStr">
        <is>
          <t>Cargo</t>
        </is>
      </c>
    </row>
    <row r="416">
      <c r="B416" s="26" t="inlineStr">
        <is>
          <t>CC957475555D</t>
        </is>
      </c>
      <c r="C416" s="26" t="inlineStr">
        <is>
          <t>HA-2209-046</t>
        </is>
      </c>
      <c r="D416" s="26" t="inlineStr">
        <is>
          <t>PR2206-186</t>
        </is>
      </c>
      <c r="E416" t="inlineStr">
        <is>
          <t>HUPAC</t>
        </is>
      </c>
      <c r="F416" t="inlineStr">
        <is>
          <t>Cargo</t>
        </is>
      </c>
    </row>
    <row r="417">
      <c r="B417" s="26" t="inlineStr">
        <is>
          <t>C1D4B359B565</t>
        </is>
      </c>
      <c r="C417" s="26" t="inlineStr">
        <is>
          <t>HA-2209-140</t>
        </is>
      </c>
      <c r="D417" s="26" t="inlineStr">
        <is>
          <t>PR2206-228</t>
        </is>
      </c>
      <c r="E417" t="inlineStr">
        <is>
          <t>HUPAC</t>
        </is>
      </c>
      <c r="F417" t="inlineStr">
        <is>
          <t>Cargo</t>
        </is>
      </c>
    </row>
    <row r="418">
      <c r="B418" s="26" t="inlineStr">
        <is>
          <t>D33211F897BF</t>
        </is>
      </c>
      <c r="C418" s="26" t="inlineStr">
        <is>
          <t>HA-2209-013</t>
        </is>
      </c>
      <c r="D418" s="26" t="inlineStr">
        <is>
          <t>PR2206-162</t>
        </is>
      </c>
      <c r="E418" t="inlineStr">
        <is>
          <t>HUPAC</t>
        </is>
      </c>
      <c r="F418" t="inlineStr">
        <is>
          <t>Cargo</t>
        </is>
      </c>
    </row>
    <row r="419">
      <c r="B419" s="26" t="inlineStr">
        <is>
          <t>E38DECCAE7FB</t>
        </is>
      </c>
      <c r="C419" s="26" t="inlineStr">
        <is>
          <t>HA-2209-054</t>
        </is>
      </c>
      <c r="D419" s="26" t="inlineStr">
        <is>
          <t>PR2206-181</t>
        </is>
      </c>
      <c r="E419" t="inlineStr">
        <is>
          <t>HUPAC</t>
        </is>
      </c>
      <c r="F419" t="inlineStr">
        <is>
          <t>Cargo</t>
        </is>
      </c>
    </row>
    <row r="420">
      <c r="B420" s="26" t="inlineStr">
        <is>
          <t>EB9E056C5D44</t>
        </is>
      </c>
      <c r="C420" s="26" t="inlineStr">
        <is>
          <t>HA-2209-099</t>
        </is>
      </c>
      <c r="D420" s="26" t="inlineStr">
        <is>
          <t>PR2206-141</t>
        </is>
      </c>
      <c r="E420" t="inlineStr">
        <is>
          <t>HUPAC</t>
        </is>
      </c>
      <c r="F420" t="inlineStr">
        <is>
          <t>Cargo</t>
        </is>
      </c>
    </row>
    <row r="421">
      <c r="B421" s="26" t="inlineStr">
        <is>
          <t>D2BA42298DB1</t>
        </is>
      </c>
      <c r="C421" s="26" t="inlineStr">
        <is>
          <t>HA-2206-123</t>
        </is>
      </c>
      <c r="D421" s="26" t="inlineStr">
        <is>
          <t>PR2206-337</t>
        </is>
      </c>
      <c r="E421" t="inlineStr">
        <is>
          <t>HUPAC</t>
        </is>
      </c>
      <c r="F421" t="inlineStr">
        <is>
          <t>Cargo</t>
        </is>
      </c>
    </row>
    <row r="422">
      <c r="B422" s="26" t="inlineStr">
        <is>
          <t>E578FBFD46B4</t>
        </is>
      </c>
      <c r="C422" s="26" t="inlineStr">
        <is>
          <t>HA-2209-064</t>
        </is>
      </c>
      <c r="D422" s="26" t="inlineStr">
        <is>
          <t>PR2206-215</t>
        </is>
      </c>
      <c r="E422" t="inlineStr">
        <is>
          <t>HUPAC</t>
        </is>
      </c>
      <c r="F422" t="inlineStr">
        <is>
          <t>Cargo</t>
        </is>
      </c>
    </row>
    <row r="423">
      <c r="B423" s="26" t="inlineStr">
        <is>
          <t>E8A0FA0FA57D</t>
        </is>
      </c>
      <c r="C423" s="26" t="inlineStr">
        <is>
          <t>HA-2209-014</t>
        </is>
      </c>
      <c r="D423" s="26" t="inlineStr">
        <is>
          <t>PR2206-239</t>
        </is>
      </c>
      <c r="E423" t="inlineStr">
        <is>
          <t>HUPAC</t>
        </is>
      </c>
      <c r="F423" t="inlineStr">
        <is>
          <t>Cargo</t>
        </is>
      </c>
    </row>
    <row r="424">
      <c r="B424" s="26" t="inlineStr">
        <is>
          <t>FBCD6A8D73A5</t>
        </is>
      </c>
      <c r="C424" s="26" t="inlineStr">
        <is>
          <t>HA-2209-138</t>
        </is>
      </c>
      <c r="D424" s="26" t="inlineStr">
        <is>
          <t>PR2206-129</t>
        </is>
      </c>
      <c r="E424" t="inlineStr">
        <is>
          <t>HUPAC</t>
        </is>
      </c>
      <c r="F424" t="inlineStr">
        <is>
          <t>Cargo</t>
        </is>
      </c>
    </row>
    <row r="425">
      <c r="B425" s="26" t="inlineStr">
        <is>
          <t>C4721FB085F7</t>
        </is>
      </c>
      <c r="C425" s="26" t="inlineStr">
        <is>
          <t>HA-2209-032</t>
        </is>
      </c>
      <c r="D425" s="26" t="inlineStr">
        <is>
          <t>PR2206-271</t>
        </is>
      </c>
      <c r="E425" t="inlineStr">
        <is>
          <t>HUPAC</t>
        </is>
      </c>
      <c r="F425" t="inlineStr">
        <is>
          <t>Cargo</t>
        </is>
      </c>
    </row>
    <row r="426">
      <c r="B426" s="26" t="inlineStr">
        <is>
          <t>C8581D8E3473</t>
        </is>
      </c>
      <c r="C426" s="26" t="inlineStr">
        <is>
          <t>HA-2209-034</t>
        </is>
      </c>
      <c r="D426" s="26" t="inlineStr">
        <is>
          <t>PR2206-241</t>
        </is>
      </c>
      <c r="E426" t="inlineStr">
        <is>
          <t>HUPAC</t>
        </is>
      </c>
      <c r="F426" t="inlineStr">
        <is>
          <t>Cargo</t>
        </is>
      </c>
    </row>
    <row r="427">
      <c r="B427" s="26" t="inlineStr">
        <is>
          <t>F264BD4EDC12</t>
        </is>
      </c>
      <c r="C427" s="26" t="inlineStr">
        <is>
          <t>HA-2209-137</t>
        </is>
      </c>
      <c r="D427" s="26" t="inlineStr">
        <is>
          <t>PR2206-243</t>
        </is>
      </c>
      <c r="E427" t="inlineStr">
        <is>
          <t>HUPAC</t>
        </is>
      </c>
      <c r="F427" t="inlineStr">
        <is>
          <t>Cargo</t>
        </is>
      </c>
    </row>
    <row r="428">
      <c r="B428" s="26" t="inlineStr">
        <is>
          <t>D2B2CC8F1A9E</t>
        </is>
      </c>
      <c r="C428" s="26" t="inlineStr">
        <is>
          <t>HA-2209-011</t>
        </is>
      </c>
      <c r="D428" s="26" t="inlineStr">
        <is>
          <t>PR2206-352</t>
        </is>
      </c>
      <c r="E428" t="inlineStr">
        <is>
          <t>HUPAC</t>
        </is>
      </c>
      <c r="F428" t="inlineStr">
        <is>
          <t>Cargo</t>
        </is>
      </c>
    </row>
    <row r="429">
      <c r="B429" s="26" t="inlineStr">
        <is>
          <t>C51DB9317968</t>
        </is>
      </c>
      <c r="C429" s="26" t="inlineStr">
        <is>
          <t>HA-2209-135</t>
        </is>
      </c>
      <c r="D429" s="26" t="inlineStr">
        <is>
          <t>PR2206-277</t>
        </is>
      </c>
      <c r="E429" t="inlineStr">
        <is>
          <t>HUPAC</t>
        </is>
      </c>
      <c r="F429" t="inlineStr">
        <is>
          <t>Cargo</t>
        </is>
      </c>
    </row>
    <row r="430">
      <c r="B430" s="26" t="inlineStr">
        <is>
          <t>EEEEAA9A8C32</t>
        </is>
      </c>
      <c r="C430" s="26" t="inlineStr">
        <is>
          <t>HA-2209-136</t>
        </is>
      </c>
      <c r="D430" s="26" t="inlineStr">
        <is>
          <t>PR2206-210</t>
        </is>
      </c>
      <c r="E430" t="inlineStr">
        <is>
          <t>HUPAC</t>
        </is>
      </c>
      <c r="F430" t="inlineStr">
        <is>
          <t>Cargo</t>
        </is>
      </c>
    </row>
    <row r="431">
      <c r="B431" s="26" t="inlineStr">
        <is>
          <t>F363340CB8A3</t>
        </is>
      </c>
      <c r="C431" s="26" t="inlineStr">
        <is>
          <t>HA-2209-139</t>
        </is>
      </c>
      <c r="D431" s="26" t="inlineStr">
        <is>
          <t>PR2206-238</t>
        </is>
      </c>
      <c r="E431" t="inlineStr">
        <is>
          <t>HUPAC</t>
        </is>
      </c>
      <c r="F431" t="inlineStr">
        <is>
          <t>Cargo</t>
        </is>
      </c>
    </row>
    <row r="432">
      <c r="B432" s="26" t="inlineStr">
        <is>
          <t>D5C43EF16CA1</t>
        </is>
      </c>
      <c r="C432" s="26" t="inlineStr">
        <is>
          <t>HA-2209-050</t>
        </is>
      </c>
      <c r="D432" s="26" t="inlineStr">
        <is>
          <t>PR2206-312</t>
        </is>
      </c>
      <c r="E432" t="inlineStr">
        <is>
          <t>HUPAC</t>
        </is>
      </c>
      <c r="F432" t="inlineStr">
        <is>
          <t>Cargo</t>
        </is>
      </c>
    </row>
    <row r="433">
      <c r="B433" s="26" t="inlineStr">
        <is>
          <t>E64B61BAE4C5</t>
        </is>
      </c>
      <c r="C433" s="26" t="inlineStr">
        <is>
          <t>HA-2209-146</t>
        </is>
      </c>
      <c r="D433" s="26" t="inlineStr">
        <is>
          <t>PR2206-206</t>
        </is>
      </c>
      <c r="E433" t="inlineStr">
        <is>
          <t>HUPAC</t>
        </is>
      </c>
      <c r="F433" t="inlineStr">
        <is>
          <t>Cargo</t>
        </is>
      </c>
    </row>
    <row r="434">
      <c r="B434" s="26" t="inlineStr">
        <is>
          <t>D1AC2CEDAAA8</t>
        </is>
      </c>
      <c r="C434" s="26" t="inlineStr">
        <is>
          <t>HA-2209-109</t>
        </is>
      </c>
      <c r="D434" s="26" t="inlineStr">
        <is>
          <t>PR2206-288</t>
        </is>
      </c>
      <c r="E434" t="inlineStr">
        <is>
          <t>HUPAC</t>
        </is>
      </c>
      <c r="F434" t="inlineStr">
        <is>
          <t>Cargo</t>
        </is>
      </c>
    </row>
    <row r="435">
      <c r="B435" s="26" t="inlineStr">
        <is>
          <t>CD2B93434347</t>
        </is>
      </c>
      <c r="C435" s="26" t="inlineStr">
        <is>
          <t>HA-2209-047</t>
        </is>
      </c>
      <c r="D435" s="26" t="inlineStr">
        <is>
          <t>PR2206-147</t>
        </is>
      </c>
      <c r="E435" t="inlineStr">
        <is>
          <t>HUPAC</t>
        </is>
      </c>
      <c r="F435" t="inlineStr">
        <is>
          <t>Cargo</t>
        </is>
      </c>
    </row>
    <row r="436">
      <c r="B436" s="26" t="inlineStr">
        <is>
          <t>D0F7F68B14B9</t>
        </is>
      </c>
      <c r="C436" s="26" t="inlineStr">
        <is>
          <t>HA-2209-121</t>
        </is>
      </c>
      <c r="D436" s="26" t="inlineStr">
        <is>
          <t>PR2206-595</t>
        </is>
      </c>
      <c r="E436" t="inlineStr">
        <is>
          <t>HUPAC</t>
        </is>
      </c>
      <c r="F436" t="inlineStr">
        <is>
          <t>Cargo</t>
        </is>
      </c>
    </row>
    <row r="437">
      <c r="B437" s="26" t="inlineStr">
        <is>
          <t>ECF4DCB00856</t>
        </is>
      </c>
      <c r="C437" s="26" t="inlineStr">
        <is>
          <t>HA-2209-033</t>
        </is>
      </c>
      <c r="D437" s="26" t="inlineStr">
        <is>
          <t>PR2206-250</t>
        </is>
      </c>
      <c r="E437" t="inlineStr">
        <is>
          <t>HUPAC</t>
        </is>
      </c>
      <c r="F437" t="inlineStr">
        <is>
          <t>Cargo</t>
        </is>
      </c>
    </row>
    <row r="438">
      <c r="B438" s="26" t="inlineStr">
        <is>
          <t>FC41C64CD0C5</t>
        </is>
      </c>
      <c r="C438" s="26" t="inlineStr">
        <is>
          <t>HA-2209-030</t>
        </is>
      </c>
      <c r="D438" s="26" t="inlineStr">
        <is>
          <t>PR2206-212</t>
        </is>
      </c>
      <c r="E438" t="inlineStr">
        <is>
          <t>HUPAC</t>
        </is>
      </c>
      <c r="F438" t="inlineStr">
        <is>
          <t>Cargo</t>
        </is>
      </c>
    </row>
    <row r="439">
      <c r="B439" s="26" t="inlineStr">
        <is>
          <t>C66864FE4B44</t>
        </is>
      </c>
      <c r="C439" s="26" t="inlineStr">
        <is>
          <t>HA-2209-058</t>
        </is>
      </c>
      <c r="D439" s="26" t="inlineStr">
        <is>
          <t>PR2206-285</t>
        </is>
      </c>
      <c r="E439" t="inlineStr">
        <is>
          <t>HUPAC</t>
        </is>
      </c>
      <c r="F439" t="inlineStr">
        <is>
          <t>Cargo</t>
        </is>
      </c>
    </row>
    <row r="440">
      <c r="B440" s="26" t="inlineStr">
        <is>
          <t>E184C92FFAB2</t>
        </is>
      </c>
      <c r="C440" s="26" t="inlineStr">
        <is>
          <t>HA-2209-108</t>
        </is>
      </c>
      <c r="D440" s="26" t="inlineStr">
        <is>
          <t>PR2206-286</t>
        </is>
      </c>
      <c r="E440" t="inlineStr">
        <is>
          <t>HUPAC</t>
        </is>
      </c>
      <c r="F440" t="inlineStr">
        <is>
          <t>Cargo</t>
        </is>
      </c>
    </row>
    <row r="441">
      <c r="B441" s="26" t="inlineStr">
        <is>
          <t>C0E99A5C56FB</t>
        </is>
      </c>
      <c r="C441" s="26" t="inlineStr">
        <is>
          <t>HA-2209-141</t>
        </is>
      </c>
      <c r="D441" s="26" t="inlineStr">
        <is>
          <t>PR2206-317</t>
        </is>
      </c>
      <c r="E441" t="inlineStr">
        <is>
          <t>HUPAC</t>
        </is>
      </c>
      <c r="F441" t="inlineStr">
        <is>
          <t>Cargo</t>
        </is>
      </c>
    </row>
    <row r="442">
      <c r="B442" s="26" t="inlineStr">
        <is>
          <t>E518B773B503</t>
        </is>
      </c>
      <c r="C442" s="26" t="inlineStr">
        <is>
          <t>HA-2209-031</t>
        </is>
      </c>
      <c r="D442" s="26" t="inlineStr">
        <is>
          <t>PR2206-300</t>
        </is>
      </c>
      <c r="E442" t="inlineStr">
        <is>
          <t>HUPAC</t>
        </is>
      </c>
      <c r="F442" t="inlineStr">
        <is>
          <t>Cargo</t>
        </is>
      </c>
    </row>
    <row r="443">
      <c r="B443" s="26" t="inlineStr">
        <is>
          <t>E98C80C7F27E</t>
        </is>
      </c>
      <c r="C443" s="26" t="inlineStr">
        <is>
          <t>HA-2209-081</t>
        </is>
      </c>
      <c r="D443" s="26" t="inlineStr">
        <is>
          <t>PR2206-244</t>
        </is>
      </c>
      <c r="E443" t="inlineStr">
        <is>
          <t>HUPAC</t>
        </is>
      </c>
      <c r="F443" t="inlineStr">
        <is>
          <t>Cargo</t>
        </is>
      </c>
    </row>
    <row r="444">
      <c r="B444" s="26" t="inlineStr">
        <is>
          <t>D43CBF765E47</t>
        </is>
      </c>
      <c r="C444" s="26" t="inlineStr">
        <is>
          <t>HA-2209-018</t>
        </is>
      </c>
      <c r="D444" s="26" t="inlineStr">
        <is>
          <t>PR2206-150</t>
        </is>
      </c>
      <c r="E444" t="inlineStr">
        <is>
          <t>HUPAC</t>
        </is>
      </c>
      <c r="F444" t="inlineStr">
        <is>
          <t>Cargo</t>
        </is>
      </c>
    </row>
    <row r="445">
      <c r="B445" s="26" t="inlineStr">
        <is>
          <t>C06E2A035613</t>
        </is>
      </c>
      <c r="C445" s="26" t="inlineStr">
        <is>
          <t>HA-2209-052</t>
        </is>
      </c>
      <c r="D445" s="26" t="inlineStr">
        <is>
          <t>PR2206-273</t>
        </is>
      </c>
      <c r="E445" t="inlineStr">
        <is>
          <t>HUPAC</t>
        </is>
      </c>
      <c r="F445" t="inlineStr">
        <is>
          <t>Cargo</t>
        </is>
      </c>
    </row>
    <row r="446">
      <c r="B446" s="26" t="inlineStr">
        <is>
          <t>E0272A7D421C</t>
        </is>
      </c>
      <c r="C446" s="26" t="inlineStr">
        <is>
          <t>HA-2209-065</t>
        </is>
      </c>
      <c r="D446" s="26" t="inlineStr">
        <is>
          <t>PR2206-245</t>
        </is>
      </c>
      <c r="E446" t="inlineStr">
        <is>
          <t>HUPAC</t>
        </is>
      </c>
      <c r="F446" t="inlineStr">
        <is>
          <t>Cargo</t>
        </is>
      </c>
    </row>
    <row r="447">
      <c r="B447" s="26" t="inlineStr">
        <is>
          <t>EB9D01523817</t>
        </is>
      </c>
      <c r="C447" s="26" t="inlineStr">
        <is>
          <t>HA-2209-113</t>
        </is>
      </c>
      <c r="D447" s="26" t="inlineStr">
        <is>
          <t>PR2206-145</t>
        </is>
      </c>
      <c r="E447" t="inlineStr">
        <is>
          <t>HUPAC</t>
        </is>
      </c>
      <c r="F447" t="inlineStr">
        <is>
          <t>Cargo</t>
        </is>
      </c>
    </row>
    <row r="448">
      <c r="B448" s="26" t="inlineStr">
        <is>
          <t>D09A0AFD0704</t>
        </is>
      </c>
      <c r="C448" s="26" t="inlineStr">
        <is>
          <t>HA-2209-010</t>
        </is>
      </c>
      <c r="D448" s="26" t="inlineStr">
        <is>
          <t>PR2206-281</t>
        </is>
      </c>
      <c r="E448" t="inlineStr">
        <is>
          <t>HUPAC</t>
        </is>
      </c>
      <c r="F448" t="inlineStr">
        <is>
          <t>Cargo</t>
        </is>
      </c>
    </row>
    <row r="449">
      <c r="B449" s="26" t="inlineStr">
        <is>
          <t>C99C6CCC521C</t>
        </is>
      </c>
      <c r="C449" s="26" t="inlineStr">
        <is>
          <t>HA-2206-142</t>
        </is>
      </c>
      <c r="D449" s="26" t="inlineStr">
        <is>
          <t>PR2206-308</t>
        </is>
      </c>
      <c r="E449" t="inlineStr">
        <is>
          <t>HUPAC</t>
        </is>
      </c>
      <c r="F449" t="inlineStr">
        <is>
          <t>Cargo</t>
        </is>
      </c>
    </row>
    <row r="450">
      <c r="B450" s="26" t="inlineStr">
        <is>
          <t>E67264EA024D</t>
        </is>
      </c>
      <c r="C450" s="26" t="inlineStr">
        <is>
          <t>HA-2209-075</t>
        </is>
      </c>
      <c r="D450" s="26" t="inlineStr">
        <is>
          <t>PR2206-259</t>
        </is>
      </c>
      <c r="E450" t="inlineStr">
        <is>
          <t>HUPAC</t>
        </is>
      </c>
      <c r="F450" t="inlineStr">
        <is>
          <t>Cargo</t>
        </is>
      </c>
    </row>
    <row r="451">
      <c r="B451" s="26" t="inlineStr">
        <is>
          <t>CFF659E57780</t>
        </is>
      </c>
      <c r="C451" s="26" t="inlineStr">
        <is>
          <t>HA-2209-117</t>
        </is>
      </c>
      <c r="D451" s="26" t="inlineStr">
        <is>
          <t>PR2206-112</t>
        </is>
      </c>
      <c r="E451" t="inlineStr">
        <is>
          <t>HUPAC</t>
        </is>
      </c>
      <c r="F451" t="inlineStr">
        <is>
          <t>Cargo</t>
        </is>
      </c>
    </row>
    <row r="452">
      <c r="B452" s="26" t="inlineStr">
        <is>
          <t>DC79180208C0</t>
        </is>
      </c>
      <c r="C452" s="26" t="inlineStr">
        <is>
          <t>HA-2209-069</t>
        </is>
      </c>
      <c r="D452" s="26" t="inlineStr">
        <is>
          <t>PR2206-588</t>
        </is>
      </c>
      <c r="E452" t="inlineStr">
        <is>
          <t>HUPAC</t>
        </is>
      </c>
      <c r="F452" t="inlineStr">
        <is>
          <t>Cargo</t>
        </is>
      </c>
    </row>
    <row r="453">
      <c r="B453" s="26" t="inlineStr">
        <is>
          <t>EF43B9AFD417</t>
        </is>
      </c>
      <c r="C453" s="26" t="inlineStr">
        <is>
          <t>HA-2209-071</t>
        </is>
      </c>
      <c r="D453" s="26" t="inlineStr">
        <is>
          <t>PR2206-123</t>
        </is>
      </c>
      <c r="E453" t="inlineStr">
        <is>
          <t>HUPAC</t>
        </is>
      </c>
      <c r="F453" t="inlineStr">
        <is>
          <t>Cargo</t>
        </is>
      </c>
    </row>
    <row r="454">
      <c r="B454" s="26" t="inlineStr">
        <is>
          <t>DDDF2790CC61</t>
        </is>
      </c>
      <c r="C454" s="26" t="inlineStr">
        <is>
          <t>HA-2209-119</t>
        </is>
      </c>
      <c r="D454" s="26" t="inlineStr">
        <is>
          <t>PR2206-159</t>
        </is>
      </c>
      <c r="E454" t="inlineStr">
        <is>
          <t>HUPAC</t>
        </is>
      </c>
      <c r="F454" t="inlineStr">
        <is>
          <t>Cargo</t>
        </is>
      </c>
    </row>
    <row r="455">
      <c r="B455" s="26" t="inlineStr">
        <is>
          <t>F47856796BC4</t>
        </is>
      </c>
      <c r="C455" s="26" t="inlineStr">
        <is>
          <t>HA-2209-110</t>
        </is>
      </c>
      <c r="D455" s="26" t="inlineStr">
        <is>
          <t>PR2206-257</t>
        </is>
      </c>
      <c r="E455" t="inlineStr">
        <is>
          <t>HUPAC</t>
        </is>
      </c>
      <c r="F455" t="inlineStr">
        <is>
          <t>Cargo</t>
        </is>
      </c>
    </row>
    <row r="456">
      <c r="B456" s="26" t="inlineStr">
        <is>
          <t>DD1214A22906</t>
        </is>
      </c>
      <c r="C456" s="26" t="inlineStr">
        <is>
          <t>HA-2209-180</t>
        </is>
      </c>
      <c r="D456" s="26" t="inlineStr">
        <is>
          <t>PR2206-175</t>
        </is>
      </c>
      <c r="E456" t="inlineStr">
        <is>
          <t>HUPAC</t>
        </is>
      </c>
      <c r="F456" t="inlineStr">
        <is>
          <t>Cargo</t>
        </is>
      </c>
    </row>
    <row r="457">
      <c r="B457" s="26" t="inlineStr">
        <is>
          <t>F1084A47D17C</t>
        </is>
      </c>
      <c r="C457" s="26" t="inlineStr">
        <is>
          <t>HA-2209-173</t>
        </is>
      </c>
      <c r="D457" s="26" t="inlineStr">
        <is>
          <t>PR2206-216</t>
        </is>
      </c>
      <c r="E457" t="inlineStr">
        <is>
          <t>HUPAC</t>
        </is>
      </c>
      <c r="F457" t="inlineStr">
        <is>
          <t>Cargo</t>
        </is>
      </c>
    </row>
    <row r="458">
      <c r="B458" s="26" t="inlineStr">
        <is>
          <t>EB6320B47868</t>
        </is>
      </c>
      <c r="C458" s="26" t="inlineStr">
        <is>
          <t>HA-2209-038</t>
        </is>
      </c>
      <c r="D458" s="26" t="inlineStr">
        <is>
          <t>PR2206-217</t>
        </is>
      </c>
      <c r="E458" t="inlineStr">
        <is>
          <t>HUPAC</t>
        </is>
      </c>
      <c r="F458" t="inlineStr">
        <is>
          <t>Cargo</t>
        </is>
      </c>
    </row>
    <row r="459">
      <c r="B459" s="26" t="inlineStr">
        <is>
          <t>C588E7729040</t>
        </is>
      </c>
      <c r="C459" s="26" t="inlineStr">
        <is>
          <t>HA-2209-025</t>
        </is>
      </c>
      <c r="D459" s="26" t="inlineStr">
        <is>
          <t>PR2206-583</t>
        </is>
      </c>
      <c r="E459" t="inlineStr">
        <is>
          <t>HUPAC</t>
        </is>
      </c>
      <c r="F459" t="inlineStr">
        <is>
          <t>Cargo</t>
        </is>
      </c>
    </row>
    <row r="460">
      <c r="B460" s="26" t="inlineStr">
        <is>
          <t>EE5B4926C658</t>
        </is>
      </c>
      <c r="C460" s="26" t="inlineStr">
        <is>
          <t>HA-2209-066</t>
        </is>
      </c>
      <c r="D460" s="26" t="inlineStr">
        <is>
          <t>PR2206-225</t>
        </is>
      </c>
      <c r="E460" t="inlineStr">
        <is>
          <t>HUPAC</t>
        </is>
      </c>
      <c r="F460" t="inlineStr">
        <is>
          <t>Cargo</t>
        </is>
      </c>
    </row>
    <row r="461">
      <c r="B461" s="26" t="inlineStr">
        <is>
          <t>C3FD18B61654</t>
        </is>
      </c>
      <c r="C461" s="26" t="inlineStr">
        <is>
          <t>HA-2209-062</t>
        </is>
      </c>
      <c r="D461" s="26" t="inlineStr">
        <is>
          <t>PR2206-111</t>
        </is>
      </c>
      <c r="E461" t="inlineStr">
        <is>
          <t>HUPAC</t>
        </is>
      </c>
      <c r="F461" t="inlineStr">
        <is>
          <t>Cargo</t>
        </is>
      </c>
    </row>
    <row r="462">
      <c r="B462" s="26" t="inlineStr">
        <is>
          <t>D2E6572D7717</t>
        </is>
      </c>
      <c r="C462" s="26" t="inlineStr">
        <is>
          <t>HA-2209-120</t>
        </is>
      </c>
      <c r="D462" s="26" t="inlineStr">
        <is>
          <t>PR2206-167</t>
        </is>
      </c>
      <c r="E462" t="inlineStr">
        <is>
          <t>HUPAC</t>
        </is>
      </c>
      <c r="F462" t="inlineStr">
        <is>
          <t>Cargo</t>
        </is>
      </c>
    </row>
    <row r="463">
      <c r="B463" s="26" t="inlineStr">
        <is>
          <t>C49222669068</t>
        </is>
      </c>
      <c r="C463" s="26" t="inlineStr">
        <is>
          <t>HA-2209-039</t>
        </is>
      </c>
      <c r="D463" s="26" t="inlineStr">
        <is>
          <t>PR2206-267</t>
        </is>
      </c>
      <c r="E463" t="inlineStr">
        <is>
          <t>HUPAC</t>
        </is>
      </c>
      <c r="F463" t="inlineStr">
        <is>
          <t>Cargo</t>
        </is>
      </c>
    </row>
    <row r="464">
      <c r="B464" s="26" t="inlineStr">
        <is>
          <t>D48659998F09</t>
        </is>
      </c>
      <c r="C464" s="26" t="inlineStr">
        <is>
          <t>HA-2209-017</t>
        </is>
      </c>
      <c r="D464" s="26" t="inlineStr">
        <is>
          <t>PR2206-261</t>
        </is>
      </c>
      <c r="E464" t="inlineStr">
        <is>
          <t>HUPAC</t>
        </is>
      </c>
      <c r="F464" t="inlineStr">
        <is>
          <t>Cargo</t>
        </is>
      </c>
    </row>
    <row r="465">
      <c r="B465" s="26" t="inlineStr">
        <is>
          <t>D873C30C0E60</t>
        </is>
      </c>
      <c r="C465" s="26" t="inlineStr">
        <is>
          <t>HA-2209-106</t>
        </is>
      </c>
      <c r="D465" s="26" t="inlineStr">
        <is>
          <t>PR2206-xxx</t>
        </is>
      </c>
      <c r="E465" t="inlineStr">
        <is>
          <t>HUPAC</t>
        </is>
      </c>
      <c r="F465" t="inlineStr">
        <is>
          <t>Cargo</t>
        </is>
      </c>
    </row>
    <row r="466">
      <c r="B466" s="26" t="inlineStr">
        <is>
          <t>C7625AF0D450</t>
        </is>
      </c>
      <c r="C466" s="26" t="inlineStr">
        <is>
          <t>HA-2209-068</t>
        </is>
      </c>
      <c r="D466" s="26" t="inlineStr">
        <is>
          <t>PR2206-165</t>
        </is>
      </c>
      <c r="E466" t="inlineStr">
        <is>
          <t>HUPAC</t>
        </is>
      </c>
      <c r="F466" t="inlineStr">
        <is>
          <t>Cargo</t>
        </is>
      </c>
    </row>
    <row r="467">
      <c r="B467" s="26" t="inlineStr">
        <is>
          <t>F894C3C83728</t>
        </is>
      </c>
      <c r="C467" s="26" t="inlineStr">
        <is>
          <t>HA-2209-019</t>
        </is>
      </c>
      <c r="D467" s="26" t="inlineStr">
        <is>
          <t>PR2206-294</t>
        </is>
      </c>
      <c r="E467" t="inlineStr">
        <is>
          <t>HUPAC</t>
        </is>
      </c>
      <c r="F467" t="inlineStr">
        <is>
          <t>Cargo</t>
        </is>
      </c>
    </row>
    <row r="468">
      <c r="B468" s="26" t="inlineStr">
        <is>
          <t>E729E7C50E18</t>
        </is>
      </c>
      <c r="C468" s="26" t="inlineStr">
        <is>
          <t>HA-2209-063</t>
        </is>
      </c>
      <c r="D468" s="26" t="inlineStr">
        <is>
          <t>PR2206-258</t>
        </is>
      </c>
      <c r="E468" t="inlineStr">
        <is>
          <t>HUPAC</t>
        </is>
      </c>
      <c r="F468" t="inlineStr">
        <is>
          <t>Cargo</t>
        </is>
      </c>
    </row>
    <row r="469">
      <c r="B469" s="26" t="inlineStr">
        <is>
          <t>DDE1DE85E976</t>
        </is>
      </c>
      <c r="C469" s="26" t="inlineStr">
        <is>
          <t>HA-2209-145</t>
        </is>
      </c>
      <c r="D469" s="26" t="inlineStr">
        <is>
          <t>PR2206-214</t>
        </is>
      </c>
      <c r="E469" t="inlineStr">
        <is>
          <t>HUPAC</t>
        </is>
      </c>
      <c r="F469" t="inlineStr">
        <is>
          <t>Cargo</t>
        </is>
      </c>
    </row>
    <row r="470">
      <c r="B470" s="26" t="inlineStr">
        <is>
          <t>D3E384EBD041</t>
        </is>
      </c>
      <c r="C470" s="26" t="inlineStr">
        <is>
          <t>HA-2209-143</t>
        </is>
      </c>
      <c r="D470" s="26" t="inlineStr">
        <is>
          <t>PR2206-314</t>
        </is>
      </c>
      <c r="E470" t="inlineStr">
        <is>
          <t>HUPAC</t>
        </is>
      </c>
      <c r="F470" t="inlineStr">
        <is>
          <t>Cargo</t>
        </is>
      </c>
    </row>
    <row r="471">
      <c r="B471" s="26" t="inlineStr">
        <is>
          <t>C99173CF2728</t>
        </is>
      </c>
      <c r="C471" s="26" t="inlineStr">
        <is>
          <t>HA-2209-041</t>
        </is>
      </c>
      <c r="D471" s="26" t="inlineStr">
        <is>
          <t>PR2206-272</t>
        </is>
      </c>
      <c r="E471" t="inlineStr">
        <is>
          <t>HUPAC</t>
        </is>
      </c>
      <c r="F471" t="inlineStr">
        <is>
          <t>Cargo</t>
        </is>
      </c>
    </row>
    <row r="472">
      <c r="B472" s="26" t="inlineStr">
        <is>
          <t>E1A2F2136A40</t>
        </is>
      </c>
      <c r="C472" s="26" t="inlineStr">
        <is>
          <t>HA-2209-059</t>
        </is>
      </c>
      <c r="D472" s="26" t="inlineStr">
        <is>
          <t>PR2206-126</t>
        </is>
      </c>
      <c r="E472" t="inlineStr">
        <is>
          <t>HUPAC</t>
        </is>
      </c>
      <c r="F472" t="inlineStr">
        <is>
          <t>Cargo</t>
        </is>
      </c>
    </row>
    <row r="473">
      <c r="B473" s="26" t="inlineStr">
        <is>
          <t>C5C199067FB3</t>
        </is>
      </c>
      <c r="C473" s="26" t="inlineStr">
        <is>
          <t>HA-2209-020</t>
        </is>
      </c>
      <c r="D473" s="26" t="inlineStr">
        <is>
          <t>PR2206-233</t>
        </is>
      </c>
      <c r="E473" t="inlineStr">
        <is>
          <t>HUPAC</t>
        </is>
      </c>
      <c r="F473" t="inlineStr">
        <is>
          <t>Cargo</t>
        </is>
      </c>
    </row>
    <row r="474">
      <c r="B474" s="26" t="inlineStr">
        <is>
          <t>F4CA43CC0F3A</t>
        </is>
      </c>
      <c r="C474" s="26" t="inlineStr">
        <is>
          <t>HA-2209-015</t>
        </is>
      </c>
      <c r="D474" s="26" t="inlineStr">
        <is>
          <t>PR2206-234</t>
        </is>
      </c>
      <c r="E474" t="inlineStr">
        <is>
          <t>HUPAC</t>
        </is>
      </c>
      <c r="F474" t="inlineStr">
        <is>
          <t>Cargo</t>
        </is>
      </c>
    </row>
    <row r="475">
      <c r="B475" s="26" t="inlineStr">
        <is>
          <t>EFECEB730166</t>
        </is>
      </c>
      <c r="C475" s="26" t="inlineStr">
        <is>
          <t>HA-2209-079</t>
        </is>
      </c>
      <c r="D475" s="26" t="inlineStr">
        <is>
          <t>PR2206-246</t>
        </is>
      </c>
      <c r="E475" t="inlineStr">
        <is>
          <t>HUPAC</t>
        </is>
      </c>
      <c r="F475" t="inlineStr">
        <is>
          <t>Cargo</t>
        </is>
      </c>
    </row>
    <row r="476">
      <c r="B476" s="26" t="inlineStr">
        <is>
          <t>E8CA9C77577E</t>
        </is>
      </c>
      <c r="C476" s="26" t="inlineStr">
        <is>
          <t>HA-2209-074</t>
        </is>
      </c>
      <c r="D476" s="26" t="inlineStr">
        <is>
          <t>PR2206-226</t>
        </is>
      </c>
      <c r="E476" t="inlineStr">
        <is>
          <t>HUPAC</t>
        </is>
      </c>
      <c r="F476" t="inlineStr">
        <is>
          <t>Cargo</t>
        </is>
      </c>
    </row>
    <row r="477">
      <c r="B477" s="26" t="inlineStr">
        <is>
          <t>FA0F51DA48F4</t>
        </is>
      </c>
      <c r="C477" s="26" t="inlineStr">
        <is>
          <t>HA-2209-037</t>
        </is>
      </c>
      <c r="D477" s="26" t="inlineStr">
        <is>
          <t>PR2206-148</t>
        </is>
      </c>
      <c r="E477" t="inlineStr">
        <is>
          <t>HUPAC</t>
        </is>
      </c>
      <c r="F477" t="inlineStr">
        <is>
          <t>Cargo</t>
        </is>
      </c>
    </row>
    <row r="478">
      <c r="B478" s="26" t="inlineStr">
        <is>
          <t>F3FD68E6CD43</t>
        </is>
      </c>
      <c r="C478" s="26" t="inlineStr">
        <is>
          <t>HA-2209-026</t>
        </is>
      </c>
      <c r="D478" s="26" t="inlineStr">
        <is>
          <t>PR2206-130</t>
        </is>
      </c>
      <c r="E478" t="inlineStr">
        <is>
          <t>HUPAC</t>
        </is>
      </c>
      <c r="F478" t="inlineStr">
        <is>
          <t>Cargo</t>
        </is>
      </c>
    </row>
    <row r="479">
      <c r="B479" s="26" t="inlineStr">
        <is>
          <t>C8B42B665B51</t>
        </is>
      </c>
      <c r="C479" s="26" t="inlineStr">
        <is>
          <t>HA-2209-070</t>
        </is>
      </c>
      <c r="D479" s="26" t="inlineStr">
        <is>
          <t>PR2206-223</t>
        </is>
      </c>
      <c r="E479" t="inlineStr">
        <is>
          <t>HUPAC</t>
        </is>
      </c>
      <c r="F479" t="inlineStr">
        <is>
          <t>Cargo</t>
        </is>
      </c>
    </row>
    <row r="480">
      <c r="B480" s="26" t="inlineStr">
        <is>
          <t>F9D8FEA39FD9</t>
        </is>
      </c>
      <c r="C480" s="26" t="inlineStr">
        <is>
          <t>HA-2209-142</t>
        </is>
      </c>
      <c r="D480" s="26" t="inlineStr">
        <is>
          <t>PR2206-237</t>
        </is>
      </c>
      <c r="E480" t="inlineStr">
        <is>
          <t>HUPAC</t>
        </is>
      </c>
      <c r="F480" t="inlineStr">
        <is>
          <t>Cargo</t>
        </is>
      </c>
    </row>
    <row r="481">
      <c r="B481" s="26" t="inlineStr">
        <is>
          <t>F5FBB25B3E47</t>
        </is>
      </c>
      <c r="C481" s="26" t="inlineStr">
        <is>
          <t>HA-2209-116</t>
        </is>
      </c>
      <c r="D481" s="26" t="inlineStr">
        <is>
          <t>PR2206-191</t>
        </is>
      </c>
      <c r="E481" t="inlineStr">
        <is>
          <t>HUPAC</t>
        </is>
      </c>
      <c r="F481" t="inlineStr">
        <is>
          <t>Cargo</t>
        </is>
      </c>
    </row>
    <row r="482">
      <c r="B482" s="26" t="inlineStr">
        <is>
          <t>D4A0E26B4848</t>
        </is>
      </c>
      <c r="C482" s="26" t="inlineStr">
        <is>
          <t>HA-2209-028</t>
        </is>
      </c>
      <c r="D482" s="26" t="inlineStr">
        <is>
          <t>PR2206-589</t>
        </is>
      </c>
      <c r="E482" t="inlineStr">
        <is>
          <t>HUPAC</t>
        </is>
      </c>
      <c r="F482" t="inlineStr">
        <is>
          <t>Cargo</t>
        </is>
      </c>
    </row>
    <row r="483">
      <c r="B483" s="26" t="inlineStr">
        <is>
          <t>EEB9297F39F3</t>
        </is>
      </c>
      <c r="C483" s="26" t="inlineStr">
        <is>
          <t>HA-2209-080</t>
        </is>
      </c>
      <c r="D483" s="26" t="inlineStr">
        <is>
          <t>PR2206-221</t>
        </is>
      </c>
      <c r="E483" t="inlineStr">
        <is>
          <t>HUPAC</t>
        </is>
      </c>
      <c r="F483" t="inlineStr">
        <is>
          <t>Cargo</t>
        </is>
      </c>
    </row>
    <row r="484">
      <c r="B484" s="26" t="inlineStr">
        <is>
          <t>CAB673176E7D</t>
        </is>
      </c>
      <c r="C484" s="26" t="inlineStr">
        <is>
          <t>HA-2206-075</t>
        </is>
      </c>
      <c r="D484" s="26" t="inlineStr">
        <is>
          <t>PR2206-315</t>
        </is>
      </c>
      <c r="E484" t="inlineStr">
        <is>
          <t>HUPAC</t>
        </is>
      </c>
      <c r="F484" t="inlineStr">
        <is>
          <t>Cargo</t>
        </is>
      </c>
    </row>
    <row r="485">
      <c r="B485" s="26" t="inlineStr">
        <is>
          <t>E7FBDA5033BA</t>
        </is>
      </c>
      <c r="C485" s="26" t="inlineStr">
        <is>
          <t>HA-2206-087</t>
        </is>
      </c>
      <c r="D485" s="26" t="inlineStr">
        <is>
          <t>PR2206-095</t>
        </is>
      </c>
      <c r="E485" t="inlineStr">
        <is>
          <t>HUPAC</t>
        </is>
      </c>
      <c r="F485" t="inlineStr">
        <is>
          <t>Cargo</t>
        </is>
      </c>
    </row>
    <row r="486">
      <c r="B486" s="26" t="inlineStr">
        <is>
          <t>CB408D13862F</t>
        </is>
      </c>
      <c r="C486" s="26" t="inlineStr">
        <is>
          <t>HA-2206-125</t>
        </is>
      </c>
      <c r="D486" s="26" t="inlineStr">
        <is>
          <t>PR2206-079</t>
        </is>
      </c>
      <c r="E486" t="inlineStr">
        <is>
          <t>HUPAC</t>
        </is>
      </c>
      <c r="F486" t="inlineStr">
        <is>
          <t>Cargo</t>
        </is>
      </c>
    </row>
    <row r="487">
      <c r="B487" s="26" t="inlineStr">
        <is>
          <t>E6A387ABC876</t>
        </is>
      </c>
      <c r="C487" s="26" t="inlineStr">
        <is>
          <t>HA-2206-040</t>
        </is>
      </c>
      <c r="D487" s="26" t="inlineStr">
        <is>
          <t>PR2206-373</t>
        </is>
      </c>
      <c r="E487" t="inlineStr">
        <is>
          <t>HUPAC</t>
        </is>
      </c>
      <c r="F487" t="inlineStr">
        <is>
          <t>Cargo</t>
        </is>
      </c>
    </row>
    <row r="488">
      <c r="B488" s="26" t="inlineStr">
        <is>
          <t>EBA5C7C489C9</t>
        </is>
      </c>
      <c r="C488" s="26" t="inlineStr">
        <is>
          <t>HA-2206-176</t>
        </is>
      </c>
      <c r="D488" s="26" t="inlineStr">
        <is>
          <t>PR2206-088</t>
        </is>
      </c>
      <c r="E488" t="inlineStr">
        <is>
          <t>HUPAC</t>
        </is>
      </c>
      <c r="F488" t="inlineStr">
        <is>
          <t>Cargo</t>
        </is>
      </c>
    </row>
    <row r="489">
      <c r="B489" s="26" t="inlineStr">
        <is>
          <t>EFA449C53205</t>
        </is>
      </c>
      <c r="C489" s="26" t="inlineStr">
        <is>
          <t>HA-2206-094</t>
        </is>
      </c>
      <c r="D489" s="26" t="inlineStr">
        <is>
          <t>PR2206-022</t>
        </is>
      </c>
      <c r="E489" t="inlineStr">
        <is>
          <t>HUPAC</t>
        </is>
      </c>
      <c r="F489" t="inlineStr">
        <is>
          <t>Cargo</t>
        </is>
      </c>
    </row>
    <row r="490">
      <c r="B490" s="26" t="inlineStr">
        <is>
          <t>D4E2096CA210</t>
        </is>
      </c>
      <c r="C490" s="26" t="inlineStr">
        <is>
          <t>HA-2206-093</t>
        </is>
      </c>
      <c r="D490" s="26" t="inlineStr">
        <is>
          <t>PR2206-335</t>
        </is>
      </c>
      <c r="E490" t="inlineStr">
        <is>
          <t>HUPAC</t>
        </is>
      </c>
      <c r="F490" t="inlineStr">
        <is>
          <t>Cargo</t>
        </is>
      </c>
    </row>
    <row r="491">
      <c r="B491" s="26" t="inlineStr">
        <is>
          <t>EE3BEC59EB69</t>
        </is>
      </c>
      <c r="C491" s="26" t="inlineStr">
        <is>
          <t>HA-2206-079</t>
        </is>
      </c>
      <c r="D491" s="26" t="inlineStr">
        <is>
          <t>PR2206-368</t>
        </is>
      </c>
      <c r="E491" t="inlineStr">
        <is>
          <t>HUPAC</t>
        </is>
      </c>
      <c r="F491" t="inlineStr">
        <is>
          <t>Cargo</t>
        </is>
      </c>
    </row>
    <row r="492">
      <c r="B492" s="26" t="inlineStr">
        <is>
          <t>F16649241539</t>
        </is>
      </c>
      <c r="C492" s="26" t="inlineStr">
        <is>
          <t>HA-2209-125</t>
        </is>
      </c>
      <c r="D492" s="26" t="inlineStr">
        <is>
          <t>PR2206-256</t>
        </is>
      </c>
      <c r="E492" t="inlineStr">
        <is>
          <t>AMBROGIO</t>
        </is>
      </c>
      <c r="F492" t="inlineStr">
        <is>
          <t>Cargo</t>
        </is>
      </c>
    </row>
    <row r="493">
      <c r="B493" s="26" t="inlineStr">
        <is>
          <t>E26237ED966D</t>
        </is>
      </c>
      <c r="C493" s="26" t="inlineStr">
        <is>
          <t>HA-2209-148</t>
        </is>
      </c>
      <c r="D493" s="26" t="inlineStr">
        <is>
          <t>PR2206-168</t>
        </is>
      </c>
      <c r="E493" t="inlineStr">
        <is>
          <t>AMBROGIO</t>
        </is>
      </c>
      <c r="F493" t="inlineStr">
        <is>
          <t>Cargo</t>
        </is>
      </c>
    </row>
    <row r="494">
      <c r="B494" s="26" t="inlineStr">
        <is>
          <t>F4B7818FC735</t>
        </is>
      </c>
      <c r="C494" s="26" t="inlineStr">
        <is>
          <t>HA-2209-127</t>
        </is>
      </c>
      <c r="D494" s="26" t="inlineStr">
        <is>
          <t>PR2206-578</t>
        </is>
      </c>
      <c r="E494" t="inlineStr">
        <is>
          <t>AMBROGIO</t>
        </is>
      </c>
      <c r="F494" t="inlineStr">
        <is>
          <t>Cargo</t>
        </is>
      </c>
    </row>
    <row r="495">
      <c r="B495" s="26" t="inlineStr">
        <is>
          <t>E49D43332DA4</t>
        </is>
      </c>
      <c r="C495" s="26" t="inlineStr">
        <is>
          <t>HA-2209-130</t>
        </is>
      </c>
      <c r="D495" s="26" t="inlineStr">
        <is>
          <t>PR2206-188</t>
        </is>
      </c>
      <c r="E495" t="inlineStr">
        <is>
          <t>AMBROGIO</t>
        </is>
      </c>
      <c r="F495" t="inlineStr">
        <is>
          <t>Cargo</t>
        </is>
      </c>
    </row>
    <row r="496">
      <c r="B496" s="26" t="inlineStr">
        <is>
          <t>C803A8A92DB4</t>
        </is>
      </c>
      <c r="C496" s="26" t="inlineStr">
        <is>
          <t>HA-2209-131</t>
        </is>
      </c>
      <c r="D496" s="26" t="inlineStr">
        <is>
          <t>PR2206-119</t>
        </is>
      </c>
      <c r="E496" t="inlineStr">
        <is>
          <t>AMBROGIO</t>
        </is>
      </c>
      <c r="F496" t="inlineStr">
        <is>
          <t>Cargo</t>
        </is>
      </c>
    </row>
    <row r="497">
      <c r="B497" s="26" t="inlineStr">
        <is>
          <t>D39658056B81</t>
        </is>
      </c>
      <c r="C497" s="26" t="inlineStr">
        <is>
          <t>HA-2209-129</t>
        </is>
      </c>
      <c r="D497" s="26" t="inlineStr">
        <is>
          <t>PR2206-114</t>
        </is>
      </c>
      <c r="E497" t="inlineStr">
        <is>
          <t>AMBROGIO</t>
        </is>
      </c>
      <c r="F497" t="inlineStr">
        <is>
          <t>Cargo</t>
        </is>
      </c>
    </row>
    <row r="498">
      <c r="B498" s="26" t="inlineStr">
        <is>
          <t>CFEB10F3A38D</t>
        </is>
      </c>
      <c r="C498" s="26" t="inlineStr">
        <is>
          <t>HA-2209-128</t>
        </is>
      </c>
      <c r="D498" s="26" t="inlineStr">
        <is>
          <t>PR2206-590</t>
        </is>
      </c>
      <c r="E498" t="inlineStr">
        <is>
          <t>AMBROGIO</t>
        </is>
      </c>
      <c r="F498" t="inlineStr">
        <is>
          <t>Cargo</t>
        </is>
      </c>
    </row>
    <row r="499">
      <c r="B499" s="26" t="inlineStr">
        <is>
          <t>D23957E62FED</t>
        </is>
      </c>
      <c r="C499" s="26" t="inlineStr">
        <is>
          <t>HA-2209-149</t>
        </is>
      </c>
      <c r="D499" s="26" t="inlineStr">
        <is>
          <t>PR2206-263</t>
        </is>
      </c>
      <c r="E499" t="inlineStr">
        <is>
          <t>AMBROGIO</t>
        </is>
      </c>
      <c r="F499" t="inlineStr">
        <is>
          <t>Cargo</t>
        </is>
      </c>
    </row>
    <row r="500">
      <c r="B500" s="26" t="inlineStr">
        <is>
          <t>E1A4EE33C0B9</t>
        </is>
      </c>
      <c r="C500" s="26" t="inlineStr">
        <is>
          <t>HA-2209-036</t>
        </is>
      </c>
      <c r="D500" s="26" t="inlineStr">
        <is>
          <t>PR2206-253</t>
        </is>
      </c>
      <c r="E500" t="inlineStr">
        <is>
          <t>RAILIZE</t>
        </is>
      </c>
      <c r="F500" t="inlineStr">
        <is>
          <t>Magnets</t>
        </is>
      </c>
    </row>
    <row r="501">
      <c r="B501" s="26" t="inlineStr">
        <is>
          <t>F2C956C25C10</t>
        </is>
      </c>
      <c r="C501" s="26" t="inlineStr">
        <is>
          <t>HA-2209-114</t>
        </is>
      </c>
      <c r="D501" s="26" t="inlineStr">
        <is>
          <t>PR2206-231</t>
        </is>
      </c>
      <c r="E501" t="inlineStr">
        <is>
          <t>RAILIZE</t>
        </is>
      </c>
      <c r="F501" t="inlineStr">
        <is>
          <t>Magnets</t>
        </is>
      </c>
    </row>
    <row r="502">
      <c r="B502" s="26" t="inlineStr">
        <is>
          <t>C776B7D03153</t>
        </is>
      </c>
      <c r="C502" s="26" t="inlineStr">
        <is>
          <t>HA-2209-029</t>
        </is>
      </c>
      <c r="D502" s="26" t="inlineStr">
        <is>
          <t>PR2206-235</t>
        </is>
      </c>
      <c r="E502" t="inlineStr">
        <is>
          <t>RAILIZE</t>
        </is>
      </c>
      <c r="F502" t="inlineStr">
        <is>
          <t>Magnets</t>
        </is>
      </c>
    </row>
    <row r="503">
      <c r="B503" s="26" t="inlineStr">
        <is>
          <t>ED2CD411E17F</t>
        </is>
      </c>
      <c r="C503" s="26" t="inlineStr">
        <is>
          <t>HA-2209-027</t>
        </is>
      </c>
      <c r="D503" s="26" t="inlineStr">
        <is>
          <t>PR2206-597</t>
        </is>
      </c>
      <c r="E503" t="inlineStr">
        <is>
          <t>RAILIZE</t>
        </is>
      </c>
      <c r="F503" t="inlineStr">
        <is>
          <t>Magnets</t>
        </is>
      </c>
    </row>
    <row r="504">
      <c r="B504" s="26" t="inlineStr">
        <is>
          <t>D3F4F91E120D</t>
        </is>
      </c>
      <c r="C504" s="26" t="inlineStr">
        <is>
          <t>HA-2209-053</t>
        </is>
      </c>
      <c r="D504" s="26" t="inlineStr">
        <is>
          <t>PR2206-232</t>
        </is>
      </c>
      <c r="E504" t="inlineStr">
        <is>
          <t>RAILIZE</t>
        </is>
      </c>
      <c r="F504" t="inlineStr">
        <is>
          <t>Magnets</t>
        </is>
      </c>
    </row>
    <row r="505">
      <c r="B505" s="26" t="inlineStr">
        <is>
          <t>C8A49F1B5230</t>
        </is>
      </c>
      <c r="C505" s="26" t="inlineStr">
        <is>
          <t>HA-2209-179</t>
        </is>
      </c>
      <c r="D505" s="26" t="inlineStr">
        <is>
          <t>PR2206-289</t>
        </is>
      </c>
      <c r="E505" t="inlineStr">
        <is>
          <t>RAILIZE</t>
        </is>
      </c>
      <c r="F505" t="inlineStr">
        <is>
          <t>Magnets</t>
        </is>
      </c>
    </row>
    <row r="506">
      <c r="B506" s="26" t="inlineStr">
        <is>
          <t>C29A8340E006</t>
        </is>
      </c>
      <c r="C506" s="26" t="inlineStr">
        <is>
          <t>HA-2209-178</t>
        </is>
      </c>
      <c r="D506" s="26" t="inlineStr">
        <is>
          <t>PR2206-117</t>
        </is>
      </c>
      <c r="E506" t="inlineStr">
        <is>
          <t>RAILIZE</t>
        </is>
      </c>
      <c r="F506" t="inlineStr">
        <is>
          <t>Magnets</t>
        </is>
      </c>
    </row>
    <row r="507">
      <c r="B507" s="26" t="inlineStr">
        <is>
          <t>EC37F7270269</t>
        </is>
      </c>
      <c r="C507" s="26" t="inlineStr">
        <is>
          <t>HA-2209-103</t>
        </is>
      </c>
      <c r="D507" s="26" t="inlineStr">
        <is>
          <t>PR2206-209</t>
        </is>
      </c>
      <c r="E507" t="inlineStr">
        <is>
          <t>RAILIZE</t>
        </is>
      </c>
      <c r="F507" t="inlineStr">
        <is>
          <t>Magnets</t>
        </is>
      </c>
    </row>
    <row r="508">
      <c r="B508" s="26" t="inlineStr">
        <is>
          <t>E054198265AF</t>
        </is>
      </c>
      <c r="C508" s="26" t="inlineStr">
        <is>
          <t>HA-2209-016</t>
        </is>
      </c>
      <c r="D508" s="26" t="inlineStr">
        <is>
          <t>PR2206-198</t>
        </is>
      </c>
      <c r="E508" t="inlineStr">
        <is>
          <t>RAILIZE</t>
        </is>
      </c>
      <c r="F508" t="inlineStr">
        <is>
          <t>Magnets</t>
        </is>
      </c>
    </row>
    <row r="509">
      <c r="B509" s="26" t="inlineStr">
        <is>
          <t>F48CFEC7F68B</t>
        </is>
      </c>
      <c r="C509" s="26" t="inlineStr">
        <is>
          <t>HA-2209-111</t>
        </is>
      </c>
      <c r="D509" s="26" t="inlineStr">
        <is>
          <t>PR2206-182</t>
        </is>
      </c>
      <c r="E509" t="inlineStr">
        <is>
          <t>RAILIZE</t>
        </is>
      </c>
      <c r="F509" t="inlineStr">
        <is>
          <t>Magnets</t>
        </is>
      </c>
    </row>
    <row r="510">
      <c r="B510" s="26" t="inlineStr">
        <is>
          <t>ED950641AD55</t>
        </is>
      </c>
      <c r="C510" s="26" t="inlineStr">
        <is>
          <t>HA-2209-067</t>
        </is>
      </c>
      <c r="D510" s="26" t="inlineStr">
        <is>
          <t>PR2206-218</t>
        </is>
      </c>
      <c r="E510" t="inlineStr">
        <is>
          <t>RAILIZE</t>
        </is>
      </c>
      <c r="F510" t="inlineStr">
        <is>
          <t>Magnets</t>
        </is>
      </c>
    </row>
    <row r="511">
      <c r="B511" s="26" t="inlineStr">
        <is>
          <t>F0168881C9E5</t>
        </is>
      </c>
      <c r="C511" s="26" t="inlineStr">
        <is>
          <t>HA-2209-073</t>
        </is>
      </c>
      <c r="D511" s="26" t="inlineStr">
        <is>
          <t>PR2206-249</t>
        </is>
      </c>
      <c r="E511" t="inlineStr">
        <is>
          <t>RAILIZE</t>
        </is>
      </c>
      <c r="F511" t="inlineStr">
        <is>
          <t>Magnets</t>
        </is>
      </c>
    </row>
    <row r="512">
      <c r="B512" s="26" t="inlineStr">
        <is>
          <t>F07DEA14D364</t>
        </is>
      </c>
      <c r="C512" s="26" t="inlineStr">
        <is>
          <t>HA-2209-105</t>
        </is>
      </c>
      <c r="D512" s="26" t="inlineStr">
        <is>
          <t>PR2206-579</t>
        </is>
      </c>
      <c r="E512" t="inlineStr">
        <is>
          <t>RAILIZE</t>
        </is>
      </c>
      <c r="F512" t="inlineStr">
        <is>
          <t>Magnets</t>
        </is>
      </c>
    </row>
    <row r="513">
      <c r="B513" s="26" t="inlineStr">
        <is>
          <t>EB1001DF5A77</t>
        </is>
      </c>
      <c r="C513" s="26" t="inlineStr">
        <is>
          <t>HA-2209-100</t>
        </is>
      </c>
      <c r="D513" s="26" t="inlineStr">
        <is>
          <t>PR2206-242</t>
        </is>
      </c>
      <c r="E513" t="inlineStr">
        <is>
          <t>RAILIZE</t>
        </is>
      </c>
      <c r="F513" t="inlineStr">
        <is>
          <t>Magnets</t>
        </is>
      </c>
    </row>
    <row r="514">
      <c r="B514" s="26" t="inlineStr">
        <is>
          <t>FA87048D14EA</t>
        </is>
      </c>
      <c r="C514" s="26" t="inlineStr">
        <is>
          <t>HA-2209-055</t>
        </is>
      </c>
      <c r="D514" s="26" t="inlineStr">
        <is>
          <t>PR2206-135</t>
        </is>
      </c>
      <c r="E514" t="inlineStr">
        <is>
          <t>RAILIZE</t>
        </is>
      </c>
      <c r="F514" t="inlineStr">
        <is>
          <t>Magnets</t>
        </is>
      </c>
    </row>
    <row r="515">
      <c r="B515" s="26" t="inlineStr">
        <is>
          <t>E9E6182862AA</t>
        </is>
      </c>
      <c r="C515" s="26" t="inlineStr">
        <is>
          <t>HA-2209-077</t>
        </is>
      </c>
      <c r="D515" s="26" t="inlineStr">
        <is>
          <t>PR2206-594</t>
        </is>
      </c>
      <c r="E515" t="inlineStr">
        <is>
          <t>RAILIZE</t>
        </is>
      </c>
      <c r="F515" t="inlineStr">
        <is>
          <t>Magnets</t>
        </is>
      </c>
    </row>
    <row r="516">
      <c r="B516" s="26" t="inlineStr">
        <is>
          <t>E2DE4ED9E533</t>
        </is>
      </c>
      <c r="C516" s="26" t="inlineStr">
        <is>
          <t>HA-2209-112</t>
        </is>
      </c>
      <c r="D516" s="26" t="inlineStr">
        <is>
          <t>PR2206-584</t>
        </is>
      </c>
      <c r="E516" t="inlineStr">
        <is>
          <t>RAILIZE</t>
        </is>
      </c>
      <c r="F516" t="inlineStr">
        <is>
          <t>Magnets</t>
        </is>
      </c>
    </row>
    <row r="517">
      <c r="B517" s="26" t="inlineStr">
        <is>
          <t>C7651F32A8AE</t>
        </is>
      </c>
      <c r="C517" s="26" t="inlineStr">
        <is>
          <t>HA-2209-144</t>
        </is>
      </c>
      <c r="D517" s="26" t="inlineStr">
        <is>
          <t>PR2206-125</t>
        </is>
      </c>
      <c r="E517" t="inlineStr">
        <is>
          <t>RAILIZE</t>
        </is>
      </c>
      <c r="F517" t="inlineStr">
        <is>
          <t>Magnets</t>
        </is>
      </c>
    </row>
    <row r="518">
      <c r="B518" s="26" t="inlineStr">
        <is>
          <t>F5447A3039AB</t>
        </is>
      </c>
      <c r="C518" s="26" t="inlineStr">
        <is>
          <t>HA-2209-045</t>
        </is>
      </c>
      <c r="D518" s="26" t="inlineStr">
        <is>
          <t>PR2206-240</t>
        </is>
      </c>
      <c r="E518" t="inlineStr">
        <is>
          <t>RAILIZE</t>
        </is>
      </c>
      <c r="F518" t="inlineStr">
        <is>
          <t>Magnets</t>
        </is>
      </c>
    </row>
    <row r="519">
      <c r="B519" s="26" t="inlineStr">
        <is>
          <t>F207722FD709</t>
        </is>
      </c>
      <c r="C519" s="26" t="inlineStr">
        <is>
          <t>HA-2209-057</t>
        </is>
      </c>
      <c r="D519" s="26" t="inlineStr">
        <is>
          <t>PR2206-211</t>
        </is>
      </c>
      <c r="E519" t="inlineStr">
        <is>
          <t>RAILIZE</t>
        </is>
      </c>
      <c r="F519" t="inlineStr">
        <is>
          <t>Magnets</t>
        </is>
      </c>
    </row>
    <row r="520">
      <c r="B520" s="26" t="inlineStr">
        <is>
          <t>E56D30787FA3</t>
        </is>
      </c>
      <c r="C520" s="26" t="inlineStr">
        <is>
          <t>HA-2209-042</t>
        </is>
      </c>
      <c r="D520" s="26" t="inlineStr">
        <is>
          <t>PR2206-598</t>
        </is>
      </c>
      <c r="E520" t="inlineStr">
        <is>
          <t>RAILIZE</t>
        </is>
      </c>
      <c r="F520" t="inlineStr">
        <is>
          <t>Magnets</t>
        </is>
      </c>
    </row>
    <row r="521">
      <c r="B521" s="26" t="inlineStr">
        <is>
          <t>CD1609A8BEA3</t>
        </is>
      </c>
      <c r="C521" s="26" t="inlineStr">
        <is>
          <t>HA-2209-102</t>
        </is>
      </c>
      <c r="D521" s="26" t="inlineStr">
        <is>
          <t>PR2206-293</t>
        </is>
      </c>
      <c r="E521" t="inlineStr">
        <is>
          <t>RAILIZE</t>
        </is>
      </c>
      <c r="F521" t="inlineStr">
        <is>
          <t>Magnets</t>
        </is>
      </c>
    </row>
    <row r="522">
      <c r="B522" s="26" t="inlineStr">
        <is>
          <t>D3734BBFE0A3</t>
        </is>
      </c>
      <c r="C522" s="26" t="inlineStr">
        <is>
          <t>HA-2209-023</t>
        </is>
      </c>
      <c r="D522" s="26" t="inlineStr">
        <is>
          <t>PR2206-176</t>
        </is>
      </c>
      <c r="E522" t="inlineStr">
        <is>
          <t>RAILIZE</t>
        </is>
      </c>
      <c r="F522" t="inlineStr">
        <is>
          <t>Magnets</t>
        </is>
      </c>
    </row>
    <row r="523">
      <c r="B523" s="26" t="inlineStr">
        <is>
          <t>DE7F3E2B829D</t>
        </is>
      </c>
      <c r="C523" s="26" t="inlineStr">
        <is>
          <t>HA-2209-095</t>
        </is>
      </c>
      <c r="D523" s="26" t="inlineStr">
        <is>
          <t>PR2206-292</t>
        </is>
      </c>
      <c r="E523" t="inlineStr">
        <is>
          <t>RAILIZE</t>
        </is>
      </c>
      <c r="F523" t="inlineStr">
        <is>
          <t>Magnets</t>
        </is>
      </c>
    </row>
    <row r="524">
      <c r="B524" s="26" t="inlineStr">
        <is>
          <t>FC5A8DDEA1E4</t>
        </is>
      </c>
      <c r="C524" s="26" t="inlineStr">
        <is>
          <t>HA-2209-022</t>
        </is>
      </c>
      <c r="D524" s="26" t="inlineStr">
        <is>
          <t>PR2206-203</t>
        </is>
      </c>
      <c r="E524" t="inlineStr">
        <is>
          <t>RAILIZE</t>
        </is>
      </c>
      <c r="F524" t="inlineStr">
        <is>
          <t>Magnets</t>
        </is>
      </c>
    </row>
    <row r="525">
      <c r="B525" s="26" t="inlineStr">
        <is>
          <t>F12B4257E70D</t>
        </is>
      </c>
      <c r="C525" s="26" t="inlineStr">
        <is>
          <t>HA-2209-134</t>
        </is>
      </c>
      <c r="D525" s="26" t="inlineStr">
        <is>
          <t>PR2206-201</t>
        </is>
      </c>
      <c r="E525" t="inlineStr">
        <is>
          <t>RAILIZE</t>
        </is>
      </c>
      <c r="F525" t="inlineStr">
        <is>
          <t>Magnets</t>
        </is>
      </c>
    </row>
    <row r="526">
      <c r="B526" s="26" t="inlineStr">
        <is>
          <t>D23E2AC06C6E</t>
        </is>
      </c>
      <c r="C526" s="26" t="inlineStr">
        <is>
          <t>HA-2209-115</t>
        </is>
      </c>
      <c r="D526" s="26" t="inlineStr">
        <is>
          <t>PR2206-187</t>
        </is>
      </c>
      <c r="E526" t="inlineStr">
        <is>
          <t>RAILIZE</t>
        </is>
      </c>
      <c r="F526" t="inlineStr">
        <is>
          <t>Magnets</t>
        </is>
      </c>
    </row>
    <row r="527">
      <c r="B527" s="26" t="inlineStr">
        <is>
          <t>C62E1C723633</t>
        </is>
      </c>
      <c r="C527" s="26" t="inlineStr">
        <is>
          <t>HA-2209-051</t>
        </is>
      </c>
      <c r="D527" s="26" t="inlineStr">
        <is>
          <t>PR2206-248</t>
        </is>
      </c>
      <c r="E527" t="inlineStr">
        <is>
          <t>RAILIZE</t>
        </is>
      </c>
      <c r="F527" t="inlineStr">
        <is>
          <t>Magnets</t>
        </is>
      </c>
    </row>
    <row r="528">
      <c r="B528" s="26" t="inlineStr">
        <is>
          <t>CC9F2320D5A2</t>
        </is>
      </c>
      <c r="C528" s="26" t="inlineStr">
        <is>
          <t>HA-2209-118</t>
        </is>
      </c>
      <c r="D528" s="26" t="inlineStr">
        <is>
          <t>PR2206-577</t>
        </is>
      </c>
      <c r="E528" t="inlineStr">
        <is>
          <t>RAILIZE</t>
        </is>
      </c>
      <c r="F528" t="inlineStr">
        <is>
          <t>Magnets</t>
        </is>
      </c>
    </row>
    <row r="529">
      <c r="B529" s="26" t="inlineStr">
        <is>
          <t>CE66D3884DBD</t>
        </is>
      </c>
      <c r="C529" s="26" t="inlineStr">
        <is>
          <t>HA-2209-060</t>
        </is>
      </c>
      <c r="D529" s="26" t="inlineStr">
        <is>
          <t>PR2206-247</t>
        </is>
      </c>
      <c r="E529" t="inlineStr">
        <is>
          <t>RAILIZE</t>
        </is>
      </c>
      <c r="F529" t="inlineStr">
        <is>
          <t>Magnets</t>
        </is>
      </c>
    </row>
    <row r="530">
      <c r="B530" s="26" t="inlineStr">
        <is>
          <t>EDA58DC453AD</t>
        </is>
      </c>
      <c r="C530" s="26" t="inlineStr">
        <is>
          <t>HA-2209-085</t>
        </is>
      </c>
      <c r="D530" s="26" t="inlineStr">
        <is>
          <t>PR2206-284</t>
        </is>
      </c>
      <c r="E530" t="inlineStr">
        <is>
          <t>RAILIZE</t>
        </is>
      </c>
      <c r="F530" t="inlineStr">
        <is>
          <t>Magnets</t>
        </is>
      </c>
    </row>
    <row r="531">
      <c r="B531" s="26" t="inlineStr">
        <is>
          <t>F186F403EA99</t>
        </is>
      </c>
      <c r="C531" s="26" t="inlineStr">
        <is>
          <t>HA-2206-164</t>
        </is>
      </c>
      <c r="D531" s="26" t="inlineStr">
        <is>
          <t>PR2206-059</t>
        </is>
      </c>
      <c r="E531" t="inlineStr">
        <is>
          <t>RAILIZE</t>
        </is>
      </c>
      <c r="F531" t="inlineStr">
        <is>
          <t>Magnets</t>
        </is>
      </c>
    </row>
    <row r="532">
      <c r="B532" s="26" t="inlineStr">
        <is>
          <t>E278A9A43B32</t>
        </is>
      </c>
      <c r="C532" s="26" t="inlineStr">
        <is>
          <t>HA-2206-052</t>
        </is>
      </c>
      <c r="D532" s="67" t="inlineStr">
        <is>
          <t>PR2206-083</t>
        </is>
      </c>
      <c r="E532" t="inlineStr">
        <is>
          <t>EUROWAGON</t>
        </is>
      </c>
      <c r="F532" t="inlineStr">
        <is>
          <t>Cargo</t>
        </is>
      </c>
      <c r="G532" t="inlineStr">
        <is>
          <t>84515332773-7</t>
        </is>
      </c>
      <c r="J532" t="inlineStr">
        <is>
          <t>2022/11</t>
        </is>
      </c>
    </row>
    <row r="533">
      <c r="B533" s="26" t="inlineStr">
        <is>
          <t>C493A674A6B7</t>
        </is>
      </c>
      <c r="C533" s="26" t="inlineStr">
        <is>
          <t>HA-2206-179</t>
        </is>
      </c>
      <c r="D533" s="67" t="inlineStr">
        <is>
          <t>PR2206-072</t>
        </is>
      </c>
      <c r="E533" t="inlineStr">
        <is>
          <t>EUROWAGON</t>
        </is>
      </c>
      <c r="F533" t="inlineStr">
        <is>
          <t>Cargo</t>
        </is>
      </c>
      <c r="G533" t="inlineStr">
        <is>
          <t>84515332773-7</t>
        </is>
      </c>
      <c r="J533" t="inlineStr">
        <is>
          <t>2022/11</t>
        </is>
      </c>
    </row>
    <row r="534">
      <c r="B534" s="26" t="inlineStr">
        <is>
          <t>E97F71244ECD</t>
        </is>
      </c>
      <c r="C534" s="26" t="inlineStr">
        <is>
          <t>HA-2206-074</t>
        </is>
      </c>
      <c r="D534" s="67" t="inlineStr">
        <is>
          <t>PR2206-045</t>
        </is>
      </c>
      <c r="E534" t="inlineStr">
        <is>
          <t>EUROWAGON</t>
        </is>
      </c>
      <c r="F534" t="inlineStr">
        <is>
          <t>Cargo</t>
        </is>
      </c>
      <c r="G534" t="inlineStr">
        <is>
          <t>84515332773-7</t>
        </is>
      </c>
      <c r="J534" t="inlineStr">
        <is>
          <t>2022/11</t>
        </is>
      </c>
    </row>
    <row r="535">
      <c r="B535" s="26" t="inlineStr">
        <is>
          <t>F0898119C2E0</t>
        </is>
      </c>
      <c r="C535" s="26" t="inlineStr">
        <is>
          <t>HA-2209-084</t>
        </is>
      </c>
      <c r="D535" s="67" t="inlineStr">
        <is>
          <t>PR2206-304</t>
        </is>
      </c>
      <c r="E535" t="inlineStr">
        <is>
          <t>EUROWAGON</t>
        </is>
      </c>
      <c r="F535" t="inlineStr">
        <is>
          <t>Cargo</t>
        </is>
      </c>
      <c r="G535" t="inlineStr">
        <is>
          <t>84515332773-7</t>
        </is>
      </c>
      <c r="J535" t="inlineStr">
        <is>
          <t>2022/11</t>
        </is>
      </c>
    </row>
    <row r="536">
      <c r="B536" s="26" t="inlineStr">
        <is>
          <t>EB1E9B26CFED</t>
        </is>
      </c>
      <c r="C536" s="26" t="inlineStr">
        <is>
          <t>HA-2206-143</t>
        </is>
      </c>
      <c r="D536" s="67" t="inlineStr">
        <is>
          <t>PR2206-087</t>
        </is>
      </c>
      <c r="E536" t="inlineStr">
        <is>
          <t>EUROWAGON</t>
        </is>
      </c>
      <c r="F536" t="inlineStr">
        <is>
          <t>Cargo</t>
        </is>
      </c>
      <c r="G536" t="inlineStr">
        <is>
          <t>84515332773-7</t>
        </is>
      </c>
      <c r="J536" t="inlineStr">
        <is>
          <t>2022/11</t>
        </is>
      </c>
    </row>
    <row r="537">
      <c r="B537" s="26" t="inlineStr">
        <is>
          <t>F3F78C484F68</t>
        </is>
      </c>
      <c r="C537" s="26" t="inlineStr">
        <is>
          <t>HA-2206-169</t>
        </is>
      </c>
      <c r="D537" s="67" t="inlineStr">
        <is>
          <t>PR2206-067</t>
        </is>
      </c>
      <c r="E537" t="inlineStr">
        <is>
          <t>EUROWAGON</t>
        </is>
      </c>
      <c r="F537" t="inlineStr">
        <is>
          <t>Cargo</t>
        </is>
      </c>
      <c r="G537" t="inlineStr">
        <is>
          <t>84515332773-7</t>
        </is>
      </c>
      <c r="J537" t="inlineStr">
        <is>
          <t>2022/11</t>
        </is>
      </c>
    </row>
    <row r="538">
      <c r="B538" s="26" t="inlineStr">
        <is>
          <t>D3CB48F8FDB2</t>
        </is>
      </c>
      <c r="C538" s="26" t="inlineStr">
        <is>
          <t>HA-2206-154</t>
        </is>
      </c>
      <c r="D538" s="67" t="inlineStr">
        <is>
          <t>PR2206-330</t>
        </is>
      </c>
      <c r="E538" t="inlineStr">
        <is>
          <t>EUROWAGON</t>
        </is>
      </c>
      <c r="F538" t="inlineStr">
        <is>
          <t>Cargo</t>
        </is>
      </c>
      <c r="G538" t="inlineStr">
        <is>
          <t>84515332773-7</t>
        </is>
      </c>
      <c r="J538" t="inlineStr">
        <is>
          <t>2022/11</t>
        </is>
      </c>
    </row>
    <row r="539">
      <c r="B539" s="26" t="inlineStr">
        <is>
          <t>D406293E79B2</t>
        </is>
      </c>
      <c r="C539" s="26" t="inlineStr">
        <is>
          <t>HA-2206-007</t>
        </is>
      </c>
      <c r="D539" s="67" t="inlineStr">
        <is>
          <t>PR2206-023</t>
        </is>
      </c>
      <c r="E539" t="inlineStr">
        <is>
          <t>EUROWAGON</t>
        </is>
      </c>
      <c r="F539" t="inlineStr">
        <is>
          <t>Cargo</t>
        </is>
      </c>
      <c r="G539" t="inlineStr">
        <is>
          <t>84515332773-7</t>
        </is>
      </c>
      <c r="J539" t="inlineStr">
        <is>
          <t>2022/11</t>
        </is>
      </c>
    </row>
    <row r="540">
      <c r="B540" s="26" t="inlineStr">
        <is>
          <t>CB67ABED3B74</t>
        </is>
      </c>
      <c r="C540" s="26" t="inlineStr">
        <is>
          <t>HA-2209-087</t>
        </is>
      </c>
      <c r="D540" s="26" t="inlineStr">
        <is>
          <t>PR2206-190</t>
        </is>
      </c>
      <c r="E540" s="26" t="inlineStr">
        <is>
          <t>LTG</t>
        </is>
      </c>
      <c r="F540" t="inlineStr">
        <is>
          <t>Passenger</t>
        </is>
      </c>
      <c r="J540" s="59" t="n">
        <v>44630</v>
      </c>
    </row>
    <row r="541">
      <c r="B541" s="26" t="inlineStr">
        <is>
          <t>C5EB7E6011CE</t>
        </is>
      </c>
      <c r="C541" s="26" t="inlineStr">
        <is>
          <t>HA-2209-089</t>
        </is>
      </c>
      <c r="D541" s="26" t="inlineStr">
        <is>
          <t>PR2206-107</t>
        </is>
      </c>
      <c r="E541" s="26" t="inlineStr">
        <is>
          <t>LTG</t>
        </is>
      </c>
      <c r="F541" t="inlineStr">
        <is>
          <t>Passenger</t>
        </is>
      </c>
      <c r="J541" s="59" t="n">
        <v>44630</v>
      </c>
    </row>
    <row r="542">
      <c r="B542" s="26" t="inlineStr">
        <is>
          <t>C62DED3F80A0</t>
        </is>
      </c>
      <c r="C542" s="26" t="inlineStr">
        <is>
          <t>HA-2210-005</t>
        </is>
      </c>
      <c r="D542" s="26" t="inlineStr">
        <is>
          <t>PR2206-133</t>
        </is>
      </c>
      <c r="E542" t="inlineStr">
        <is>
          <t>ZSSK CARGO</t>
        </is>
      </c>
      <c r="F542" t="inlineStr">
        <is>
          <t>Cargo</t>
        </is>
      </c>
      <c r="J542" s="56" t="n">
        <v>44722</v>
      </c>
    </row>
    <row r="543">
      <c r="B543" s="26" t="inlineStr">
        <is>
          <t>F4D61C5850B7</t>
        </is>
      </c>
      <c r="C543" s="26" t="inlineStr">
        <is>
          <t>HA-2210-003</t>
        </is>
      </c>
      <c r="D543" s="26" t="inlineStr">
        <is>
          <t>PR2206-137</t>
        </is>
      </c>
      <c r="E543" t="inlineStr">
        <is>
          <t>ZSSK CARGO</t>
        </is>
      </c>
      <c r="F543" t="inlineStr">
        <is>
          <t>Cargo</t>
        </is>
      </c>
      <c r="J543" s="56" t="n">
        <v>44722</v>
      </c>
    </row>
    <row r="544">
      <c r="B544" s="26" t="inlineStr">
        <is>
          <t>E1B9D5C988C6</t>
        </is>
      </c>
      <c r="C544" s="26" t="inlineStr">
        <is>
          <t>HA-2210-011</t>
        </is>
      </c>
      <c r="D544" s="26" t="inlineStr">
        <is>
          <t>PR2206-192</t>
        </is>
      </c>
      <c r="E544" t="inlineStr">
        <is>
          <t>ZSSK CARGO</t>
        </is>
      </c>
      <c r="F544" t="inlineStr">
        <is>
          <t>Cargo</t>
        </is>
      </c>
      <c r="J544" s="56" t="n">
        <v>44722</v>
      </c>
    </row>
    <row r="545">
      <c r="B545" s="26" t="inlineStr">
        <is>
          <t>DB521ABC3618</t>
        </is>
      </c>
      <c r="C545" s="26" t="inlineStr">
        <is>
          <t>HA-2210-020</t>
        </is>
      </c>
      <c r="D545" s="26" t="inlineStr">
        <is>
          <t>PR2206-183</t>
        </is>
      </c>
      <c r="E545" t="inlineStr">
        <is>
          <t>ZSSK CARGO</t>
        </is>
      </c>
      <c r="F545" t="inlineStr">
        <is>
          <t>Cargo</t>
        </is>
      </c>
      <c r="J545" s="56" t="n">
        <v>44722</v>
      </c>
    </row>
    <row r="546">
      <c r="B546" s="26" t="inlineStr">
        <is>
          <t>D26EFA12A6E0</t>
        </is>
      </c>
      <c r="C546" s="26" t="inlineStr">
        <is>
          <t>HA-2210-041</t>
        </is>
      </c>
      <c r="D546" s="26" t="inlineStr">
        <is>
          <t>PR2206-184</t>
        </is>
      </c>
      <c r="E546" t="inlineStr">
        <is>
          <t>ZSSK CARGO</t>
        </is>
      </c>
      <c r="F546" t="inlineStr">
        <is>
          <t>Cargo</t>
        </is>
      </c>
      <c r="J546" s="56" t="n">
        <v>44722</v>
      </c>
    </row>
    <row r="547">
      <c r="B547" s="26" t="inlineStr">
        <is>
          <t>EE3C46573471</t>
        </is>
      </c>
      <c r="C547" s="26" t="inlineStr">
        <is>
          <t>HA-2210-012</t>
        </is>
      </c>
      <c r="D547" s="26" t="inlineStr">
        <is>
          <t>PR2206-151</t>
        </is>
      </c>
      <c r="E547" t="inlineStr">
        <is>
          <t>ZSSK CARGO</t>
        </is>
      </c>
      <c r="F547" t="inlineStr">
        <is>
          <t>Cargo</t>
        </is>
      </c>
      <c r="J547" s="56" t="n">
        <v>44722</v>
      </c>
    </row>
    <row r="548">
      <c r="B548" s="26" t="inlineStr">
        <is>
          <t>D7F3505E9344</t>
        </is>
      </c>
      <c r="C548" s="26" t="inlineStr">
        <is>
          <t>HA-2210-007</t>
        </is>
      </c>
      <c r="D548" s="26" t="inlineStr">
        <is>
          <t>PR2206-197</t>
        </is>
      </c>
      <c r="E548" t="inlineStr">
        <is>
          <t>ZSSK CARGO</t>
        </is>
      </c>
      <c r="F548" t="inlineStr">
        <is>
          <t>Cargo</t>
        </is>
      </c>
      <c r="J548" s="56" t="n">
        <v>44722</v>
      </c>
    </row>
    <row r="549">
      <c r="B549" s="26" t="inlineStr">
        <is>
          <t>C663CA2DFD14</t>
        </is>
      </c>
      <c r="C549" s="26" t="inlineStr">
        <is>
          <t>HA-2210-014</t>
        </is>
      </c>
      <c r="D549" s="26" t="inlineStr">
        <is>
          <t>PR2206-142</t>
        </is>
      </c>
      <c r="E549" t="inlineStr">
        <is>
          <t>ZSSK CARGO</t>
        </is>
      </c>
      <c r="F549" t="inlineStr">
        <is>
          <t>Cargo</t>
        </is>
      </c>
      <c r="J549" s="56" t="n">
        <v>44722</v>
      </c>
    </row>
    <row r="550">
      <c r="B550" s="26" t="inlineStr">
        <is>
          <t>F0A7A98C8A20</t>
        </is>
      </c>
      <c r="C550" s="26" t="inlineStr">
        <is>
          <t>HA-2210-059</t>
        </is>
      </c>
      <c r="D550" s="66" t="inlineStr">
        <is>
          <t>PR2206-479</t>
        </is>
      </c>
      <c r="E550" t="inlineStr">
        <is>
          <t>EIFFAGE</t>
        </is>
      </c>
      <c r="F550" t="inlineStr">
        <is>
          <t>Cargo</t>
        </is>
      </c>
      <c r="G550" t="inlineStr">
        <is>
          <t>not mounted</t>
        </is>
      </c>
      <c r="J550" s="26" t="inlineStr">
        <is>
          <t>13/10/2022</t>
        </is>
      </c>
    </row>
    <row r="551">
      <c r="B551" s="26" t="inlineStr">
        <is>
          <t>F0AC697532AB</t>
        </is>
      </c>
      <c r="C551" s="26" t="inlineStr">
        <is>
          <t>HA-2210-068</t>
        </is>
      </c>
      <c r="D551" s="66" t="inlineStr">
        <is>
          <t>PR2206-523</t>
        </is>
      </c>
      <c r="E551" t="inlineStr">
        <is>
          <t>EIFFAGE</t>
        </is>
      </c>
      <c r="F551" t="inlineStr">
        <is>
          <t>Cargo</t>
        </is>
      </c>
      <c r="G551" t="inlineStr">
        <is>
          <t>not mounted</t>
        </is>
      </c>
      <c r="J551" s="26" t="inlineStr">
        <is>
          <t>13/10/2022</t>
        </is>
      </c>
    </row>
    <row r="552">
      <c r="B552" s="26" t="inlineStr">
        <is>
          <t>D5755F12B5A1</t>
        </is>
      </c>
      <c r="C552" s="26" t="inlineStr">
        <is>
          <t>HA-2210-062</t>
        </is>
      </c>
      <c r="D552" s="66" t="inlineStr">
        <is>
          <t>PR2206-519</t>
        </is>
      </c>
      <c r="E552" t="inlineStr">
        <is>
          <t>EIFFAGE</t>
        </is>
      </c>
      <c r="F552" t="inlineStr">
        <is>
          <t>Cargo</t>
        </is>
      </c>
      <c r="G552" t="inlineStr">
        <is>
          <t>not mounted</t>
        </is>
      </c>
      <c r="J552" s="26" t="inlineStr">
        <is>
          <t>13/10/2022</t>
        </is>
      </c>
    </row>
    <row r="553">
      <c r="B553" s="26" t="inlineStr">
        <is>
          <t>C94FBEADE36F</t>
        </is>
      </c>
      <c r="C553" s="26" t="inlineStr">
        <is>
          <t>HA-2210-055</t>
        </is>
      </c>
      <c r="D553" s="66" t="inlineStr">
        <is>
          <t>PR2206-406</t>
        </is>
      </c>
      <c r="E553" t="inlineStr">
        <is>
          <t>EIFFAGE</t>
        </is>
      </c>
      <c r="F553" t="inlineStr">
        <is>
          <t>Cargo</t>
        </is>
      </c>
      <c r="G553" t="inlineStr">
        <is>
          <t>not mounted</t>
        </is>
      </c>
      <c r="J553" s="26" t="inlineStr">
        <is>
          <t>13/10/2022</t>
        </is>
      </c>
    </row>
    <row r="554">
      <c r="B554" s="26" t="inlineStr">
        <is>
          <t>DFAFA6BFA6C9</t>
        </is>
      </c>
      <c r="C554" s="26" t="inlineStr">
        <is>
          <t>HA-2210-076</t>
        </is>
      </c>
      <c r="D554" s="66" t="inlineStr">
        <is>
          <t>PR2206-481</t>
        </is>
      </c>
      <c r="E554" t="inlineStr">
        <is>
          <t>EIFFAGE</t>
        </is>
      </c>
      <c r="F554" t="inlineStr">
        <is>
          <t>Cargo</t>
        </is>
      </c>
      <c r="G554" t="inlineStr">
        <is>
          <t>not mounted</t>
        </is>
      </c>
      <c r="J554" s="26" t="inlineStr">
        <is>
          <t>13/10/2022</t>
        </is>
      </c>
    </row>
    <row r="555">
      <c r="B555" s="26" t="inlineStr">
        <is>
          <t>F2D4DF1905B0</t>
        </is>
      </c>
      <c r="C555" s="26" t="inlineStr">
        <is>
          <t>HA-2210-084</t>
        </is>
      </c>
      <c r="D555" s="66" t="inlineStr">
        <is>
          <t>PR2206-408</t>
        </is>
      </c>
      <c r="E555" t="inlineStr">
        <is>
          <t>EIFFAGE</t>
        </is>
      </c>
      <c r="F555" t="inlineStr">
        <is>
          <t>Cargo</t>
        </is>
      </c>
      <c r="G555" t="inlineStr">
        <is>
          <t>not mounted</t>
        </is>
      </c>
      <c r="J555" s="26" t="inlineStr">
        <is>
          <t>13/10/2022</t>
        </is>
      </c>
    </row>
    <row r="556">
      <c r="B556" s="26" t="inlineStr">
        <is>
          <t>E95501549C59</t>
        </is>
      </c>
      <c r="C556" s="26" t="inlineStr">
        <is>
          <t>HA-2210-086</t>
        </is>
      </c>
      <c r="D556" s="66" t="inlineStr">
        <is>
          <t>PR2206-580</t>
        </is>
      </c>
      <c r="E556" t="inlineStr">
        <is>
          <t>EIFFAGE</t>
        </is>
      </c>
      <c r="F556" t="inlineStr">
        <is>
          <t>Cargo</t>
        </is>
      </c>
      <c r="G556" t="inlineStr">
        <is>
          <t>not mounted</t>
        </is>
      </c>
      <c r="J556" s="26" t="inlineStr">
        <is>
          <t>13/10/2022</t>
        </is>
      </c>
    </row>
    <row r="557">
      <c r="B557" s="26" t="inlineStr">
        <is>
          <t>E8AA863617AD</t>
        </is>
      </c>
      <c r="C557" s="26" t="inlineStr">
        <is>
          <t>HA-2210-064</t>
        </is>
      </c>
      <c r="D557" s="66" t="inlineStr">
        <is>
          <t>PR2206-599</t>
        </is>
      </c>
      <c r="E557" t="inlineStr">
        <is>
          <t>EIFFAGE</t>
        </is>
      </c>
      <c r="F557" t="inlineStr">
        <is>
          <t>Cargo</t>
        </is>
      </c>
      <c r="G557" t="inlineStr">
        <is>
          <t>not mounted</t>
        </is>
      </c>
      <c r="J557" s="26" t="inlineStr">
        <is>
          <t>13/10/2022</t>
        </is>
      </c>
    </row>
    <row r="558">
      <c r="B558" s="26" t="inlineStr">
        <is>
          <t>CBE2A195BA49</t>
        </is>
      </c>
      <c r="C558" s="26" t="inlineStr">
        <is>
          <t>HA-2210-088</t>
        </is>
      </c>
      <c r="D558" s="66" t="inlineStr">
        <is>
          <t>PR2206-436</t>
        </is>
      </c>
      <c r="E558" t="inlineStr">
        <is>
          <t>EIFFAGE</t>
        </is>
      </c>
      <c r="F558" t="inlineStr">
        <is>
          <t>Cargo</t>
        </is>
      </c>
      <c r="G558" t="inlineStr">
        <is>
          <t>not mounted</t>
        </is>
      </c>
      <c r="J558" s="26" t="inlineStr">
        <is>
          <t>13/10/2022</t>
        </is>
      </c>
    </row>
    <row r="559">
      <c r="B559" s="26" t="inlineStr">
        <is>
          <t>D59F68446B28</t>
        </is>
      </c>
      <c r="C559" s="26" t="inlineStr">
        <is>
          <t>HA-2210-081</t>
        </is>
      </c>
      <c r="D559" s="66" t="inlineStr">
        <is>
          <t>PR2206-437</t>
        </is>
      </c>
      <c r="E559" t="inlineStr">
        <is>
          <t>EIFFAGE</t>
        </is>
      </c>
      <c r="F559" t="inlineStr">
        <is>
          <t>Cargo</t>
        </is>
      </c>
      <c r="G559" t="inlineStr">
        <is>
          <t>not mounted</t>
        </is>
      </c>
      <c r="J559" s="26" t="inlineStr">
        <is>
          <t>13/10/2022</t>
        </is>
      </c>
    </row>
    <row r="560">
      <c r="B560" s="26" t="inlineStr">
        <is>
          <t>F91321CD5D75</t>
        </is>
      </c>
      <c r="C560" s="26" t="inlineStr">
        <is>
          <t>HA-2210-053</t>
        </is>
      </c>
      <c r="D560" s="66" t="inlineStr">
        <is>
          <t>PR2206-449</t>
        </is>
      </c>
      <c r="E560" t="inlineStr">
        <is>
          <t>EIFFAGE</t>
        </is>
      </c>
      <c r="F560" t="inlineStr">
        <is>
          <t>Cargo</t>
        </is>
      </c>
      <c r="G560" t="inlineStr">
        <is>
          <t>not mounted</t>
        </is>
      </c>
      <c r="J560" s="26" t="inlineStr">
        <is>
          <t>13/10/2022</t>
        </is>
      </c>
    </row>
    <row r="561">
      <c r="B561" s="26" t="inlineStr">
        <is>
          <t>CF5AB2F5AE9D</t>
        </is>
      </c>
      <c r="C561" s="26" t="inlineStr">
        <is>
          <t>HA-2210-060</t>
        </is>
      </c>
      <c r="D561" s="66" t="inlineStr">
        <is>
          <t>PR2206-484</t>
        </is>
      </c>
      <c r="E561" t="inlineStr">
        <is>
          <t>EIFFAGE</t>
        </is>
      </c>
      <c r="F561" t="inlineStr">
        <is>
          <t>Cargo</t>
        </is>
      </c>
      <c r="G561" t="inlineStr">
        <is>
          <t>not mounted</t>
        </is>
      </c>
      <c r="J561" s="26" t="inlineStr">
        <is>
          <t>13/10/2022</t>
        </is>
      </c>
    </row>
    <row r="562">
      <c r="B562" s="26" t="inlineStr">
        <is>
          <t>F324C0B492CA</t>
        </is>
      </c>
      <c r="C562" s="26" t="inlineStr">
        <is>
          <t>HA-2210-090</t>
        </is>
      </c>
      <c r="D562" s="66" t="inlineStr">
        <is>
          <t>PR2206-478</t>
        </is>
      </c>
      <c r="E562" t="inlineStr">
        <is>
          <t>EIFFAGE</t>
        </is>
      </c>
      <c r="F562" t="inlineStr">
        <is>
          <t>Cargo</t>
        </is>
      </c>
      <c r="G562" t="inlineStr">
        <is>
          <t>not mounted</t>
        </is>
      </c>
      <c r="J562" s="26" t="inlineStr">
        <is>
          <t>13/10/2022</t>
        </is>
      </c>
    </row>
    <row r="563">
      <c r="B563" s="26" t="inlineStr">
        <is>
          <t>EEE83F8AA4EE</t>
        </is>
      </c>
      <c r="C563" s="26" t="inlineStr">
        <is>
          <t>HA-2210-065</t>
        </is>
      </c>
      <c r="D563" s="66" t="inlineStr">
        <is>
          <t>PR2206-603</t>
        </is>
      </c>
      <c r="E563" t="inlineStr">
        <is>
          <t>EIFFAGE</t>
        </is>
      </c>
      <c r="F563" t="inlineStr">
        <is>
          <t>Cargo</t>
        </is>
      </c>
      <c r="G563" t="inlineStr">
        <is>
          <t>not mounted</t>
        </is>
      </c>
      <c r="J563" s="26" t="inlineStr">
        <is>
          <t>13/10/2022</t>
        </is>
      </c>
    </row>
    <row r="564">
      <c r="B564" s="26" t="inlineStr">
        <is>
          <t>F698E68D5FEC</t>
        </is>
      </c>
      <c r="C564" s="26" t="inlineStr">
        <is>
          <t>HA-2210-061</t>
        </is>
      </c>
      <c r="D564" s="66" t="inlineStr">
        <is>
          <t>PR2206-401</t>
        </is>
      </c>
      <c r="E564" t="inlineStr">
        <is>
          <t>EIFFAGE</t>
        </is>
      </c>
      <c r="F564" t="inlineStr">
        <is>
          <t>Cargo</t>
        </is>
      </c>
      <c r="G564" t="inlineStr">
        <is>
          <t>not mounted</t>
        </is>
      </c>
      <c r="J564" s="26" t="inlineStr">
        <is>
          <t>13/10/2022</t>
        </is>
      </c>
    </row>
    <row r="565">
      <c r="B565" s="26" t="inlineStr">
        <is>
          <t>F1B37DA8A9CA</t>
        </is>
      </c>
      <c r="C565" s="26" t="inlineStr">
        <is>
          <t>HA-2210-056</t>
        </is>
      </c>
      <c r="D565" s="66" t="inlineStr">
        <is>
          <t>PR2206-600</t>
        </is>
      </c>
      <c r="E565" t="inlineStr">
        <is>
          <t>EIFFAGE</t>
        </is>
      </c>
      <c r="F565" t="inlineStr">
        <is>
          <t>Cargo</t>
        </is>
      </c>
      <c r="G565" t="inlineStr">
        <is>
          <t>not mounted</t>
        </is>
      </c>
      <c r="J565" s="26" t="inlineStr">
        <is>
          <t>13/10/2022</t>
        </is>
      </c>
    </row>
    <row r="566">
      <c r="B566" s="26" t="n"/>
      <c r="C566" s="26" t="n"/>
      <c r="D566" s="26" t="n"/>
      <c r="E566" s="26" t="n"/>
      <c r="J566" s="26" t="n"/>
    </row>
    <row r="567">
      <c r="B567" s="26" t="n"/>
      <c r="C567" s="26" t="n"/>
      <c r="D567" s="26" t="n"/>
      <c r="E567" s="26" t="n"/>
      <c r="J567" s="26" t="n"/>
    </row>
    <row r="568">
      <c r="B568" s="26" t="n"/>
      <c r="C568" s="26" t="n"/>
      <c r="D568" s="26" t="n"/>
      <c r="E568" s="26" t="n"/>
      <c r="J568" s="26" t="n"/>
    </row>
    <row r="569">
      <c r="B569" s="26" t="n"/>
      <c r="C569" s="26" t="n"/>
      <c r="D569" s="26" t="n"/>
      <c r="E569" s="26" t="n"/>
      <c r="J569" s="26" t="n"/>
    </row>
    <row r="570">
      <c r="B570" s="26" t="n"/>
      <c r="C570" s="26" t="n"/>
      <c r="D570" s="26" t="n"/>
      <c r="E570" s="26" t="n"/>
      <c r="J570" s="26" t="n"/>
    </row>
    <row r="571">
      <c r="B571" s="26" t="n"/>
      <c r="C571" s="26" t="n"/>
      <c r="D571" s="26" t="n"/>
      <c r="E571" s="26" t="n"/>
      <c r="J571" s="26" t="n"/>
    </row>
    <row r="572">
      <c r="B572" s="26" t="n"/>
      <c r="C572" s="26" t="n"/>
      <c r="D572" s="26" t="n"/>
      <c r="E572" s="26" t="n"/>
      <c r="J572" s="26" t="n"/>
    </row>
    <row r="573">
      <c r="B573" s="26" t="n"/>
      <c r="C573" s="26" t="n"/>
      <c r="D573" s="26" t="n"/>
      <c r="E573" s="26" t="n"/>
      <c r="J573" s="26" t="n"/>
    </row>
    <row r="574">
      <c r="B574" s="26" t="n"/>
      <c r="C574" s="26" t="n"/>
      <c r="D574" s="26" t="n"/>
      <c r="E574" s="26" t="n"/>
      <c r="J574" s="26" t="n"/>
    </row>
    <row r="575">
      <c r="B575" s="26" t="n"/>
      <c r="C575" s="26" t="n"/>
      <c r="D575" s="26" t="n"/>
      <c r="E575" s="26" t="n"/>
      <c r="J575" s="26" t="n"/>
    </row>
    <row r="576">
      <c r="B576" s="26" t="n"/>
      <c r="C576" s="26" t="n"/>
      <c r="D576" s="26" t="n"/>
      <c r="E576" s="26" t="n"/>
      <c r="J576" s="26" t="n"/>
    </row>
    <row r="577">
      <c r="B577" s="26" t="n"/>
      <c r="C577" s="26" t="n"/>
      <c r="D577" s="26" t="n"/>
      <c r="E577" s="26" t="n"/>
      <c r="J577" s="26" t="n"/>
    </row>
    <row r="578">
      <c r="B578" s="2" t="inlineStr">
        <is>
          <t>ECC92488D94D</t>
        </is>
      </c>
      <c r="D578" s="26" t="inlineStr">
        <is>
          <t>PR2203-457</t>
        </is>
      </c>
      <c r="E578" t="inlineStr">
        <is>
          <t>SGL</t>
        </is>
      </c>
      <c r="F578" t="inlineStr">
        <is>
          <t>Magnets</t>
        </is>
      </c>
      <c r="G578" t="inlineStr">
        <is>
          <t>3780-3939-003-4</t>
        </is>
      </c>
    </row>
    <row r="579">
      <c r="B579" s="2" t="inlineStr">
        <is>
          <t>DDCC73B644D3</t>
        </is>
      </c>
      <c r="D579" s="26" t="inlineStr">
        <is>
          <t>PR2203-024</t>
        </is>
      </c>
      <c r="E579" t="inlineStr">
        <is>
          <t>SGL</t>
        </is>
      </c>
      <c r="F579" t="inlineStr">
        <is>
          <t>Magnets</t>
        </is>
      </c>
      <c r="G579" t="inlineStr">
        <is>
          <t>3354-3937-523-9</t>
        </is>
      </c>
    </row>
    <row r="580">
      <c r="B580" s="2" t="inlineStr">
        <is>
          <t>ED2024DFDB3E</t>
        </is>
      </c>
      <c r="D580" s="26" t="inlineStr">
        <is>
          <t>PR2203-439</t>
        </is>
      </c>
      <c r="E580" t="inlineStr">
        <is>
          <t>SGL</t>
        </is>
      </c>
      <c r="F580" t="inlineStr">
        <is>
          <t>Magnets</t>
        </is>
      </c>
      <c r="G580" t="inlineStr">
        <is>
          <t>3780-3939-003-4</t>
        </is>
      </c>
    </row>
    <row r="581">
      <c r="B581" s="2" t="inlineStr">
        <is>
          <t>C415A67AD840</t>
        </is>
      </c>
      <c r="D581" s="26" t="inlineStr">
        <is>
          <t>PR2203-464</t>
        </is>
      </c>
      <c r="E581" t="inlineStr">
        <is>
          <t>SGL</t>
        </is>
      </c>
      <c r="F581" t="inlineStr">
        <is>
          <t>Magnets</t>
        </is>
      </c>
      <c r="G581" t="inlineStr">
        <is>
          <t>3780-3939-003-4</t>
        </is>
      </c>
    </row>
    <row r="582">
      <c r="B582" s="2" t="inlineStr">
        <is>
          <t>CD393584802F</t>
        </is>
      </c>
      <c r="D582" s="26" t="inlineStr">
        <is>
          <t>PR2203-455</t>
        </is>
      </c>
      <c r="E582" t="inlineStr">
        <is>
          <t>SGL</t>
        </is>
      </c>
      <c r="F582" t="inlineStr">
        <is>
          <t>Magnets</t>
        </is>
      </c>
      <c r="G582" t="inlineStr">
        <is>
          <t>3780-3939-003-4</t>
        </is>
      </c>
    </row>
    <row r="583">
      <c r="B583" s="2" t="inlineStr">
        <is>
          <t>F8BFAD72265A</t>
        </is>
      </c>
      <c r="D583" s="26" t="inlineStr">
        <is>
          <t>PR2203-242</t>
        </is>
      </c>
      <c r="E583" t="inlineStr">
        <is>
          <t>SGL</t>
        </is>
      </c>
      <c r="F583" t="inlineStr">
        <is>
          <t>Magnets</t>
        </is>
      </c>
      <c r="G583" t="inlineStr">
        <is>
          <t>3354-3937-523-9</t>
        </is>
      </c>
    </row>
    <row r="584">
      <c r="B584" s="2" t="inlineStr">
        <is>
          <t>D668F56FD01A</t>
        </is>
      </c>
      <c r="D584" s="26" t="inlineStr">
        <is>
          <t>PR2203-403</t>
        </is>
      </c>
      <c r="E584" t="inlineStr">
        <is>
          <t>SGL</t>
        </is>
      </c>
      <c r="F584" t="inlineStr">
        <is>
          <t>Magnets</t>
        </is>
      </c>
      <c r="G584" t="inlineStr">
        <is>
          <t>3354-3937-523-9</t>
        </is>
      </c>
    </row>
    <row r="585">
      <c r="B585" s="2" t="inlineStr">
        <is>
          <t>F610AF093463</t>
        </is>
      </c>
      <c r="D585" s="26" t="inlineStr">
        <is>
          <t>PR2203-471</t>
        </is>
      </c>
      <c r="E585" t="inlineStr">
        <is>
          <t>SGL</t>
        </is>
      </c>
      <c r="F585" t="inlineStr">
        <is>
          <t>Magnets</t>
        </is>
      </c>
      <c r="G585" t="inlineStr">
        <is>
          <t>3354-3937-523-9</t>
        </is>
      </c>
    </row>
    <row r="586">
      <c r="B586" s="2" t="inlineStr">
        <is>
          <t>FC74431AC320</t>
        </is>
      </c>
      <c r="D586" s="67" t="inlineStr">
        <is>
          <t>PR2206-326</t>
        </is>
      </c>
      <c r="E586" t="inlineStr">
        <is>
          <t>HVLE</t>
        </is>
      </c>
      <c r="F586" t="inlineStr">
        <is>
          <t>Cargo</t>
        </is>
      </c>
      <c r="G586" t="inlineStr">
        <is>
          <t>83546985084-5</t>
        </is>
      </c>
      <c r="J586" t="inlineStr">
        <is>
          <t>2022/12</t>
        </is>
      </c>
    </row>
    <row r="587">
      <c r="B587" s="2" t="inlineStr">
        <is>
          <t>D289DBFC198A</t>
        </is>
      </c>
      <c r="D587" s="67" t="inlineStr">
        <is>
          <t>PR2206-371</t>
        </is>
      </c>
      <c r="E587" t="inlineStr">
        <is>
          <t>HVLE</t>
        </is>
      </c>
      <c r="F587" t="inlineStr">
        <is>
          <t>Cargo</t>
        </is>
      </c>
      <c r="G587" t="inlineStr">
        <is>
          <t>83546985088-6</t>
        </is>
      </c>
      <c r="J587" t="inlineStr">
        <is>
          <t>2022/12</t>
        </is>
      </c>
    </row>
    <row r="588">
      <c r="B588" s="2" t="inlineStr">
        <is>
          <t>C6C8298EEF8A</t>
        </is>
      </c>
      <c r="D588" s="68" t="inlineStr">
        <is>
          <t>PR2206-287</t>
        </is>
      </c>
      <c r="E588" t="inlineStr">
        <is>
          <t>HVLE</t>
        </is>
      </c>
      <c r="F588" t="inlineStr">
        <is>
          <t>Cargo</t>
        </is>
      </c>
      <c r="G588" t="inlineStr">
        <is>
          <t>83546985088-6</t>
        </is>
      </c>
      <c r="J588" t="inlineStr">
        <is>
          <t>2022/12</t>
        </is>
      </c>
    </row>
    <row r="589">
      <c r="B589" s="2" t="inlineStr">
        <is>
          <t>C47F9DB36358</t>
        </is>
      </c>
      <c r="D589" s="68" t="inlineStr">
        <is>
          <t>PR2206-305</t>
        </is>
      </c>
      <c r="E589" t="inlineStr">
        <is>
          <t>HVLE</t>
        </is>
      </c>
      <c r="F589" t="inlineStr">
        <is>
          <t>Cargo</t>
        </is>
      </c>
      <c r="G589" t="inlineStr">
        <is>
          <t>83546985012-6</t>
        </is>
      </c>
      <c r="J589" t="inlineStr">
        <is>
          <t>2022/12</t>
        </is>
      </c>
    </row>
    <row r="590">
      <c r="B590" s="2" t="inlineStr">
        <is>
          <t>EC12E7CACCF2</t>
        </is>
      </c>
      <c r="D590" s="68" t="inlineStr">
        <is>
          <t>PR2206-339</t>
        </is>
      </c>
      <c r="E590" t="inlineStr">
        <is>
          <t>HVLE</t>
        </is>
      </c>
      <c r="F590" t="inlineStr">
        <is>
          <t>Cargo</t>
        </is>
      </c>
      <c r="G590" t="inlineStr">
        <is>
          <t>83546985084-5</t>
        </is>
      </c>
      <c r="J590" t="inlineStr">
        <is>
          <t>2022/12</t>
        </is>
      </c>
    </row>
    <row r="591">
      <c r="B591" s="2" t="inlineStr">
        <is>
          <t>F91897578D5A</t>
        </is>
      </c>
      <c r="D591" s="68" t="inlineStr">
        <is>
          <t>PR2206-008</t>
        </is>
      </c>
      <c r="E591" t="inlineStr">
        <is>
          <t>HVLE</t>
        </is>
      </c>
      <c r="F591" t="inlineStr">
        <is>
          <t>Cargo</t>
        </is>
      </c>
      <c r="G591" t="inlineStr">
        <is>
          <t>83546985079-5</t>
        </is>
      </c>
      <c r="J591" t="inlineStr">
        <is>
          <t>2022/12</t>
        </is>
      </c>
    </row>
    <row r="592">
      <c r="B592" s="2" t="inlineStr">
        <is>
          <t>CA5943062913</t>
        </is>
      </c>
      <c r="D592" s="68" t="inlineStr">
        <is>
          <t>PR2206-468</t>
        </is>
      </c>
      <c r="E592" t="inlineStr">
        <is>
          <t>HVLE</t>
        </is>
      </c>
      <c r="F592" t="inlineStr">
        <is>
          <t>Cargo</t>
        </is>
      </c>
      <c r="G592" t="inlineStr">
        <is>
          <t>83546985085-2</t>
        </is>
      </c>
      <c r="J592" t="inlineStr">
        <is>
          <t>2022/12</t>
        </is>
      </c>
    </row>
    <row r="593">
      <c r="B593" s="2" t="inlineStr">
        <is>
          <t>DBC31AEFB60C</t>
        </is>
      </c>
      <c r="D593" s="68" t="inlineStr">
        <is>
          <t>PR2206-282</t>
        </is>
      </c>
      <c r="E593" t="inlineStr">
        <is>
          <t>HVLE</t>
        </is>
      </c>
      <c r="F593" t="inlineStr">
        <is>
          <t>Cargo</t>
        </is>
      </c>
      <c r="G593" t="inlineStr">
        <is>
          <t>83546985084-5</t>
        </is>
      </c>
      <c r="J593" t="inlineStr">
        <is>
          <t>2022/12</t>
        </is>
      </c>
    </row>
    <row r="594">
      <c r="B594" s="2" t="inlineStr">
        <is>
          <t>F0D03C1416C9</t>
        </is>
      </c>
      <c r="D594" s="68" t="inlineStr">
        <is>
          <t>PR2206-307</t>
        </is>
      </c>
      <c r="E594" t="inlineStr">
        <is>
          <t>HVLE</t>
        </is>
      </c>
      <c r="F594" t="inlineStr">
        <is>
          <t>Cargo</t>
        </is>
      </c>
      <c r="G594" t="inlineStr">
        <is>
          <t>83546985030-8</t>
        </is>
      </c>
      <c r="J594" t="inlineStr">
        <is>
          <t>2022/12</t>
        </is>
      </c>
    </row>
    <row r="595">
      <c r="B595" s="2" t="inlineStr">
        <is>
          <t>E04A7434E274</t>
        </is>
      </c>
      <c r="D595" s="68" t="inlineStr">
        <is>
          <t>PR2206-003</t>
        </is>
      </c>
      <c r="E595" t="inlineStr">
        <is>
          <t>HVLE</t>
        </is>
      </c>
      <c r="F595" t="inlineStr">
        <is>
          <t>Cargo</t>
        </is>
      </c>
      <c r="G595" t="inlineStr">
        <is>
          <t>83546985012-6</t>
        </is>
      </c>
      <c r="J595" t="inlineStr">
        <is>
          <t>2022/12</t>
        </is>
      </c>
    </row>
    <row r="596">
      <c r="B596" s="2" t="inlineStr">
        <is>
          <t>DF4D456ADBB2</t>
        </is>
      </c>
      <c r="D596" s="68" t="inlineStr">
        <is>
          <t>PR2206-331</t>
        </is>
      </c>
      <c r="E596" t="inlineStr">
        <is>
          <t>HVLE</t>
        </is>
      </c>
      <c r="F596" t="inlineStr">
        <is>
          <t>Cargo</t>
        </is>
      </c>
      <c r="G596" t="inlineStr">
        <is>
          <t>83546985085-2</t>
        </is>
      </c>
      <c r="J596" t="inlineStr">
        <is>
          <t>2022/12</t>
        </is>
      </c>
    </row>
    <row r="597">
      <c r="B597" s="2" t="inlineStr">
        <is>
          <t>F35A1C90325E</t>
        </is>
      </c>
      <c r="D597" s="68" t="inlineStr">
        <is>
          <t>PR2206-457</t>
        </is>
      </c>
      <c r="E597" t="inlineStr">
        <is>
          <t>HVLE</t>
        </is>
      </c>
      <c r="F597" t="inlineStr">
        <is>
          <t>Cargo</t>
        </is>
      </c>
      <c r="G597" t="inlineStr">
        <is>
          <t>83546985084-5</t>
        </is>
      </c>
      <c r="J597" t="inlineStr">
        <is>
          <t>2022/12</t>
        </is>
      </c>
    </row>
    <row r="598">
      <c r="B598" s="2" t="inlineStr">
        <is>
          <t>C6802C05C2BD</t>
        </is>
      </c>
      <c r="D598" s="68" t="inlineStr">
        <is>
          <t>PR2206-403</t>
        </is>
      </c>
      <c r="E598" t="inlineStr">
        <is>
          <t>HVLE</t>
        </is>
      </c>
      <c r="F598" t="inlineStr">
        <is>
          <t>Cargo</t>
        </is>
      </c>
      <c r="G598" t="inlineStr">
        <is>
          <t>83546985079-5</t>
        </is>
      </c>
      <c r="J598" t="inlineStr">
        <is>
          <t>2022/12</t>
        </is>
      </c>
    </row>
    <row r="599">
      <c r="B599" s="2" t="inlineStr">
        <is>
          <t>C5903DB4D448</t>
        </is>
      </c>
      <c r="D599" s="68" t="inlineStr">
        <is>
          <t>PR2206-546</t>
        </is>
      </c>
      <c r="E599" t="inlineStr">
        <is>
          <t>HVLE</t>
        </is>
      </c>
      <c r="F599" t="inlineStr">
        <is>
          <t>Cargo</t>
        </is>
      </c>
      <c r="G599" t="inlineStr">
        <is>
          <t>83546985079-5</t>
        </is>
      </c>
      <c r="J599" t="inlineStr">
        <is>
          <t>2022/12</t>
        </is>
      </c>
    </row>
    <row r="600">
      <c r="B600" s="2" t="inlineStr">
        <is>
          <t>DD9BD7BFBF1D</t>
        </is>
      </c>
      <c r="D600" s="68" t="inlineStr">
        <is>
          <t>PR2206-018</t>
        </is>
      </c>
      <c r="E600" t="inlineStr">
        <is>
          <t>HVLE</t>
        </is>
      </c>
      <c r="F600" t="inlineStr">
        <is>
          <t>Cargo</t>
        </is>
      </c>
      <c r="G600" t="inlineStr">
        <is>
          <t>83546985012-6</t>
        </is>
      </c>
      <c r="J600" t="inlineStr">
        <is>
          <t>2022/12</t>
        </is>
      </c>
    </row>
    <row r="601">
      <c r="B601" s="2" t="inlineStr">
        <is>
          <t>CEFE40D583FA</t>
        </is>
      </c>
      <c r="D601" s="68" t="inlineStr">
        <is>
          <t>PR2206-475</t>
        </is>
      </c>
      <c r="E601" t="inlineStr">
        <is>
          <t>HVLE</t>
        </is>
      </c>
      <c r="F601" t="inlineStr">
        <is>
          <t>Cargo</t>
        </is>
      </c>
      <c r="G601" t="inlineStr">
        <is>
          <t>83546985030-8</t>
        </is>
      </c>
      <c r="J601" t="inlineStr">
        <is>
          <t>2022/12</t>
        </is>
      </c>
    </row>
    <row r="602">
      <c r="B602" s="2" t="inlineStr">
        <is>
          <t>C7FD546A3E71</t>
        </is>
      </c>
      <c r="D602" s="68" t="inlineStr">
        <is>
          <t>PR2206-491</t>
        </is>
      </c>
      <c r="E602" t="inlineStr">
        <is>
          <t>HVLE</t>
        </is>
      </c>
      <c r="F602" t="inlineStr">
        <is>
          <t>Cargo</t>
        </is>
      </c>
      <c r="G602" t="inlineStr">
        <is>
          <t>83546985088-6</t>
        </is>
      </c>
      <c r="J602" t="inlineStr">
        <is>
          <t>2022/12</t>
        </is>
      </c>
    </row>
    <row r="603">
      <c r="B603" s="2" t="inlineStr">
        <is>
          <t>C4D0A551E053</t>
        </is>
      </c>
      <c r="D603" s="68" t="inlineStr">
        <is>
          <t>PR2206-171</t>
        </is>
      </c>
      <c r="E603" t="inlineStr">
        <is>
          <t>HVLE</t>
        </is>
      </c>
      <c r="F603" t="inlineStr">
        <is>
          <t>Cargo</t>
        </is>
      </c>
      <c r="G603" t="inlineStr">
        <is>
          <t>83546985079-5</t>
        </is>
      </c>
      <c r="J603" t="inlineStr">
        <is>
          <t>2022/12</t>
        </is>
      </c>
    </row>
    <row r="604">
      <c r="B604" s="2" t="inlineStr">
        <is>
          <t>D62F97440B60</t>
        </is>
      </c>
      <c r="D604" s="68" t="inlineStr">
        <is>
          <t>PR2206-016</t>
        </is>
      </c>
      <c r="E604" t="inlineStr">
        <is>
          <t>HVLE</t>
        </is>
      </c>
      <c r="F604" t="inlineStr">
        <is>
          <t>Cargo</t>
        </is>
      </c>
      <c r="G604" t="inlineStr">
        <is>
          <t>83546985072-0</t>
        </is>
      </c>
      <c r="J604" t="inlineStr">
        <is>
          <t>2022/12</t>
        </is>
      </c>
    </row>
    <row r="605">
      <c r="B605" s="2" t="inlineStr">
        <is>
          <t>EDD05633F890</t>
        </is>
      </c>
      <c r="D605" s="68" t="inlineStr">
        <is>
          <t>PR2206-515</t>
        </is>
      </c>
      <c r="E605" t="inlineStr">
        <is>
          <t>HVLE</t>
        </is>
      </c>
      <c r="F605" t="inlineStr">
        <is>
          <t>Cargo</t>
        </is>
      </c>
      <c r="G605" t="inlineStr">
        <is>
          <t>83546985085-2</t>
        </is>
      </c>
      <c r="J605" t="inlineStr">
        <is>
          <t>2022/12</t>
        </is>
      </c>
    </row>
    <row r="606">
      <c r="B606" s="2" t="inlineStr">
        <is>
          <t>E7C9BF92848B</t>
        </is>
      </c>
      <c r="D606" s="68" t="inlineStr">
        <is>
          <t>PR2206-320</t>
        </is>
      </c>
      <c r="E606" t="inlineStr">
        <is>
          <t>HVLE</t>
        </is>
      </c>
      <c r="F606" t="inlineStr">
        <is>
          <t>Cargo</t>
        </is>
      </c>
      <c r="G606" t="inlineStr">
        <is>
          <t>83546985012-6</t>
        </is>
      </c>
      <c r="J606" t="inlineStr">
        <is>
          <t>2022/12</t>
        </is>
      </c>
    </row>
    <row r="607">
      <c r="B607" s="2" t="inlineStr">
        <is>
          <t>CFA7A99CB7D3</t>
        </is>
      </c>
      <c r="D607" s="68" t="inlineStr">
        <is>
          <t>PR2206-056</t>
        </is>
      </c>
      <c r="E607" t="inlineStr">
        <is>
          <t>HVLE</t>
        </is>
      </c>
      <c r="F607" t="inlineStr">
        <is>
          <t>Cargo</t>
        </is>
      </c>
      <c r="G607" t="inlineStr">
        <is>
          <t>83546985079-5</t>
        </is>
      </c>
      <c r="J607" t="inlineStr">
        <is>
          <t>2022/12</t>
        </is>
      </c>
    </row>
    <row r="608">
      <c r="B608" s="2" t="inlineStr">
        <is>
          <t>F397F7F9A481</t>
        </is>
      </c>
      <c r="D608" s="68" t="inlineStr">
        <is>
          <t>PR2203-191</t>
        </is>
      </c>
      <c r="E608" t="inlineStr">
        <is>
          <t>HVLE</t>
        </is>
      </c>
      <c r="F608" t="inlineStr">
        <is>
          <t>Cargo</t>
        </is>
      </c>
      <c r="G608" t="inlineStr">
        <is>
          <t>83546985072-0</t>
        </is>
      </c>
      <c r="J608" t="inlineStr">
        <is>
          <t>2022/12</t>
        </is>
      </c>
    </row>
    <row r="609">
      <c r="B609" s="2" t="inlineStr">
        <is>
          <t>D2C9D2A47FEB</t>
        </is>
      </c>
      <c r="D609" s="68" t="inlineStr">
        <is>
          <t>PR2206-499</t>
        </is>
      </c>
      <c r="E609" t="inlineStr">
        <is>
          <t>HVLE</t>
        </is>
      </c>
      <c r="F609" t="inlineStr">
        <is>
          <t>Cargo</t>
        </is>
      </c>
      <c r="G609" t="inlineStr">
        <is>
          <t>83546985015-9</t>
        </is>
      </c>
      <c r="J609" t="inlineStr">
        <is>
          <t>2022/12</t>
        </is>
      </c>
    </row>
    <row r="610">
      <c r="B610" s="2" t="inlineStr">
        <is>
          <t>F91B6A23699F</t>
        </is>
      </c>
      <c r="D610" s="68" t="inlineStr">
        <is>
          <t>PR2206-310</t>
        </is>
      </c>
      <c r="E610" t="inlineStr">
        <is>
          <t>HVLE</t>
        </is>
      </c>
      <c r="F610" t="inlineStr">
        <is>
          <t>Cargo</t>
        </is>
      </c>
      <c r="G610" t="inlineStr">
        <is>
          <t>83546985088-6</t>
        </is>
      </c>
      <c r="J610" t="inlineStr">
        <is>
          <t>2022/12</t>
        </is>
      </c>
    </row>
    <row r="611">
      <c r="B611" s="2" t="inlineStr">
        <is>
          <t>DD90049CCCC1</t>
        </is>
      </c>
      <c r="D611" s="68" t="inlineStr">
        <is>
          <t>PR2206-543</t>
        </is>
      </c>
      <c r="E611" t="inlineStr">
        <is>
          <t>HVLE</t>
        </is>
      </c>
      <c r="F611" t="inlineStr">
        <is>
          <t>Cargo</t>
        </is>
      </c>
      <c r="G611" t="inlineStr">
        <is>
          <t>83546985012-6</t>
        </is>
      </c>
      <c r="J611" t="inlineStr">
        <is>
          <t>2022/12</t>
        </is>
      </c>
    </row>
    <row r="612">
      <c r="B612" s="2" t="inlineStr">
        <is>
          <t>EA425D27F242</t>
        </is>
      </c>
      <c r="D612" s="68" t="inlineStr">
        <is>
          <t>PR2206-094</t>
        </is>
      </c>
      <c r="E612" t="inlineStr">
        <is>
          <t>HVLE</t>
        </is>
      </c>
      <c r="F612" t="inlineStr">
        <is>
          <t>Cargo</t>
        </is>
      </c>
      <c r="G612" t="inlineStr">
        <is>
          <t>83546985030-8</t>
        </is>
      </c>
      <c r="J612" t="inlineStr">
        <is>
          <t>2022/12</t>
        </is>
      </c>
    </row>
    <row r="613">
      <c r="B613" s="2" t="inlineStr">
        <is>
          <t>E2117DFDEA8A</t>
        </is>
      </c>
      <c r="D613" s="68" t="inlineStr">
        <is>
          <t>PR2206-550</t>
        </is>
      </c>
      <c r="E613" t="inlineStr">
        <is>
          <t>HVLE</t>
        </is>
      </c>
      <c r="F613" t="inlineStr">
        <is>
          <t>Cargo</t>
        </is>
      </c>
      <c r="G613" t="inlineStr">
        <is>
          <t>83546985084-5</t>
        </is>
      </c>
      <c r="J613" t="inlineStr">
        <is>
          <t>2022/12</t>
        </is>
      </c>
    </row>
    <row r="614">
      <c r="B614" s="2" t="inlineStr">
        <is>
          <t>DD7E990752B3</t>
        </is>
      </c>
      <c r="D614" s="68" t="inlineStr">
        <is>
          <t>PR2206-350</t>
        </is>
      </c>
      <c r="E614" t="inlineStr">
        <is>
          <t>HVLE</t>
        </is>
      </c>
      <c r="F614" t="inlineStr">
        <is>
          <t>Cargo</t>
        </is>
      </c>
      <c r="G614" t="inlineStr">
        <is>
          <t>83546985088-6</t>
        </is>
      </c>
      <c r="J614" t="inlineStr">
        <is>
          <t>2022/12</t>
        </is>
      </c>
    </row>
    <row r="615">
      <c r="B615" s="2" t="inlineStr">
        <is>
          <t>E025B3C82551</t>
        </is>
      </c>
      <c r="D615" s="68" t="inlineStr">
        <is>
          <t>PR2206-179</t>
        </is>
      </c>
      <c r="E615" t="inlineStr">
        <is>
          <t>HVLE</t>
        </is>
      </c>
      <c r="F615" t="inlineStr">
        <is>
          <t>Cargo</t>
        </is>
      </c>
      <c r="G615" t="inlineStr">
        <is>
          <t>83546985015-9</t>
        </is>
      </c>
      <c r="J615" t="inlineStr">
        <is>
          <t>2022/12</t>
        </is>
      </c>
    </row>
    <row r="616">
      <c r="B616" s="2" t="inlineStr">
        <is>
          <t>EDD75BB766AD</t>
        </is>
      </c>
      <c r="D616" s="68" t="inlineStr">
        <is>
          <t>PR2206-513</t>
        </is>
      </c>
      <c r="E616" t="inlineStr">
        <is>
          <t>HVLE</t>
        </is>
      </c>
      <c r="F616" t="inlineStr">
        <is>
          <t>Cargo</t>
        </is>
      </c>
      <c r="G616" t="inlineStr">
        <is>
          <t>83546985088-6</t>
        </is>
      </c>
      <c r="J616" t="inlineStr">
        <is>
          <t>2022/12</t>
        </is>
      </c>
    </row>
    <row r="617">
      <c r="B617" s="2" t="inlineStr">
        <is>
          <t>D10BEAA8CB6F</t>
        </is>
      </c>
      <c r="D617" s="68" t="inlineStr">
        <is>
          <t>PR2206-391</t>
        </is>
      </c>
      <c r="E617" t="inlineStr">
        <is>
          <t>HVLE</t>
        </is>
      </c>
      <c r="F617" t="inlineStr">
        <is>
          <t>Cargo</t>
        </is>
      </c>
      <c r="G617" t="inlineStr">
        <is>
          <t>83546985088-6</t>
        </is>
      </c>
      <c r="J617" t="inlineStr">
        <is>
          <t>2022/12</t>
        </is>
      </c>
    </row>
    <row r="618">
      <c r="B618" s="2" t="inlineStr">
        <is>
          <t>D11BA7AB5269</t>
        </is>
      </c>
      <c r="D618" s="68" t="inlineStr">
        <is>
          <t>PR2206-309</t>
        </is>
      </c>
      <c r="E618" t="inlineStr">
        <is>
          <t>HVLE</t>
        </is>
      </c>
      <c r="F618" t="inlineStr">
        <is>
          <t>Cargo</t>
        </is>
      </c>
      <c r="G618" t="inlineStr">
        <is>
          <t>83546985030-8</t>
        </is>
      </c>
      <c r="J618" t="inlineStr">
        <is>
          <t>2022/12</t>
        </is>
      </c>
    </row>
    <row r="619">
      <c r="B619" s="2" t="inlineStr">
        <is>
          <t>E157C8F4E8CE</t>
        </is>
      </c>
      <c r="D619" s="68" t="inlineStr">
        <is>
          <t>PR2206-505</t>
        </is>
      </c>
      <c r="E619" t="inlineStr">
        <is>
          <t>HVLE</t>
        </is>
      </c>
      <c r="F619" t="inlineStr">
        <is>
          <t>Cargo</t>
        </is>
      </c>
      <c r="G619" t="inlineStr">
        <is>
          <t>83546985030-8</t>
        </is>
      </c>
      <c r="J619" t="inlineStr">
        <is>
          <t>2022/12</t>
        </is>
      </c>
    </row>
    <row r="620">
      <c r="B620" s="2" t="inlineStr">
        <is>
          <t>FD235F67C53C</t>
        </is>
      </c>
      <c r="D620" s="68" t="inlineStr">
        <is>
          <t>PR2206-536</t>
        </is>
      </c>
      <c r="E620" t="inlineStr">
        <is>
          <t>HVLE</t>
        </is>
      </c>
      <c r="F620" t="inlineStr">
        <is>
          <t>Cargo</t>
        </is>
      </c>
      <c r="G620" t="inlineStr">
        <is>
          <t>83546985085-2</t>
        </is>
      </c>
      <c r="J620" t="inlineStr">
        <is>
          <t>2022/12</t>
        </is>
      </c>
    </row>
    <row r="621">
      <c r="B621" s="2" t="inlineStr">
        <is>
          <t>D7217329F541</t>
        </is>
      </c>
      <c r="D621" s="68" t="inlineStr">
        <is>
          <t>PR2206-306</t>
        </is>
      </c>
      <c r="E621" t="inlineStr">
        <is>
          <t>HVLE</t>
        </is>
      </c>
      <c r="F621" t="inlineStr">
        <is>
          <t>Cargo</t>
        </is>
      </c>
      <c r="G621" t="inlineStr">
        <is>
          <t>83546985072-0</t>
        </is>
      </c>
      <c r="J621" t="inlineStr">
        <is>
          <t>2022/12</t>
        </is>
      </c>
    </row>
    <row r="622">
      <c r="B622" s="2" t="inlineStr">
        <is>
          <t>DC81C6E38894</t>
        </is>
      </c>
      <c r="D622" s="68" t="inlineStr">
        <is>
          <t>PR2206-593</t>
        </is>
      </c>
      <c r="E622" t="inlineStr">
        <is>
          <t>HVLE</t>
        </is>
      </c>
      <c r="F622" t="inlineStr">
        <is>
          <t>Cargo</t>
        </is>
      </c>
      <c r="G622" t="inlineStr">
        <is>
          <t>83546985088-6</t>
        </is>
      </c>
      <c r="J622" t="inlineStr">
        <is>
          <t>2022/12</t>
        </is>
      </c>
    </row>
    <row r="623">
      <c r="B623" s="2" t="inlineStr">
        <is>
          <t>ED88D8B63B26</t>
        </is>
      </c>
      <c r="D623" s="68" t="inlineStr">
        <is>
          <t>PR2206-318</t>
        </is>
      </c>
      <c r="E623" t="inlineStr">
        <is>
          <t>HVLE</t>
        </is>
      </c>
      <c r="F623" t="inlineStr">
        <is>
          <t>Cargo</t>
        </is>
      </c>
      <c r="G623" t="inlineStr">
        <is>
          <t>83546985012-6</t>
        </is>
      </c>
      <c r="J623" t="inlineStr">
        <is>
          <t>2022/12</t>
        </is>
      </c>
    </row>
    <row r="624">
      <c r="B624" s="2" t="inlineStr">
        <is>
          <t>D4BD4A127DDF</t>
        </is>
      </c>
      <c r="D624" s="68" t="inlineStr">
        <is>
          <t>PR2206-554</t>
        </is>
      </c>
      <c r="E624" t="inlineStr">
        <is>
          <t>HVLE</t>
        </is>
      </c>
      <c r="F624" t="inlineStr">
        <is>
          <t>Cargo</t>
        </is>
      </c>
      <c r="G624" t="inlineStr">
        <is>
          <t>83546985072-0</t>
        </is>
      </c>
      <c r="J624" t="inlineStr">
        <is>
          <t>2022/12</t>
        </is>
      </c>
    </row>
    <row r="625">
      <c r="B625" s="2" t="inlineStr">
        <is>
          <t>E022F16F80D7</t>
        </is>
      </c>
      <c r="D625" s="68" t="inlineStr">
        <is>
          <t>PR2206-375</t>
        </is>
      </c>
      <c r="E625" t="inlineStr">
        <is>
          <t>HVLE</t>
        </is>
      </c>
      <c r="F625" t="inlineStr">
        <is>
          <t>Cargo</t>
        </is>
      </c>
      <c r="G625" t="inlineStr">
        <is>
          <t>83546985079-5</t>
        </is>
      </c>
      <c r="J625" t="inlineStr">
        <is>
          <t>2022/12</t>
        </is>
      </c>
    </row>
    <row r="626">
      <c r="B626" s="2" t="inlineStr">
        <is>
          <t>C3BF99D08EA9</t>
        </is>
      </c>
      <c r="D626" s="68" t="inlineStr">
        <is>
          <t>PR2206-122</t>
        </is>
      </c>
      <c r="E626" t="inlineStr">
        <is>
          <t>HVLE</t>
        </is>
      </c>
      <c r="F626" t="inlineStr">
        <is>
          <t>Cargo</t>
        </is>
      </c>
      <c r="G626" t="inlineStr">
        <is>
          <t>83546985084-5</t>
        </is>
      </c>
      <c r="J626" t="inlineStr">
        <is>
          <t>2022/12</t>
        </is>
      </c>
    </row>
    <row r="627">
      <c r="B627" s="2" t="inlineStr">
        <is>
          <t>E48F868F5678</t>
        </is>
      </c>
      <c r="D627" s="68" t="inlineStr">
        <is>
          <t>PR2206-323</t>
        </is>
      </c>
      <c r="E627" t="inlineStr">
        <is>
          <t>HVLE</t>
        </is>
      </c>
      <c r="F627" t="inlineStr">
        <is>
          <t>Cargo</t>
        </is>
      </c>
      <c r="G627" t="inlineStr">
        <is>
          <t>83546985030-8</t>
        </is>
      </c>
      <c r="J627" t="inlineStr">
        <is>
          <t>2022/12</t>
        </is>
      </c>
    </row>
    <row r="628">
      <c r="B628" s="2" t="inlineStr">
        <is>
          <t>C580C3630362</t>
        </is>
      </c>
      <c r="D628" s="68" t="inlineStr">
        <is>
          <t>PR2206-303</t>
        </is>
      </c>
      <c r="E628" t="inlineStr">
        <is>
          <t>HVLE</t>
        </is>
      </c>
      <c r="F628" t="inlineStr">
        <is>
          <t>Cargo</t>
        </is>
      </c>
      <c r="G628" t="inlineStr">
        <is>
          <t>83546985095-1</t>
        </is>
      </c>
      <c r="J628" t="inlineStr">
        <is>
          <t>2022/12</t>
        </is>
      </c>
    </row>
    <row r="629">
      <c r="B629" s="2" t="inlineStr">
        <is>
          <t>DD44C7EE4A0A</t>
        </is>
      </c>
      <c r="D629" s="68" t="inlineStr">
        <is>
          <t>PR2206-430</t>
        </is>
      </c>
      <c r="E629" t="inlineStr">
        <is>
          <t>HVLE</t>
        </is>
      </c>
      <c r="F629" t="inlineStr">
        <is>
          <t>Cargo</t>
        </is>
      </c>
      <c r="G629" t="inlineStr">
        <is>
          <t>83546985072-0</t>
        </is>
      </c>
      <c r="J629" t="inlineStr">
        <is>
          <t>2022/12</t>
        </is>
      </c>
    </row>
    <row r="630">
      <c r="B630" s="2" t="inlineStr">
        <is>
          <t>F3EDDE5297EB</t>
        </is>
      </c>
      <c r="D630" s="68" t="inlineStr">
        <is>
          <t>PR2206-301</t>
        </is>
      </c>
      <c r="E630" t="inlineStr">
        <is>
          <t>HVLE</t>
        </is>
      </c>
      <c r="F630" t="inlineStr">
        <is>
          <t>Cargo</t>
        </is>
      </c>
      <c r="G630" t="inlineStr">
        <is>
          <t>83546985095-1</t>
        </is>
      </c>
      <c r="J630" t="inlineStr">
        <is>
          <t>2022/12</t>
        </is>
      </c>
    </row>
    <row r="631">
      <c r="B631" s="2" t="inlineStr">
        <is>
          <t>CDF6F89EF6AC</t>
        </is>
      </c>
      <c r="D631" s="68" t="inlineStr">
        <is>
          <t>PR2206-053</t>
        </is>
      </c>
      <c r="E631" t="inlineStr">
        <is>
          <t>HVLE</t>
        </is>
      </c>
      <c r="F631" t="inlineStr">
        <is>
          <t>Cargo</t>
        </is>
      </c>
      <c r="G631" t="inlineStr">
        <is>
          <t>83546985079-5</t>
        </is>
      </c>
      <c r="J631" t="inlineStr">
        <is>
          <t>2022/12</t>
        </is>
      </c>
    </row>
    <row r="632">
      <c r="B632" s="2" t="inlineStr">
        <is>
          <t>ED26EF2201DD</t>
        </is>
      </c>
      <c r="D632" s="68" t="inlineStr">
        <is>
          <t>PR2206-356</t>
        </is>
      </c>
      <c r="E632" t="inlineStr">
        <is>
          <t>HVLE</t>
        </is>
      </c>
      <c r="F632" t="inlineStr">
        <is>
          <t>Cargo</t>
        </is>
      </c>
      <c r="G632" t="inlineStr">
        <is>
          <t>83546985012-6</t>
        </is>
      </c>
      <c r="J632" t="inlineStr">
        <is>
          <t>2022/12</t>
        </is>
      </c>
    </row>
    <row r="633">
      <c r="B633" s="2" t="inlineStr">
        <is>
          <t>EDDF9414DAED</t>
        </is>
      </c>
      <c r="D633" s="68" t="inlineStr">
        <is>
          <t>PR2206-060</t>
        </is>
      </c>
      <c r="E633" t="inlineStr">
        <is>
          <t>HVLE</t>
        </is>
      </c>
      <c r="F633" t="inlineStr">
        <is>
          <t>Cargo</t>
        </is>
      </c>
      <c r="G633" t="inlineStr">
        <is>
          <t>83546985072-0</t>
        </is>
      </c>
      <c r="J633" t="inlineStr">
        <is>
          <t>2022/12</t>
        </is>
      </c>
    </row>
    <row r="634">
      <c r="B634" s="2" t="inlineStr">
        <is>
          <t>D44E3B83C097</t>
        </is>
      </c>
      <c r="D634" s="68" t="inlineStr">
        <is>
          <t>PR2206-327</t>
        </is>
      </c>
      <c r="E634" t="inlineStr">
        <is>
          <t>HVLE</t>
        </is>
      </c>
      <c r="F634" t="inlineStr">
        <is>
          <t>Cargo</t>
        </is>
      </c>
      <c r="G634" t="inlineStr">
        <is>
          <t>83546985015-9</t>
        </is>
      </c>
      <c r="J634" t="inlineStr">
        <is>
          <t>2022/12</t>
        </is>
      </c>
    </row>
    <row r="635">
      <c r="B635" s="2" t="inlineStr">
        <is>
          <t>CE9E3F15A109</t>
        </is>
      </c>
      <c r="D635" s="68" t="inlineStr">
        <is>
          <t>PR2206-537</t>
        </is>
      </c>
      <c r="E635" t="inlineStr">
        <is>
          <t>HVLE</t>
        </is>
      </c>
      <c r="F635" t="inlineStr">
        <is>
          <t>Cargo</t>
        </is>
      </c>
      <c r="G635" t="inlineStr">
        <is>
          <t>83546985015-9</t>
        </is>
      </c>
      <c r="J635" t="inlineStr">
        <is>
          <t>2022/12</t>
        </is>
      </c>
    </row>
    <row r="636">
      <c r="B636" s="2" t="inlineStr">
        <is>
          <t>D17760A8CC6B</t>
        </is>
      </c>
      <c r="D636" s="68" t="inlineStr">
        <is>
          <t>PR2206-069</t>
        </is>
      </c>
      <c r="E636" t="inlineStr">
        <is>
          <t>HVLE</t>
        </is>
      </c>
      <c r="F636" t="inlineStr">
        <is>
          <t>Cargo</t>
        </is>
      </c>
      <c r="G636" t="inlineStr">
        <is>
          <t>83546985095-1</t>
        </is>
      </c>
      <c r="J636" t="inlineStr">
        <is>
          <t>2022/12</t>
        </is>
      </c>
    </row>
    <row r="637">
      <c r="B637" s="2" t="inlineStr">
        <is>
          <t>DDB95B771C72</t>
        </is>
      </c>
      <c r="D637" s="68" t="inlineStr">
        <is>
          <t>PR2206-132</t>
        </is>
      </c>
      <c r="E637" t="inlineStr">
        <is>
          <t>HVLE</t>
        </is>
      </c>
      <c r="F637" t="inlineStr">
        <is>
          <t>Cargo</t>
        </is>
      </c>
      <c r="G637" t="inlineStr">
        <is>
          <t>83546985085-2</t>
        </is>
      </c>
      <c r="J637" t="inlineStr">
        <is>
          <t>2022/12</t>
        </is>
      </c>
    </row>
    <row r="638">
      <c r="B638" s="2" t="inlineStr">
        <is>
          <t>F94BC17D50BD</t>
        </is>
      </c>
      <c r="D638" s="68" t="inlineStr">
        <is>
          <t>PR2206-424</t>
        </is>
      </c>
      <c r="E638" t="inlineStr">
        <is>
          <t>HVLE</t>
        </is>
      </c>
      <c r="F638" t="inlineStr">
        <is>
          <t>Cargo</t>
        </is>
      </c>
      <c r="G638" t="inlineStr">
        <is>
          <t>83546985072-0</t>
        </is>
      </c>
      <c r="J638" t="inlineStr">
        <is>
          <t>2022/12</t>
        </is>
      </c>
    </row>
    <row r="639">
      <c r="B639" s="2" t="inlineStr">
        <is>
          <t>DA107CB8D6C8</t>
        </is>
      </c>
      <c r="D639" s="68" t="inlineStr">
        <is>
          <t>PR2206-526</t>
        </is>
      </c>
      <c r="E639" t="inlineStr">
        <is>
          <t>HVLE</t>
        </is>
      </c>
      <c r="F639" t="inlineStr">
        <is>
          <t>Cargo</t>
        </is>
      </c>
      <c r="G639" t="inlineStr">
        <is>
          <t>83546985085-2</t>
        </is>
      </c>
      <c r="J639" t="inlineStr">
        <is>
          <t>2022/12</t>
        </is>
      </c>
    </row>
    <row r="640">
      <c r="B640" s="2" t="inlineStr">
        <is>
          <t>EB14F2291B9F</t>
        </is>
      </c>
      <c r="D640" s="68" t="inlineStr">
        <is>
          <t>PR2206-341</t>
        </is>
      </c>
      <c r="E640" t="inlineStr">
        <is>
          <t>HVLE</t>
        </is>
      </c>
      <c r="F640" t="inlineStr">
        <is>
          <t>Cargo</t>
        </is>
      </c>
      <c r="G640" t="inlineStr">
        <is>
          <t>83546985084-5</t>
        </is>
      </c>
      <c r="J640" t="inlineStr">
        <is>
          <t>2022/12</t>
        </is>
      </c>
    </row>
    <row r="641">
      <c r="B641" s="2" t="inlineStr">
        <is>
          <t>EE9EBAABAAE9</t>
        </is>
      </c>
      <c r="D641" s="68" t="inlineStr">
        <is>
          <t>PR2206-037</t>
        </is>
      </c>
      <c r="E641" t="inlineStr">
        <is>
          <t>HVLE</t>
        </is>
      </c>
      <c r="F641" t="inlineStr">
        <is>
          <t>Cargo</t>
        </is>
      </c>
      <c r="G641" t="inlineStr">
        <is>
          <t>83546985084-5</t>
        </is>
      </c>
      <c r="J641" t="inlineStr">
        <is>
          <t>2022/12</t>
        </is>
      </c>
    </row>
    <row r="642">
      <c r="B642" s="2" t="inlineStr">
        <is>
          <t>F05E7B38D721</t>
        </is>
      </c>
      <c r="D642" s="68" t="inlineStr">
        <is>
          <t>PR2206-386</t>
        </is>
      </c>
      <c r="E642" t="inlineStr">
        <is>
          <t>HVLE</t>
        </is>
      </c>
      <c r="F642" t="inlineStr">
        <is>
          <t>Cargo</t>
        </is>
      </c>
      <c r="G642" t="inlineStr">
        <is>
          <t>83546985072-0</t>
        </is>
      </c>
      <c r="J642" t="inlineStr">
        <is>
          <t>2022/12</t>
        </is>
      </c>
    </row>
    <row r="643">
      <c r="B643" s="2" t="inlineStr">
        <is>
          <t>D0C8D3E3DA7B</t>
        </is>
      </c>
      <c r="D643" s="68" t="inlineStr">
        <is>
          <t>PR2206-316</t>
        </is>
      </c>
      <c r="E643" t="inlineStr">
        <is>
          <t>HVLE</t>
        </is>
      </c>
      <c r="F643" t="inlineStr">
        <is>
          <t>Cargo</t>
        </is>
      </c>
      <c r="G643" t="inlineStr">
        <is>
          <t>83546985012-6</t>
        </is>
      </c>
      <c r="J643" t="inlineStr">
        <is>
          <t>2022/12</t>
        </is>
      </c>
    </row>
    <row r="644">
      <c r="B644" s="2" t="inlineStr">
        <is>
          <t>F1BBF552CD6F</t>
        </is>
      </c>
      <c r="D644" s="68" t="inlineStr">
        <is>
          <t>PR2206-512</t>
        </is>
      </c>
      <c r="E644" t="inlineStr">
        <is>
          <t>HVLE</t>
        </is>
      </c>
      <c r="F644" t="inlineStr">
        <is>
          <t>Cargo</t>
        </is>
      </c>
      <c r="G644" t="inlineStr">
        <is>
          <t>83546985095-1</t>
        </is>
      </c>
      <c r="J644" t="inlineStr">
        <is>
          <t>2022/12</t>
        </is>
      </c>
    </row>
    <row r="645">
      <c r="B645" s="2" t="inlineStr">
        <is>
          <t>D410486BAD7F</t>
        </is>
      </c>
      <c r="D645" s="68" t="inlineStr">
        <is>
          <t>PR2201-060</t>
        </is>
      </c>
      <c r="E645" t="inlineStr">
        <is>
          <t>HVLE</t>
        </is>
      </c>
      <c r="F645" t="inlineStr">
        <is>
          <t>Cargo</t>
        </is>
      </c>
      <c r="G645" t="inlineStr">
        <is>
          <t>83546985015-9</t>
        </is>
      </c>
      <c r="J645" t="inlineStr">
        <is>
          <t>2022/12</t>
        </is>
      </c>
    </row>
    <row r="646">
      <c r="B646" s="2" t="inlineStr">
        <is>
          <t>E0EF2EE16C0E</t>
        </is>
      </c>
      <c r="D646" s="68" t="inlineStr">
        <is>
          <t>PR2206-434</t>
        </is>
      </c>
      <c r="E646" t="inlineStr">
        <is>
          <t>HVLE</t>
        </is>
      </c>
      <c r="F646" t="inlineStr">
        <is>
          <t>Cargo</t>
        </is>
      </c>
      <c r="G646" t="inlineStr">
        <is>
          <t>83546985085-2</t>
        </is>
      </c>
      <c r="J646" t="inlineStr">
        <is>
          <t>2022/12</t>
        </is>
      </c>
    </row>
    <row r="647">
      <c r="B647" s="2" t="inlineStr">
        <is>
          <t>E6E5066E25EF</t>
        </is>
      </c>
      <c r="D647" s="68" t="inlineStr">
        <is>
          <t>PR2206-319</t>
        </is>
      </c>
      <c r="E647" t="inlineStr">
        <is>
          <t>HVLE</t>
        </is>
      </c>
      <c r="F647" t="inlineStr">
        <is>
          <t>Cargo</t>
        </is>
      </c>
      <c r="G647" t="inlineStr">
        <is>
          <t>83546985085-2</t>
        </is>
      </c>
      <c r="J647" t="inlineStr">
        <is>
          <t>2022/12</t>
        </is>
      </c>
    </row>
    <row r="648">
      <c r="B648" s="2" t="inlineStr">
        <is>
          <t>D15E9ECB3DFB</t>
        </is>
      </c>
      <c r="D648" s="68" t="inlineStr">
        <is>
          <t>PR2206-299</t>
        </is>
      </c>
      <c r="E648" t="inlineStr">
        <is>
          <t>HVLE</t>
        </is>
      </c>
      <c r="F648" t="inlineStr">
        <is>
          <t>Cargo</t>
        </is>
      </c>
      <c r="G648" t="inlineStr">
        <is>
          <t>83546985030-8</t>
        </is>
      </c>
      <c r="J648" t="inlineStr">
        <is>
          <t>2022/12</t>
        </is>
      </c>
    </row>
    <row r="649">
      <c r="B649" s="2" t="inlineStr">
        <is>
          <t>F0B63E824B7D</t>
        </is>
      </c>
      <c r="D649" s="68" t="inlineStr">
        <is>
          <t>PR2206-372</t>
        </is>
      </c>
      <c r="E649" t="inlineStr">
        <is>
          <t>HVLE</t>
        </is>
      </c>
      <c r="F649" t="inlineStr">
        <is>
          <t>Cargo</t>
        </is>
      </c>
      <c r="G649" t="inlineStr">
        <is>
          <t>83546985079-5</t>
        </is>
      </c>
      <c r="J649" t="inlineStr">
        <is>
          <t>2022/12</t>
        </is>
      </c>
    </row>
    <row r="650">
      <c r="B650" s="2" t="inlineStr">
        <is>
          <t>D31DF9FEFB1D</t>
        </is>
      </c>
      <c r="D650" s="68" t="inlineStr">
        <is>
          <t>PR2206-033</t>
        </is>
      </c>
      <c r="E650" t="inlineStr">
        <is>
          <t>HVLE</t>
        </is>
      </c>
      <c r="F650" t="inlineStr">
        <is>
          <t>Cargo</t>
        </is>
      </c>
      <c r="G650" t="inlineStr">
        <is>
          <t>83546985065-4</t>
        </is>
      </c>
      <c r="J650" t="inlineStr">
        <is>
          <t>2022/12</t>
        </is>
      </c>
    </row>
    <row r="651">
      <c r="B651" s="2" t="inlineStr">
        <is>
          <t>EE5BC5B431C8</t>
        </is>
      </c>
      <c r="D651" s="68" t="inlineStr">
        <is>
          <t>PR2206-365</t>
        </is>
      </c>
      <c r="E651" t="inlineStr">
        <is>
          <t>HVLE</t>
        </is>
      </c>
      <c r="F651" t="inlineStr">
        <is>
          <t>Cargo</t>
        </is>
      </c>
      <c r="G651" t="inlineStr">
        <is>
          <t>83546985095-1</t>
        </is>
      </c>
      <c r="J651" t="inlineStr">
        <is>
          <t>2022/12</t>
        </is>
      </c>
    </row>
    <row r="652">
      <c r="B652" s="2" t="inlineStr">
        <is>
          <t>F79883DA7F5D</t>
        </is>
      </c>
      <c r="D652" s="68" t="inlineStr">
        <is>
          <t>PR2206-321</t>
        </is>
      </c>
      <c r="E652" t="inlineStr">
        <is>
          <t>HVLE</t>
        </is>
      </c>
      <c r="F652" t="inlineStr">
        <is>
          <t>Cargo</t>
        </is>
      </c>
      <c r="G652" t="inlineStr">
        <is>
          <t>83546985095-1</t>
        </is>
      </c>
      <c r="J652" t="inlineStr">
        <is>
          <t>2022/12</t>
        </is>
      </c>
    </row>
    <row r="653">
      <c r="B653" s="2" t="inlineStr">
        <is>
          <t>C8D42C9F3D6D</t>
        </is>
      </c>
      <c r="D653" s="68" t="inlineStr">
        <is>
          <t>PR2206-021</t>
        </is>
      </c>
      <c r="E653" t="inlineStr">
        <is>
          <t>HVLE</t>
        </is>
      </c>
      <c r="F653" t="inlineStr">
        <is>
          <t>Cargo</t>
        </is>
      </c>
      <c r="G653" t="inlineStr">
        <is>
          <t>83546985065-4</t>
        </is>
      </c>
      <c r="J653" t="inlineStr">
        <is>
          <t>2022/12</t>
        </is>
      </c>
    </row>
    <row r="654">
      <c r="B654" s="2" t="inlineStr">
        <is>
          <t>FB3A7595763B</t>
        </is>
      </c>
      <c r="D654" s="68" t="inlineStr">
        <is>
          <t>PR2206-051</t>
        </is>
      </c>
      <c r="E654" t="inlineStr">
        <is>
          <t>HVLE</t>
        </is>
      </c>
      <c r="F654" t="inlineStr">
        <is>
          <t>Cargo</t>
        </is>
      </c>
      <c r="G654" t="inlineStr">
        <is>
          <t>83546985015-9</t>
        </is>
      </c>
      <c r="J654" t="inlineStr">
        <is>
          <t>2022/12</t>
        </is>
      </c>
    </row>
    <row r="655">
      <c r="B655" s="2" t="inlineStr">
        <is>
          <t>E2F3640796F0</t>
        </is>
      </c>
      <c r="D655" s="68" t="inlineStr">
        <is>
          <t>PR2206-433</t>
        </is>
      </c>
      <c r="E655" t="inlineStr">
        <is>
          <t>HVLE</t>
        </is>
      </c>
      <c r="F655" t="inlineStr">
        <is>
          <t>Cargo</t>
        </is>
      </c>
      <c r="G655" t="inlineStr">
        <is>
          <t>83546985065-4</t>
        </is>
      </c>
      <c r="J655" t="inlineStr">
        <is>
          <t>2022/12</t>
        </is>
      </c>
    </row>
    <row r="656">
      <c r="B656" s="2" t="inlineStr">
        <is>
          <t>D0B42C5BB7E5</t>
        </is>
      </c>
      <c r="D656" s="68" t="inlineStr">
        <is>
          <t>PR2206-040</t>
        </is>
      </c>
      <c r="E656" t="inlineStr">
        <is>
          <t>HVLE</t>
        </is>
      </c>
      <c r="F656" t="inlineStr">
        <is>
          <t>Cargo</t>
        </is>
      </c>
      <c r="G656" t="inlineStr">
        <is>
          <t>83546985015-9</t>
        </is>
      </c>
      <c r="J656" t="inlineStr">
        <is>
          <t>2022/12</t>
        </is>
      </c>
    </row>
    <row r="657">
      <c r="B657" s="2" t="inlineStr">
        <is>
          <t>D64512B90828</t>
        </is>
      </c>
      <c r="D657" s="68" t="inlineStr">
        <is>
          <t>PR2206-432</t>
        </is>
      </c>
      <c r="E657" t="inlineStr">
        <is>
          <t>HVLE</t>
        </is>
      </c>
      <c r="F657" t="inlineStr">
        <is>
          <t>Cargo</t>
        </is>
      </c>
      <c r="G657" t="inlineStr">
        <is>
          <t>83546985065-4</t>
        </is>
      </c>
      <c r="J657" t="inlineStr">
        <is>
          <t>2022/12</t>
        </is>
      </c>
    </row>
    <row r="658">
      <c r="B658" s="2" t="inlineStr">
        <is>
          <t>D6374B77CCA8</t>
        </is>
      </c>
      <c r="D658" s="68" t="inlineStr">
        <is>
          <t>PR2206-509</t>
        </is>
      </c>
      <c r="E658" t="inlineStr">
        <is>
          <t>HVLE</t>
        </is>
      </c>
      <c r="F658" t="inlineStr">
        <is>
          <t>Cargo</t>
        </is>
      </c>
      <c r="G658" t="inlineStr">
        <is>
          <t>83546985065-4</t>
        </is>
      </c>
      <c r="J658" t="inlineStr">
        <is>
          <t>2022/12</t>
        </is>
      </c>
    </row>
    <row r="659">
      <c r="B659" s="2" t="inlineStr">
        <is>
          <t>F724EE3CE4DB</t>
        </is>
      </c>
      <c r="D659" s="68" t="inlineStr">
        <is>
          <t>PR2206-014</t>
        </is>
      </c>
      <c r="E659" t="inlineStr">
        <is>
          <t>HVLE</t>
        </is>
      </c>
      <c r="F659" t="inlineStr">
        <is>
          <t>Cargo</t>
        </is>
      </c>
      <c r="G659" t="inlineStr">
        <is>
          <t>83546985065-4</t>
        </is>
      </c>
      <c r="J659" t="inlineStr">
        <is>
          <t>2022/12</t>
        </is>
      </c>
    </row>
    <row r="660">
      <c r="B660" s="2" t="inlineStr">
        <is>
          <t>DEC219DE1EE2</t>
        </is>
      </c>
      <c r="D660" s="68" t="inlineStr">
        <is>
          <t>PR2206-355</t>
        </is>
      </c>
      <c r="E660" t="inlineStr">
        <is>
          <t>HVLE</t>
        </is>
      </c>
      <c r="F660" t="inlineStr">
        <is>
          <t>Cargo</t>
        </is>
      </c>
      <c r="G660" t="inlineStr">
        <is>
          <t>83546985030-8</t>
        </is>
      </c>
      <c r="J660" t="inlineStr">
        <is>
          <t>2022/12</t>
        </is>
      </c>
    </row>
    <row r="661">
      <c r="B661" s="2" t="inlineStr">
        <is>
          <t>C7A7C5AF5EED</t>
        </is>
      </c>
      <c r="D661" s="68" t="inlineStr">
        <is>
          <t>PR2206-102</t>
        </is>
      </c>
      <c r="E661" t="inlineStr">
        <is>
          <t>HVLE</t>
        </is>
      </c>
      <c r="F661" t="inlineStr">
        <is>
          <t>Cargo</t>
        </is>
      </c>
      <c r="G661" t="inlineStr">
        <is>
          <t>83546985065-4</t>
        </is>
      </c>
      <c r="J661" t="inlineStr">
        <is>
          <t>2022/12</t>
        </is>
      </c>
    </row>
    <row r="662">
      <c r="B662" s="2" t="inlineStr">
        <is>
          <t>DE3E390C3FAA</t>
        </is>
      </c>
      <c r="D662" s="68" t="inlineStr">
        <is>
          <t>PR2206-026</t>
        </is>
      </c>
      <c r="E662" t="inlineStr">
        <is>
          <t>HVLE</t>
        </is>
      </c>
      <c r="F662" t="inlineStr">
        <is>
          <t>Cargo</t>
        </is>
      </c>
      <c r="G662" t="inlineStr">
        <is>
          <t>83546985095-1</t>
        </is>
      </c>
      <c r="J662" t="inlineStr">
        <is>
          <t>2022/12</t>
        </is>
      </c>
    </row>
    <row r="663">
      <c r="B663" s="2" t="inlineStr">
        <is>
          <t>F79A51E25181</t>
        </is>
      </c>
      <c r="D663" s="68" t="inlineStr">
        <is>
          <t>PR2206-510</t>
        </is>
      </c>
      <c r="E663" t="inlineStr">
        <is>
          <t>HVLE</t>
        </is>
      </c>
      <c r="F663" t="inlineStr">
        <is>
          <t>Cargo</t>
        </is>
      </c>
      <c r="G663" t="inlineStr">
        <is>
          <t>83546985065-4</t>
        </is>
      </c>
      <c r="J663" t="inlineStr">
        <is>
          <t>2022/12</t>
        </is>
      </c>
    </row>
    <row r="664">
      <c r="B664" s="2" t="inlineStr">
        <is>
          <t>E07CF769F984</t>
        </is>
      </c>
      <c r="D664" s="68" t="inlineStr">
        <is>
          <t>PR2206-295</t>
        </is>
      </c>
      <c r="E664" t="inlineStr">
        <is>
          <t>HVLE</t>
        </is>
      </c>
      <c r="F664" t="inlineStr">
        <is>
          <t>Cargo</t>
        </is>
      </c>
      <c r="G664" t="inlineStr">
        <is>
          <t>83546985095-1</t>
        </is>
      </c>
      <c r="J664" t="inlineStr">
        <is>
          <t>2022/12</t>
        </is>
      </c>
    </row>
    <row r="665">
      <c r="B665" s="2" t="inlineStr">
        <is>
          <t>C189D25762DB</t>
        </is>
      </c>
      <c r="D665" s="68" t="inlineStr">
        <is>
          <t>PR2206-514</t>
        </is>
      </c>
      <c r="E665" t="inlineStr">
        <is>
          <t>HVLE</t>
        </is>
      </c>
      <c r="F665" t="inlineStr">
        <is>
          <t>Cargo</t>
        </is>
      </c>
      <c r="G665" t="inlineStr">
        <is>
          <t>83546985015-9</t>
        </is>
      </c>
      <c r="J665" t="inlineStr">
        <is>
          <t>2022/12</t>
        </is>
      </c>
    </row>
    <row r="666">
      <c r="B666" s="2" t="inlineStr">
        <is>
          <t>CAC8C6C73D63</t>
        </is>
      </c>
      <c r="D666" t="inlineStr">
        <is>
          <t>PR2201-044</t>
        </is>
      </c>
      <c r="E666" t="inlineStr">
        <is>
          <t>HUPAC</t>
        </is>
      </c>
      <c r="F666" t="inlineStr">
        <is>
          <t>Cargo</t>
        </is>
      </c>
      <c r="G666" t="inlineStr">
        <is>
          <t>replacement</t>
        </is>
      </c>
    </row>
    <row r="667">
      <c r="B667" s="2" t="inlineStr">
        <is>
          <t>F6223AB6E18C</t>
        </is>
      </c>
      <c r="D667" t="inlineStr">
        <is>
          <t>PR2201-038</t>
        </is>
      </c>
      <c r="E667" t="inlineStr">
        <is>
          <t>HUPAC</t>
        </is>
      </c>
      <c r="F667" t="inlineStr">
        <is>
          <t>Cargo</t>
        </is>
      </c>
      <c r="G667" t="inlineStr">
        <is>
          <t>replacement</t>
        </is>
      </c>
    </row>
    <row r="668">
      <c r="B668" s="2" t="inlineStr">
        <is>
          <t>C88F974B61D4</t>
        </is>
      </c>
      <c r="D668" t="inlineStr">
        <is>
          <t>PR2201-043</t>
        </is>
      </c>
      <c r="E668" t="inlineStr">
        <is>
          <t>HUPAC</t>
        </is>
      </c>
      <c r="F668" t="inlineStr">
        <is>
          <t>Cargo</t>
        </is>
      </c>
      <c r="G668" t="inlineStr">
        <is>
          <t>replacement</t>
        </is>
      </c>
    </row>
    <row r="669">
      <c r="B669" s="2" t="inlineStr">
        <is>
          <t>D763A181CFA3</t>
        </is>
      </c>
      <c r="D669" t="inlineStr">
        <is>
          <t>PR2203-450</t>
        </is>
      </c>
      <c r="E669" t="inlineStr">
        <is>
          <t>RENFE</t>
        </is>
      </c>
      <c r="F669" t="inlineStr">
        <is>
          <t>Magnets</t>
        </is>
      </c>
      <c r="J669" t="inlineStr">
        <is>
          <t>22/11/22</t>
        </is>
      </c>
    </row>
    <row r="670">
      <c r="B670" s="2" t="inlineStr">
        <is>
          <t>C355011AB729</t>
        </is>
      </c>
      <c r="D670" t="inlineStr">
        <is>
          <t>PR2203-082</t>
        </is>
      </c>
      <c r="E670" t="inlineStr">
        <is>
          <t>RENFE</t>
        </is>
      </c>
      <c r="F670" t="inlineStr">
        <is>
          <t>Magnets</t>
        </is>
      </c>
      <c r="J670" t="inlineStr">
        <is>
          <t>22/11/22</t>
        </is>
      </c>
    </row>
    <row r="671">
      <c r="B671" s="2" t="inlineStr">
        <is>
          <t>E1E81E1EA6A2</t>
        </is>
      </c>
      <c r="D671" t="inlineStr">
        <is>
          <t>PR2201-037</t>
        </is>
      </c>
      <c r="E671" t="inlineStr">
        <is>
          <t>RENFE</t>
        </is>
      </c>
      <c r="F671" t="inlineStr">
        <is>
          <t>Magnets</t>
        </is>
      </c>
      <c r="G671" t="inlineStr">
        <is>
          <t>LOST</t>
        </is>
      </c>
      <c r="J671" t="inlineStr">
        <is>
          <t>22/11/22</t>
        </is>
      </c>
    </row>
    <row r="672">
      <c r="B672" s="2" t="inlineStr">
        <is>
          <t>FA0C9D047EFD</t>
        </is>
      </c>
      <c r="D672" t="inlineStr">
        <is>
          <t>PR2203-002</t>
        </is>
      </c>
      <c r="E672" t="inlineStr">
        <is>
          <t>RENFE</t>
        </is>
      </c>
      <c r="F672" t="inlineStr">
        <is>
          <t>Magnets</t>
        </is>
      </c>
      <c r="J672" t="inlineStr">
        <is>
          <t>22/11/22</t>
        </is>
      </c>
    </row>
    <row r="673">
      <c r="B673" s="2" t="inlineStr">
        <is>
          <t>C633CAAA0F10</t>
        </is>
      </c>
      <c r="D673" t="inlineStr">
        <is>
          <t>PR2203-106</t>
        </is>
      </c>
      <c r="E673" t="inlineStr">
        <is>
          <t>RENFE</t>
        </is>
      </c>
      <c r="F673" t="inlineStr">
        <is>
          <t>Magnets</t>
        </is>
      </c>
      <c r="J673" t="inlineStr">
        <is>
          <t>22/11/22</t>
        </is>
      </c>
    </row>
    <row r="674">
      <c r="B674" s="2" t="inlineStr">
        <is>
          <t>D4F251DE5D41</t>
        </is>
      </c>
      <c r="D674" t="inlineStr">
        <is>
          <t>PR2201-050</t>
        </is>
      </c>
      <c r="E674" t="inlineStr">
        <is>
          <t>RENFE</t>
        </is>
      </c>
      <c r="F674" t="inlineStr">
        <is>
          <t>Magnets</t>
        </is>
      </c>
      <c r="J674" t="inlineStr">
        <is>
          <t>22/11/22</t>
        </is>
      </c>
    </row>
    <row r="675">
      <c r="B675" s="2" t="inlineStr">
        <is>
          <t>FF0120D944AD</t>
        </is>
      </c>
      <c r="D675" t="inlineStr">
        <is>
          <t>PR2206-421</t>
        </is>
      </c>
      <c r="E675" t="inlineStr">
        <is>
          <t>RENFE</t>
        </is>
      </c>
      <c r="F675" t="inlineStr">
        <is>
          <t>Magnets</t>
        </is>
      </c>
      <c r="J675" t="inlineStr">
        <is>
          <t>22/11/22</t>
        </is>
      </c>
    </row>
    <row r="676">
      <c r="B676" s="2" t="inlineStr">
        <is>
          <t>FC9A930AEFBC</t>
        </is>
      </c>
      <c r="D676" t="inlineStr">
        <is>
          <t>PR2203-020</t>
        </is>
      </c>
      <c r="E676" t="inlineStr">
        <is>
          <t>RENFE</t>
        </is>
      </c>
      <c r="F676" t="inlineStr">
        <is>
          <t>Magnets</t>
        </is>
      </c>
      <c r="J676" t="inlineStr">
        <is>
          <t>22/11/22</t>
        </is>
      </c>
    </row>
    <row r="677">
      <c r="B677" s="2" t="inlineStr">
        <is>
          <t>CF52A80A5A98</t>
        </is>
      </c>
      <c r="D677" s="25" t="inlineStr">
        <is>
          <t>PR2203-007</t>
        </is>
      </c>
      <c r="E677" t="inlineStr">
        <is>
          <t>TRANSFESA</t>
        </is>
      </c>
      <c r="F677" t="inlineStr">
        <is>
          <t>Cargo</t>
        </is>
      </c>
      <c r="G677" t="inlineStr">
        <is>
          <t>nesumontuotas</t>
        </is>
      </c>
      <c r="J677" s="56" t="n">
        <v>44886</v>
      </c>
    </row>
    <row r="678">
      <c r="B678" s="2" t="inlineStr">
        <is>
          <t>F9E66364936A</t>
        </is>
      </c>
      <c r="D678" t="inlineStr">
        <is>
          <t>PR2203-395</t>
        </is>
      </c>
      <c r="E678" t="inlineStr">
        <is>
          <t>TRANSFESA</t>
        </is>
      </c>
      <c r="F678" t="inlineStr">
        <is>
          <t>Cargo</t>
        </is>
      </c>
      <c r="J678" s="56" t="n">
        <v>44886</v>
      </c>
    </row>
    <row r="679">
      <c r="B679" s="2" t="inlineStr">
        <is>
          <t>D5D761256088</t>
        </is>
      </c>
      <c r="D679" t="inlineStr">
        <is>
          <t>PR2203-079</t>
        </is>
      </c>
      <c r="E679" t="inlineStr">
        <is>
          <t>TRANSFESA</t>
        </is>
      </c>
      <c r="F679" t="inlineStr">
        <is>
          <t>Cargo</t>
        </is>
      </c>
      <c r="J679" s="56" t="n">
        <v>44886</v>
      </c>
    </row>
    <row r="680">
      <c r="B680" s="2" t="inlineStr">
        <is>
          <t>C22E7345D4FA</t>
        </is>
      </c>
      <c r="D680" t="inlineStr">
        <is>
          <t>PR2203-276</t>
        </is>
      </c>
      <c r="E680" t="inlineStr">
        <is>
          <t>TRANSFESA</t>
        </is>
      </c>
      <c r="F680" t="inlineStr">
        <is>
          <t>Cargo</t>
        </is>
      </c>
      <c r="J680" s="56" t="n">
        <v>44886</v>
      </c>
    </row>
    <row r="681">
      <c r="B681" s="2" t="inlineStr">
        <is>
          <t>FAB4CDE0DF08</t>
        </is>
      </c>
      <c r="D681" t="inlineStr">
        <is>
          <t>PR2201-045</t>
        </is>
      </c>
      <c r="E681" t="inlineStr">
        <is>
          <t>TRANSFESA</t>
        </is>
      </c>
      <c r="F681" t="inlineStr">
        <is>
          <t>Cargo</t>
        </is>
      </c>
      <c r="J681" s="56" t="n">
        <v>44886</v>
      </c>
    </row>
    <row r="682">
      <c r="B682" s="2" t="inlineStr">
        <is>
          <t>FAC7B697FCB4</t>
        </is>
      </c>
      <c r="D682" t="inlineStr">
        <is>
          <t>PR2203-282</t>
        </is>
      </c>
      <c r="E682" t="inlineStr">
        <is>
          <t>TRANSFESA</t>
        </is>
      </c>
      <c r="F682" t="inlineStr">
        <is>
          <t>Cargo</t>
        </is>
      </c>
      <c r="J682" s="56" t="n">
        <v>44886</v>
      </c>
    </row>
    <row r="683">
      <c r="B683" s="2" t="inlineStr">
        <is>
          <t>CE100B87A353</t>
        </is>
      </c>
      <c r="D683" s="25" t="inlineStr">
        <is>
          <t>PR2203-091</t>
        </is>
      </c>
      <c r="E683" t="inlineStr">
        <is>
          <t>TRANSFESA</t>
        </is>
      </c>
      <c r="F683" t="inlineStr">
        <is>
          <t>Cargo</t>
        </is>
      </c>
      <c r="G683" t="inlineStr">
        <is>
          <t>nesumontuotas</t>
        </is>
      </c>
      <c r="J683" s="56" t="n">
        <v>44886</v>
      </c>
    </row>
    <row r="684">
      <c r="B684" s="2" t="inlineStr">
        <is>
          <t>E147CCC14691</t>
        </is>
      </c>
      <c r="D684" t="inlineStr">
        <is>
          <t>PR2203-110</t>
        </is>
      </c>
      <c r="E684" t="inlineStr">
        <is>
          <t>TRANSFESA</t>
        </is>
      </c>
      <c r="F684" t="inlineStr">
        <is>
          <t>Cargo</t>
        </is>
      </c>
      <c r="J684" s="56" t="n">
        <v>44886</v>
      </c>
    </row>
    <row r="685">
      <c r="B685" s="2" t="inlineStr">
        <is>
          <t>F56A2CD0F826</t>
        </is>
      </c>
      <c r="D685" t="inlineStr">
        <is>
          <t>PR2203-351</t>
        </is>
      </c>
      <c r="E685" t="inlineStr">
        <is>
          <t>TRANSFESA</t>
        </is>
      </c>
      <c r="F685" t="inlineStr">
        <is>
          <t>Cargo</t>
        </is>
      </c>
      <c r="J685" s="56" t="n">
        <v>44886</v>
      </c>
    </row>
    <row r="686">
      <c r="B686" s="2" t="inlineStr">
        <is>
          <t>F4F498BB0758</t>
        </is>
      </c>
      <c r="D686" t="inlineStr">
        <is>
          <t>PR2201-005</t>
        </is>
      </c>
      <c r="E686" t="inlineStr">
        <is>
          <t>TRANSFESA</t>
        </is>
      </c>
      <c r="F686" t="inlineStr">
        <is>
          <t>Cargo</t>
        </is>
      </c>
      <c r="J686" s="56" t="n">
        <v>44886</v>
      </c>
    </row>
    <row r="687">
      <c r="B687" s="2" t="inlineStr">
        <is>
          <t>E7EB61701971</t>
        </is>
      </c>
      <c r="D687" s="25" t="inlineStr">
        <is>
          <t>PR2203-236</t>
        </is>
      </c>
      <c r="E687" t="inlineStr">
        <is>
          <t>TRANSFESA</t>
        </is>
      </c>
      <c r="F687" t="inlineStr">
        <is>
          <t>Cargo</t>
        </is>
      </c>
      <c r="G687" t="inlineStr">
        <is>
          <t>nesumontuotas</t>
        </is>
      </c>
      <c r="J687" s="56" t="n">
        <v>44886</v>
      </c>
    </row>
    <row r="688">
      <c r="B688" s="2" t="inlineStr">
        <is>
          <t>F7DEA20C8D0D</t>
        </is>
      </c>
      <c r="D688" s="25" t="inlineStr">
        <is>
          <t>PR2203-449</t>
        </is>
      </c>
      <c r="E688" t="inlineStr">
        <is>
          <t>TRANSFESA</t>
        </is>
      </c>
      <c r="F688" t="inlineStr">
        <is>
          <t>Cargo</t>
        </is>
      </c>
      <c r="G688" t="inlineStr">
        <is>
          <t>nesumontuotas</t>
        </is>
      </c>
      <c r="J688" s="56" t="n">
        <v>44886</v>
      </c>
    </row>
    <row r="689">
      <c r="B689" s="2" t="inlineStr">
        <is>
          <t>ED8B88EEED0A</t>
        </is>
      </c>
      <c r="D689" t="inlineStr">
        <is>
          <t>PR2203-083</t>
        </is>
      </c>
      <c r="E689" t="inlineStr">
        <is>
          <t>TRANSFESA</t>
        </is>
      </c>
      <c r="F689" t="inlineStr">
        <is>
          <t>Cargo</t>
        </is>
      </c>
      <c r="J689" s="56" t="n">
        <v>44886</v>
      </c>
    </row>
    <row r="690">
      <c r="B690" s="2" t="inlineStr">
        <is>
          <t>F6BAAA7E995F</t>
        </is>
      </c>
      <c r="D690" t="inlineStr">
        <is>
          <t>PR2203-447</t>
        </is>
      </c>
      <c r="E690" t="inlineStr">
        <is>
          <t>TRANSFESA</t>
        </is>
      </c>
      <c r="F690" t="inlineStr">
        <is>
          <t>Cargo</t>
        </is>
      </c>
      <c r="J690" s="56" t="n">
        <v>44886</v>
      </c>
    </row>
    <row r="691">
      <c r="B691" s="2" t="inlineStr">
        <is>
          <t>C46F7E0DD40C</t>
        </is>
      </c>
      <c r="D691" t="inlineStr">
        <is>
          <t>PR2203-009</t>
        </is>
      </c>
      <c r="E691" t="inlineStr">
        <is>
          <t>TRANSFESA</t>
        </is>
      </c>
      <c r="F691" t="inlineStr">
        <is>
          <t>Cargo</t>
        </is>
      </c>
      <c r="J691" s="56" t="n">
        <v>44886</v>
      </c>
    </row>
    <row r="692">
      <c r="B692" s="2" t="inlineStr">
        <is>
          <t>DC12AD2128EA</t>
        </is>
      </c>
      <c r="D692" t="inlineStr">
        <is>
          <t>PR2206-568</t>
        </is>
      </c>
      <c r="E692" t="inlineStr">
        <is>
          <t>TRANSFESA</t>
        </is>
      </c>
      <c r="F692" t="inlineStr">
        <is>
          <t>Cargo</t>
        </is>
      </c>
      <c r="J692" s="56" t="n">
        <v>44886</v>
      </c>
    </row>
    <row r="693">
      <c r="B693" s="2" t="inlineStr">
        <is>
          <t>CB7232F006AE</t>
        </is>
      </c>
      <c r="D693" t="inlineStr">
        <is>
          <t>PR2203-480</t>
        </is>
      </c>
      <c r="E693" t="inlineStr">
        <is>
          <t>RAILIZE</t>
        </is>
      </c>
      <c r="F693" t="inlineStr">
        <is>
          <t>Magnets</t>
        </is>
      </c>
    </row>
    <row r="694">
      <c r="B694" s="2" t="inlineStr">
        <is>
          <t>F0EC7E291311</t>
        </is>
      </c>
      <c r="D694" t="inlineStr">
        <is>
          <t>PR2203-402</t>
        </is>
      </c>
      <c r="E694" t="inlineStr">
        <is>
          <t>RAILIZE</t>
        </is>
      </c>
      <c r="F694" t="inlineStr">
        <is>
          <t>Magnets</t>
        </is>
      </c>
    </row>
    <row r="695">
      <c r="B695" s="2" t="inlineStr">
        <is>
          <t>C1513AC0609D</t>
        </is>
      </c>
      <c r="D695" t="inlineStr">
        <is>
          <t>PR2201-040</t>
        </is>
      </c>
      <c r="E695" t="inlineStr">
        <is>
          <t>RAILIZE</t>
        </is>
      </c>
      <c r="F695" t="inlineStr">
        <is>
          <t>Magnets</t>
        </is>
      </c>
    </row>
    <row r="696">
      <c r="B696" s="2" t="inlineStr">
        <is>
          <t>D5C7E14D2264</t>
        </is>
      </c>
      <c r="D696" t="inlineStr">
        <is>
          <t>PR2203-472</t>
        </is>
      </c>
      <c r="E696" t="inlineStr">
        <is>
          <t>RAILIZE</t>
        </is>
      </c>
      <c r="F696" t="inlineStr">
        <is>
          <t>Magnets</t>
        </is>
      </c>
    </row>
    <row r="697">
      <c r="B697" s="2" t="inlineStr">
        <is>
          <t>D1FA1E9C3AF5</t>
        </is>
      </c>
      <c r="D697" t="inlineStr">
        <is>
          <t>PR2203-100</t>
        </is>
      </c>
      <c r="E697" t="inlineStr">
        <is>
          <t>RAILIZE</t>
        </is>
      </c>
      <c r="F697" t="inlineStr">
        <is>
          <t>Magnets</t>
        </is>
      </c>
    </row>
    <row r="698">
      <c r="B698" s="2" t="inlineStr">
        <is>
          <t>FEBC7C3544C8</t>
        </is>
      </c>
      <c r="D698" t="inlineStr">
        <is>
          <t>PR2203-235</t>
        </is>
      </c>
      <c r="E698" t="inlineStr">
        <is>
          <t>RAILIZE</t>
        </is>
      </c>
      <c r="F698" t="inlineStr">
        <is>
          <t>Magnets</t>
        </is>
      </c>
    </row>
    <row r="699">
      <c r="B699" s="2" t="inlineStr">
        <is>
          <t>DE72CAB26DC1</t>
        </is>
      </c>
      <c r="D699" t="inlineStr">
        <is>
          <t>PR2203-097</t>
        </is>
      </c>
      <c r="E699" t="inlineStr">
        <is>
          <t>RAILIZE</t>
        </is>
      </c>
      <c r="F699" t="inlineStr">
        <is>
          <t>Magnets</t>
        </is>
      </c>
    </row>
    <row r="700">
      <c r="B700" s="2" t="inlineStr">
        <is>
          <t>D213BDF7CDCD</t>
        </is>
      </c>
      <c r="D700" t="inlineStr">
        <is>
          <t>PR2203-199</t>
        </is>
      </c>
      <c r="E700" t="inlineStr">
        <is>
          <t>RAILIZE</t>
        </is>
      </c>
      <c r="F700" t="inlineStr">
        <is>
          <t>Magnets</t>
        </is>
      </c>
    </row>
    <row r="701">
      <c r="B701" s="2" t="inlineStr">
        <is>
          <t>FF2832DED225</t>
        </is>
      </c>
      <c r="D701" t="inlineStr">
        <is>
          <t>PR2203-109</t>
        </is>
      </c>
      <c r="E701" t="inlineStr">
        <is>
          <t>RAILIZE</t>
        </is>
      </c>
      <c r="F701" t="inlineStr">
        <is>
          <t>Magnets</t>
        </is>
      </c>
    </row>
    <row r="702">
      <c r="B702" s="2" t="inlineStr">
        <is>
          <t>F37BC777B45B</t>
        </is>
      </c>
      <c r="D702" t="inlineStr">
        <is>
          <t>PR2203-373</t>
        </is>
      </c>
      <c r="E702" t="inlineStr">
        <is>
          <t>RAILIZE</t>
        </is>
      </c>
      <c r="F702" t="inlineStr">
        <is>
          <t>Magnets</t>
        </is>
      </c>
    </row>
    <row r="703">
      <c r="B703" s="2" t="inlineStr">
        <is>
          <t>DFD40BCC559F</t>
        </is>
      </c>
      <c r="D703" t="inlineStr">
        <is>
          <t>PR2203-347</t>
        </is>
      </c>
      <c r="E703" t="inlineStr">
        <is>
          <t>RAILIZE</t>
        </is>
      </c>
      <c r="F703" t="inlineStr">
        <is>
          <t>Magnets</t>
        </is>
      </c>
    </row>
    <row r="704">
      <c r="B704" s="2" t="inlineStr">
        <is>
          <t>F002E4BC2FB8</t>
        </is>
      </c>
      <c r="D704" t="inlineStr">
        <is>
          <t>PR2203-283</t>
        </is>
      </c>
      <c r="E704" t="inlineStr">
        <is>
          <t>RAILIZE</t>
        </is>
      </c>
      <c r="F704" t="inlineStr">
        <is>
          <t>Magnets</t>
        </is>
      </c>
    </row>
    <row r="705">
      <c r="B705" s="2" t="inlineStr">
        <is>
          <t>F84588EA58AC</t>
        </is>
      </c>
      <c r="D705" t="inlineStr">
        <is>
          <t>PR2203-070</t>
        </is>
      </c>
      <c r="E705" t="inlineStr">
        <is>
          <t>RAILIZE</t>
        </is>
      </c>
      <c r="F705" t="inlineStr">
        <is>
          <t>Magnets</t>
        </is>
      </c>
    </row>
    <row r="706">
      <c r="B706" s="2" t="inlineStr">
        <is>
          <t>F07ADA5A017A</t>
        </is>
      </c>
      <c r="D706" t="inlineStr">
        <is>
          <t>PR2203-111</t>
        </is>
      </c>
      <c r="E706" t="inlineStr">
        <is>
          <t>RAILIZE</t>
        </is>
      </c>
      <c r="F706" t="inlineStr">
        <is>
          <t>Magnets</t>
        </is>
      </c>
    </row>
    <row r="707">
      <c r="B707" s="2" t="inlineStr">
        <is>
          <t>E53CB6690EDC</t>
        </is>
      </c>
      <c r="D707" t="inlineStr">
        <is>
          <t>PR2201-059</t>
        </is>
      </c>
      <c r="E707" t="inlineStr">
        <is>
          <t>RAILIZE</t>
        </is>
      </c>
      <c r="F707" t="inlineStr">
        <is>
          <t>Magnets</t>
        </is>
      </c>
    </row>
    <row r="708">
      <c r="B708" s="2" t="inlineStr">
        <is>
          <t>CF0B701ABFDC</t>
        </is>
      </c>
      <c r="D708" t="inlineStr">
        <is>
          <t>PR2203-342</t>
        </is>
      </c>
      <c r="E708" t="inlineStr">
        <is>
          <t>RAILIZE</t>
        </is>
      </c>
      <c r="F708" t="inlineStr">
        <is>
          <t>Magnets</t>
        </is>
      </c>
    </row>
    <row r="709">
      <c r="B709" s="2" t="inlineStr">
        <is>
          <t>CC3348B2F186</t>
        </is>
      </c>
      <c r="D709" t="inlineStr">
        <is>
          <t>PR2201-057</t>
        </is>
      </c>
      <c r="E709" t="inlineStr">
        <is>
          <t>RAILIZE</t>
        </is>
      </c>
      <c r="F709" t="inlineStr">
        <is>
          <t>Magnets</t>
        </is>
      </c>
    </row>
    <row r="710">
      <c r="B710" s="2" t="inlineStr">
        <is>
          <t>FFB472A07677</t>
        </is>
      </c>
      <c r="D710" t="inlineStr">
        <is>
          <t>PR2203-108</t>
        </is>
      </c>
      <c r="E710" t="inlineStr">
        <is>
          <t>RAILIZE</t>
        </is>
      </c>
      <c r="F710" t="inlineStr">
        <is>
          <t>Magnets</t>
        </is>
      </c>
    </row>
    <row r="711">
      <c r="B711" s="2" t="inlineStr">
        <is>
          <t>C990A40F23BC</t>
        </is>
      </c>
      <c r="D711" t="inlineStr">
        <is>
          <t>PR2203-015</t>
        </is>
      </c>
      <c r="E711" t="inlineStr">
        <is>
          <t>RAILIZE</t>
        </is>
      </c>
      <c r="F711" t="inlineStr">
        <is>
          <t>Magnets</t>
        </is>
      </c>
    </row>
    <row r="712">
      <c r="B712" s="2" t="inlineStr">
        <is>
          <t>C1517275A802</t>
        </is>
      </c>
      <c r="D712" t="inlineStr">
        <is>
          <t>PR2203-399</t>
        </is>
      </c>
      <c r="E712" t="inlineStr">
        <is>
          <t>RAILIZE</t>
        </is>
      </c>
      <c r="F712" t="inlineStr">
        <is>
          <t>Magnets</t>
        </is>
      </c>
    </row>
    <row r="713">
      <c r="B713" s="2" t="inlineStr">
        <is>
          <t>C4537B994B7F</t>
        </is>
      </c>
      <c r="D713" t="inlineStr">
        <is>
          <t>PR2203-017</t>
        </is>
      </c>
      <c r="E713" t="inlineStr">
        <is>
          <t>RAILIZE</t>
        </is>
      </c>
      <c r="F713" t="inlineStr">
        <is>
          <t>Magnets</t>
        </is>
      </c>
    </row>
    <row r="714">
      <c r="B714" s="2" t="inlineStr">
        <is>
          <t>F635FA43F3B8</t>
        </is>
      </c>
      <c r="D714" t="inlineStr">
        <is>
          <t>PR2203-105</t>
        </is>
      </c>
      <c r="E714" t="inlineStr">
        <is>
          <t>RAILIZE</t>
        </is>
      </c>
      <c r="F714" t="inlineStr">
        <is>
          <t>Magnets</t>
        </is>
      </c>
    </row>
    <row r="715">
      <c r="B715" s="2" t="inlineStr">
        <is>
          <t>DEE6479F39BD</t>
        </is>
      </c>
      <c r="D715" t="inlineStr">
        <is>
          <t>PR2203-412</t>
        </is>
      </c>
      <c r="E715" t="inlineStr">
        <is>
          <t>RAILIZE</t>
        </is>
      </c>
      <c r="F715" t="inlineStr">
        <is>
          <t>Magnets</t>
        </is>
      </c>
    </row>
    <row r="716">
      <c r="B716" s="2" t="inlineStr">
        <is>
          <t>DE26E17A6428</t>
        </is>
      </c>
      <c r="D716" t="inlineStr">
        <is>
          <t>null1</t>
        </is>
      </c>
      <c r="E716" t="inlineStr">
        <is>
          <t>RAILIZE</t>
        </is>
      </c>
      <c r="F716" t="inlineStr">
        <is>
          <t>Magnets</t>
        </is>
      </c>
    </row>
    <row r="717">
      <c r="B717" s="2" t="inlineStr">
        <is>
          <t>EF0712238601</t>
        </is>
      </c>
      <c r="D717" t="inlineStr">
        <is>
          <t>null2</t>
        </is>
      </c>
      <c r="E717" t="inlineStr">
        <is>
          <t>RAILIZE</t>
        </is>
      </c>
      <c r="F717" t="inlineStr">
        <is>
          <t>Magnets</t>
        </is>
      </c>
    </row>
    <row r="718">
      <c r="B718" s="2" t="inlineStr">
        <is>
          <t>FDCFA88D5A2E</t>
        </is>
      </c>
      <c r="D718" t="inlineStr">
        <is>
          <t>PR2203-003</t>
        </is>
      </c>
      <c r="E718" t="inlineStr">
        <is>
          <t>RAILIZE</t>
        </is>
      </c>
      <c r="F718" t="inlineStr">
        <is>
          <t>Magnets</t>
        </is>
      </c>
    </row>
    <row r="719">
      <c r="B719" s="2" t="inlineStr">
        <is>
          <t>EAA5C97BE999</t>
        </is>
      </c>
      <c r="D719" t="inlineStr">
        <is>
          <t>PR2203-365</t>
        </is>
      </c>
      <c r="E719" t="inlineStr">
        <is>
          <t>RAILIZE</t>
        </is>
      </c>
      <c r="F719" t="inlineStr">
        <is>
          <t>Magnets</t>
        </is>
      </c>
    </row>
    <row r="720">
      <c r="B720" s="2" t="inlineStr">
        <is>
          <t>DD81C38F6A6F</t>
        </is>
      </c>
      <c r="D720" t="inlineStr">
        <is>
          <t>PR2201-035</t>
        </is>
      </c>
      <c r="E720" t="inlineStr">
        <is>
          <t>RAILIZE</t>
        </is>
      </c>
      <c r="F720" t="inlineStr">
        <is>
          <t>Magnets</t>
        </is>
      </c>
    </row>
    <row r="721">
      <c r="B721" s="2" t="inlineStr">
        <is>
          <t>D2DE6FA9796A</t>
        </is>
      </c>
      <c r="D721" t="inlineStr">
        <is>
          <t>PR2203-453</t>
        </is>
      </c>
      <c r="E721" t="inlineStr">
        <is>
          <t>RAILIZE</t>
        </is>
      </c>
      <c r="F721" t="inlineStr">
        <is>
          <t>Magnets</t>
        </is>
      </c>
    </row>
    <row r="722">
      <c r="B722" s="2" t="inlineStr">
        <is>
          <t>EC2D1E08BD84</t>
        </is>
      </c>
      <c r="D722" t="inlineStr">
        <is>
          <t>PR2203-454</t>
        </is>
      </c>
      <c r="E722" t="inlineStr">
        <is>
          <t>RAILIZE</t>
        </is>
      </c>
      <c r="F722" t="inlineStr">
        <is>
          <t>Magnets</t>
        </is>
      </c>
    </row>
    <row r="723">
      <c r="B723" s="2" t="inlineStr">
        <is>
          <t>D063C571C19C</t>
        </is>
      </c>
      <c r="D723" t="inlineStr">
        <is>
          <t>PR2203-027</t>
        </is>
      </c>
      <c r="E723" t="inlineStr">
        <is>
          <t>RAILIZE</t>
        </is>
      </c>
      <c r="F723" t="inlineStr">
        <is>
          <t>Magnets</t>
        </is>
      </c>
    </row>
    <row r="724">
      <c r="B724" s="2" t="inlineStr">
        <is>
          <t>C5AB7EA65297</t>
        </is>
      </c>
      <c r="D724" t="inlineStr">
        <is>
          <t>PR2203-277</t>
        </is>
      </c>
      <c r="E724" t="inlineStr">
        <is>
          <t>RAILIZE</t>
        </is>
      </c>
      <c r="F724" t="inlineStr">
        <is>
          <t>Magnets</t>
        </is>
      </c>
    </row>
    <row r="725">
      <c r="B725" s="2" t="inlineStr">
        <is>
          <t>CC2B188F26D8</t>
        </is>
      </c>
      <c r="D725" s="65" t="inlineStr">
        <is>
          <t>PR2203-391</t>
        </is>
      </c>
      <c r="E725" t="inlineStr">
        <is>
          <t>MERCITALIA</t>
        </is>
      </c>
      <c r="F725" t="inlineStr">
        <is>
          <t>Cargo</t>
        </is>
      </c>
      <c r="G725" t="inlineStr">
        <is>
          <t>31833918084-2</t>
        </is>
      </c>
      <c r="J725" s="56" t="n">
        <v>44909</v>
      </c>
    </row>
    <row r="726">
      <c r="B726" s="2" t="inlineStr">
        <is>
          <t>F619D40B24B2</t>
        </is>
      </c>
      <c r="D726" s="65" t="inlineStr">
        <is>
          <t>PR2203-336</t>
        </is>
      </c>
      <c r="E726" t="inlineStr">
        <is>
          <t>MERCITALIA</t>
        </is>
      </c>
      <c r="F726" t="inlineStr">
        <is>
          <t>Cargo</t>
        </is>
      </c>
      <c r="G726" t="inlineStr">
        <is>
          <t>31834575297-2</t>
        </is>
      </c>
      <c r="J726" s="56" t="n">
        <v>44909</v>
      </c>
    </row>
    <row r="727">
      <c r="B727" s="2" t="inlineStr">
        <is>
          <t>CEEAC68BCAB0</t>
        </is>
      </c>
      <c r="D727" s="65" t="inlineStr">
        <is>
          <t>PR2203-375</t>
        </is>
      </c>
      <c r="E727" t="inlineStr">
        <is>
          <t>MERCITALIA</t>
        </is>
      </c>
      <c r="F727" t="inlineStr">
        <is>
          <t>Cargo</t>
        </is>
      </c>
      <c r="G727" t="inlineStr">
        <is>
          <t>33854668206-7</t>
        </is>
      </c>
      <c r="J727" s="56" t="n">
        <v>44909</v>
      </c>
    </row>
    <row r="728">
      <c r="B728" s="2" t="inlineStr">
        <is>
          <t>DE7F225E4C40</t>
        </is>
      </c>
      <c r="D728" s="65" t="inlineStr">
        <is>
          <t>PR2203-353</t>
        </is>
      </c>
      <c r="E728" t="inlineStr">
        <is>
          <t>MERCITALIA</t>
        </is>
      </c>
      <c r="F728" t="inlineStr">
        <is>
          <t>Cargo</t>
        </is>
      </c>
      <c r="G728" t="inlineStr">
        <is>
          <t>31833916501-7</t>
        </is>
      </c>
      <c r="J728" s="56" t="n">
        <v>44909</v>
      </c>
    </row>
    <row r="729">
      <c r="B729" s="2" t="inlineStr">
        <is>
          <t>FCBE5A8C2CE9</t>
        </is>
      </c>
      <c r="D729" s="65" t="inlineStr">
        <is>
          <t>PR2203-392</t>
        </is>
      </c>
      <c r="E729" t="inlineStr">
        <is>
          <t>MERCITALIA</t>
        </is>
      </c>
      <c r="F729" t="inlineStr">
        <is>
          <t>Cargo</t>
        </is>
      </c>
      <c r="G729" t="inlineStr">
        <is>
          <t>31833936025-3</t>
        </is>
      </c>
      <c r="J729" s="56" t="n">
        <v>44909</v>
      </c>
    </row>
    <row r="730">
      <c r="B730" s="2" t="inlineStr">
        <is>
          <t>C5148FD6BC61</t>
        </is>
      </c>
      <c r="D730" s="65" t="inlineStr">
        <is>
          <t>PR2203-279</t>
        </is>
      </c>
      <c r="E730" t="inlineStr">
        <is>
          <t>MERCITALIA</t>
        </is>
      </c>
      <c r="F730" t="inlineStr">
        <is>
          <t>Cargo</t>
        </is>
      </c>
      <c r="G730" t="inlineStr">
        <is>
          <t>31833916501-7</t>
        </is>
      </c>
      <c r="J730" s="56" t="n">
        <v>44909</v>
      </c>
    </row>
    <row r="731">
      <c r="B731" s="2" t="inlineStr">
        <is>
          <t>FC074675A12A</t>
        </is>
      </c>
      <c r="D731" s="65" t="inlineStr">
        <is>
          <t>PR2203-023</t>
        </is>
      </c>
      <c r="E731" t="inlineStr">
        <is>
          <t>MERCITALIA</t>
        </is>
      </c>
      <c r="F731" t="inlineStr">
        <is>
          <t>Cargo</t>
        </is>
      </c>
      <c r="G731" t="inlineStr">
        <is>
          <t>31833916514-0</t>
        </is>
      </c>
      <c r="J731" s="56" t="n">
        <v>44909</v>
      </c>
    </row>
    <row r="732">
      <c r="B732" s="2" t="inlineStr">
        <is>
          <t>C066CE3EE05F</t>
        </is>
      </c>
      <c r="D732" s="65" t="inlineStr">
        <is>
          <t>PR2203-139</t>
        </is>
      </c>
      <c r="E732" t="inlineStr">
        <is>
          <t>MERCITALIA</t>
        </is>
      </c>
      <c r="F732" t="inlineStr">
        <is>
          <t>Cargo</t>
        </is>
      </c>
      <c r="G732" t="inlineStr">
        <is>
          <t>31835376007-3</t>
        </is>
      </c>
      <c r="J732" s="56" t="n">
        <v>44909</v>
      </c>
    </row>
    <row r="733">
      <c r="B733" s="2" t="inlineStr">
        <is>
          <t>F8E94F1E080F</t>
        </is>
      </c>
      <c r="D733" s="65" t="inlineStr">
        <is>
          <t>PR2203-112</t>
        </is>
      </c>
      <c r="E733" t="inlineStr">
        <is>
          <t>MERCITALIA</t>
        </is>
      </c>
      <c r="F733" t="inlineStr">
        <is>
          <t>Cargo</t>
        </is>
      </c>
      <c r="G733" t="inlineStr">
        <is>
          <t>31833936025-3</t>
        </is>
      </c>
      <c r="J733" s="56" t="n">
        <v>44909</v>
      </c>
    </row>
    <row r="734">
      <c r="B734" s="2" t="inlineStr">
        <is>
          <t>ED99E7D142FB</t>
        </is>
      </c>
      <c r="D734" s="65" t="inlineStr">
        <is>
          <t>PR2203-334</t>
        </is>
      </c>
      <c r="E734" t="inlineStr">
        <is>
          <t>MERCITALIA</t>
        </is>
      </c>
      <c r="F734" t="inlineStr">
        <is>
          <t>Cargo</t>
        </is>
      </c>
      <c r="G734" t="inlineStr">
        <is>
          <t>31833936025-3</t>
        </is>
      </c>
      <c r="J734" s="56" t="n">
        <v>44909</v>
      </c>
    </row>
    <row r="735">
      <c r="B735" s="2" t="inlineStr">
        <is>
          <t>C7AE2AEED9F5</t>
        </is>
      </c>
      <c r="D735" s="65" t="inlineStr">
        <is>
          <t>PR2203-089</t>
        </is>
      </c>
      <c r="E735" t="inlineStr">
        <is>
          <t>MERCITALIA</t>
        </is>
      </c>
      <c r="F735" t="inlineStr">
        <is>
          <t>Cargo</t>
        </is>
      </c>
      <c r="G735" t="inlineStr">
        <is>
          <t>31833919338-1</t>
        </is>
      </c>
      <c r="J735" s="56" t="n">
        <v>44909</v>
      </c>
    </row>
    <row r="736">
      <c r="B736" s="2" t="inlineStr">
        <is>
          <t>CAD52CC57D9A</t>
        </is>
      </c>
      <c r="D736" s="65" t="inlineStr">
        <is>
          <t>PR2203-474</t>
        </is>
      </c>
      <c r="E736" t="inlineStr">
        <is>
          <t>MERCITALIA</t>
        </is>
      </c>
      <c r="F736" t="inlineStr">
        <is>
          <t>Cargo</t>
        </is>
      </c>
      <c r="G736" t="inlineStr">
        <is>
          <t>31833919338-1</t>
        </is>
      </c>
      <c r="J736" s="56" t="n">
        <v>44909</v>
      </c>
    </row>
    <row r="737">
      <c r="B737" s="2" t="inlineStr">
        <is>
          <t>E03B6A4E90E1</t>
        </is>
      </c>
      <c r="D737" s="65" t="inlineStr">
        <is>
          <t>PR2203-261</t>
        </is>
      </c>
      <c r="E737" t="inlineStr">
        <is>
          <t>MERCITALIA</t>
        </is>
      </c>
      <c r="F737" t="inlineStr">
        <is>
          <t>Cargo</t>
        </is>
      </c>
      <c r="G737" t="inlineStr">
        <is>
          <t>31835377921-4</t>
        </is>
      </c>
      <c r="J737" s="56" t="inlineStr">
        <is>
          <t>2023 03 17</t>
        </is>
      </c>
    </row>
    <row r="738">
      <c r="B738" s="2" t="inlineStr">
        <is>
          <t>E09B251167F0</t>
        </is>
      </c>
      <c r="D738" s="65" t="inlineStr">
        <is>
          <t>PR2206-456</t>
        </is>
      </c>
      <c r="E738" t="inlineStr">
        <is>
          <t>MERCITALIA</t>
        </is>
      </c>
      <c r="F738" t="inlineStr">
        <is>
          <t>Cargo</t>
        </is>
      </c>
      <c r="G738" t="inlineStr">
        <is>
          <t>31835376007-3</t>
        </is>
      </c>
      <c r="J738" s="56" t="n">
        <v>44909</v>
      </c>
    </row>
    <row r="739">
      <c r="B739" s="2" t="inlineStr">
        <is>
          <t>CF674338977B</t>
        </is>
      </c>
      <c r="D739" s="65" t="inlineStr">
        <is>
          <t>PR2203-271</t>
        </is>
      </c>
      <c r="E739" t="inlineStr">
        <is>
          <t>MERCITALIA</t>
        </is>
      </c>
      <c r="F739" t="inlineStr">
        <is>
          <t>Cargo</t>
        </is>
      </c>
      <c r="G739" t="inlineStr">
        <is>
          <t>31833936025-3</t>
        </is>
      </c>
      <c r="J739" s="56" t="n">
        <v>44909</v>
      </c>
    </row>
    <row r="740">
      <c r="B740" s="2" t="inlineStr">
        <is>
          <t>EC0D5EBAA33C</t>
        </is>
      </c>
      <c r="D740" s="65" t="inlineStr">
        <is>
          <t>PR2203-280</t>
        </is>
      </c>
      <c r="E740" t="inlineStr">
        <is>
          <t>MERCITALIA</t>
        </is>
      </c>
      <c r="F740" t="inlineStr">
        <is>
          <t>Cargo</t>
        </is>
      </c>
      <c r="G740" t="inlineStr">
        <is>
          <t>31833918084-2</t>
        </is>
      </c>
      <c r="J740" s="56" t="n">
        <v>44909</v>
      </c>
    </row>
    <row r="741">
      <c r="B741" s="2" t="inlineStr">
        <is>
          <t>FEA14F83EB0E</t>
        </is>
      </c>
      <c r="D741" s="65" t="inlineStr">
        <is>
          <t>PR2203-289</t>
        </is>
      </c>
      <c r="E741" t="inlineStr">
        <is>
          <t>MERCITALIA</t>
        </is>
      </c>
      <c r="F741" t="inlineStr">
        <is>
          <t>Cargo</t>
        </is>
      </c>
      <c r="G741" t="inlineStr">
        <is>
          <t>31835376007-3</t>
        </is>
      </c>
      <c r="J741" s="56" t="n">
        <v>44909</v>
      </c>
    </row>
    <row r="742">
      <c r="B742" s="2" t="inlineStr">
        <is>
          <t>FA9C256A217E</t>
        </is>
      </c>
      <c r="D742" s="65" t="inlineStr">
        <is>
          <t>PR2203-404</t>
        </is>
      </c>
      <c r="E742" t="inlineStr">
        <is>
          <t>MERCITALIA</t>
        </is>
      </c>
      <c r="F742" t="inlineStr">
        <is>
          <t>Cargo</t>
        </is>
      </c>
      <c r="G742" t="inlineStr">
        <is>
          <t>31835377921-4</t>
        </is>
      </c>
      <c r="J742" s="56" t="inlineStr">
        <is>
          <t>2023 03 17</t>
        </is>
      </c>
    </row>
    <row r="743">
      <c r="B743" s="2" t="inlineStr">
        <is>
          <t>C3CC54DF81DE</t>
        </is>
      </c>
      <c r="D743" s="65" t="inlineStr">
        <is>
          <t>PR2203-341</t>
        </is>
      </c>
      <c r="E743" t="inlineStr">
        <is>
          <t>MERCITALIA</t>
        </is>
      </c>
      <c r="F743" t="inlineStr">
        <is>
          <t>Cargo</t>
        </is>
      </c>
      <c r="G743" t="inlineStr">
        <is>
          <t>31833936025-3</t>
        </is>
      </c>
      <c r="J743" s="56" t="n">
        <v>44909</v>
      </c>
    </row>
    <row r="744">
      <c r="B744" s="2" t="inlineStr">
        <is>
          <t>F9C82D0A84D3</t>
        </is>
      </c>
      <c r="D744" s="65" t="inlineStr">
        <is>
          <t>PR2203-377</t>
        </is>
      </c>
      <c r="E744" t="inlineStr">
        <is>
          <t>MERCITALIA</t>
        </is>
      </c>
      <c r="F744" t="inlineStr">
        <is>
          <t>Cargo</t>
        </is>
      </c>
      <c r="G744" t="inlineStr">
        <is>
          <t>31833916501-7</t>
        </is>
      </c>
      <c r="J744" s="56" t="n">
        <v>44909</v>
      </c>
    </row>
    <row r="745">
      <c r="B745" s="2" t="inlineStr">
        <is>
          <t>EBA8AFB1CC01</t>
        </is>
      </c>
      <c r="D745" s="65" t="inlineStr">
        <is>
          <t>PR2203-143</t>
        </is>
      </c>
      <c r="E745" t="inlineStr">
        <is>
          <t>MERCITALIA</t>
        </is>
      </c>
      <c r="F745" t="inlineStr">
        <is>
          <t>Cargo</t>
        </is>
      </c>
      <c r="G745" t="inlineStr">
        <is>
          <t>31833916501-7</t>
        </is>
      </c>
      <c r="J745" s="56" t="n">
        <v>44909</v>
      </c>
    </row>
    <row r="746">
      <c r="B746" s="2" t="inlineStr">
        <is>
          <t>D87A543EF52C</t>
        </is>
      </c>
      <c r="D746" s="65" t="inlineStr">
        <is>
          <t>PR2201-039</t>
        </is>
      </c>
      <c r="E746" t="inlineStr">
        <is>
          <t>MERCITALIA</t>
        </is>
      </c>
      <c r="F746" t="inlineStr">
        <is>
          <t>Cargo</t>
        </is>
      </c>
      <c r="G746" t="inlineStr">
        <is>
          <t>31835376007-3</t>
        </is>
      </c>
      <c r="J746" s="56" t="n">
        <v>44909</v>
      </c>
    </row>
    <row r="747">
      <c r="B747" s="2" t="inlineStr">
        <is>
          <t>F9D0BC7E1563</t>
        </is>
      </c>
      <c r="D747" s="65" t="inlineStr">
        <is>
          <t>PR2203-405</t>
        </is>
      </c>
      <c r="E747" t="inlineStr">
        <is>
          <t>MERCITALIA</t>
        </is>
      </c>
      <c r="F747" t="inlineStr">
        <is>
          <t>Cargo</t>
        </is>
      </c>
      <c r="G747" t="inlineStr">
        <is>
          <t>31835377921-4</t>
        </is>
      </c>
      <c r="J747" s="56" t="inlineStr">
        <is>
          <t>2023 03 17</t>
        </is>
      </c>
    </row>
    <row r="748">
      <c r="B748" s="2" t="inlineStr">
        <is>
          <t>EC18F78F8BAA</t>
        </is>
      </c>
      <c r="D748" s="65" t="inlineStr">
        <is>
          <t>PR2203-069</t>
        </is>
      </c>
      <c r="E748" t="inlineStr">
        <is>
          <t>MERCITALIA</t>
        </is>
      </c>
      <c r="F748" t="inlineStr">
        <is>
          <t>Cargo</t>
        </is>
      </c>
      <c r="G748" t="inlineStr">
        <is>
          <t>31835377921-4</t>
        </is>
      </c>
      <c r="J748" s="56" t="inlineStr">
        <is>
          <t>2023 03 17</t>
        </is>
      </c>
    </row>
    <row r="749">
      <c r="B749" s="2" t="inlineStr">
        <is>
          <t>CC16DB33C199</t>
        </is>
      </c>
      <c r="D749" s="65" t="inlineStr">
        <is>
          <t>PR2203-136</t>
        </is>
      </c>
      <c r="E749" t="inlineStr">
        <is>
          <t>MERCITALIA</t>
        </is>
      </c>
      <c r="F749" t="inlineStr">
        <is>
          <t>Cargo</t>
        </is>
      </c>
      <c r="G749" t="inlineStr">
        <is>
          <t>33854668206-7</t>
        </is>
      </c>
      <c r="J749" s="56" t="n">
        <v>44909</v>
      </c>
    </row>
    <row r="750">
      <c r="B750" s="2" t="inlineStr">
        <is>
          <t>F3830BEEA3B7</t>
        </is>
      </c>
      <c r="D750" s="65" t="inlineStr">
        <is>
          <t>PR2203-090</t>
        </is>
      </c>
      <c r="E750" t="inlineStr">
        <is>
          <t>MERCITALIA</t>
        </is>
      </c>
      <c r="F750" t="inlineStr">
        <is>
          <t>Cargo</t>
        </is>
      </c>
      <c r="G750" t="inlineStr">
        <is>
          <t>31833936025-3</t>
        </is>
      </c>
      <c r="J750" s="56" t="n">
        <v>44909</v>
      </c>
    </row>
    <row r="751">
      <c r="B751" s="2" t="inlineStr">
        <is>
          <t>CEAE4FA6BFD1</t>
        </is>
      </c>
      <c r="D751" s="65" t="inlineStr">
        <is>
          <t>PR2203-034</t>
        </is>
      </c>
      <c r="E751" t="inlineStr">
        <is>
          <t>MERCITALIA</t>
        </is>
      </c>
      <c r="F751" t="inlineStr">
        <is>
          <t>Cargo</t>
        </is>
      </c>
      <c r="G751" t="inlineStr">
        <is>
          <t>33854668206-7</t>
        </is>
      </c>
      <c r="J751" s="56" t="n">
        <v>44909</v>
      </c>
    </row>
    <row r="752">
      <c r="B752" s="2" t="inlineStr">
        <is>
          <t>F492D5364D2F</t>
        </is>
      </c>
      <c r="D752" s="65" t="inlineStr">
        <is>
          <t>PR2203-047</t>
        </is>
      </c>
      <c r="E752" t="inlineStr">
        <is>
          <t>MERCITALIA</t>
        </is>
      </c>
      <c r="F752" t="inlineStr">
        <is>
          <t>Cargo</t>
        </is>
      </c>
      <c r="G752" t="inlineStr">
        <is>
          <t>31833919338-1</t>
        </is>
      </c>
      <c r="J752" s="56" t="n">
        <v>44909</v>
      </c>
    </row>
    <row r="753">
      <c r="B753" s="2" t="inlineStr">
        <is>
          <t>E49EAC1749F5</t>
        </is>
      </c>
      <c r="D753" s="65" t="inlineStr">
        <is>
          <t>PR2203-352</t>
        </is>
      </c>
      <c r="E753" t="inlineStr">
        <is>
          <t>MERCITALIA</t>
        </is>
      </c>
      <c r="F753" t="inlineStr">
        <is>
          <t>Cargo</t>
        </is>
      </c>
      <c r="G753" t="inlineStr">
        <is>
          <t>31833936025-3</t>
        </is>
      </c>
      <c r="J753" s="56" t="n">
        <v>44909</v>
      </c>
    </row>
    <row r="754">
      <c r="B754" s="2" t="inlineStr">
        <is>
          <t>E2E41BCBC94E</t>
        </is>
      </c>
      <c r="D754" s="65" t="inlineStr">
        <is>
          <t>PR2203-458</t>
        </is>
      </c>
      <c r="E754" t="inlineStr">
        <is>
          <t>MERCITALIA</t>
        </is>
      </c>
      <c r="F754" t="inlineStr">
        <is>
          <t>Cargo</t>
        </is>
      </c>
      <c r="G754" t="inlineStr">
        <is>
          <t>31834575297-2</t>
        </is>
      </c>
      <c r="J754" s="56" t="n">
        <v>44909</v>
      </c>
    </row>
    <row r="755">
      <c r="B755" s="2" t="inlineStr">
        <is>
          <t>F001AD47E4B6</t>
        </is>
      </c>
      <c r="D755" s="65" t="inlineStr">
        <is>
          <t>PR2203-084</t>
        </is>
      </c>
      <c r="E755" t="inlineStr">
        <is>
          <t>MERCITALIA</t>
        </is>
      </c>
      <c r="F755" t="inlineStr">
        <is>
          <t>Cargo</t>
        </is>
      </c>
      <c r="G755" t="inlineStr">
        <is>
          <t>31833936025-3</t>
        </is>
      </c>
      <c r="J755" s="56" t="n">
        <v>44909</v>
      </c>
    </row>
    <row r="756">
      <c r="B756" s="2" t="inlineStr">
        <is>
          <t>F341A2C19DC2</t>
        </is>
      </c>
      <c r="D756" s="65" t="inlineStr">
        <is>
          <t>PR2203-068</t>
        </is>
      </c>
      <c r="E756" t="inlineStr">
        <is>
          <t>MERCITALIA</t>
        </is>
      </c>
      <c r="F756" t="inlineStr">
        <is>
          <t>Cargo</t>
        </is>
      </c>
      <c r="G756" t="inlineStr">
        <is>
          <t>33854668206-7</t>
        </is>
      </c>
      <c r="J756" s="56" t="n">
        <v>44909</v>
      </c>
    </row>
    <row r="757">
      <c r="B757" s="2" t="inlineStr">
        <is>
          <t>C39D79279673</t>
        </is>
      </c>
      <c r="D757" s="65" t="inlineStr">
        <is>
          <t>PR2203-031</t>
        </is>
      </c>
      <c r="E757" t="inlineStr">
        <is>
          <t>MERCITALIA</t>
        </is>
      </c>
      <c r="F757" t="inlineStr">
        <is>
          <t>Cargo</t>
        </is>
      </c>
      <c r="G757" t="inlineStr">
        <is>
          <t>31833919338-1</t>
        </is>
      </c>
      <c r="J757" s="56" t="n">
        <v>44909</v>
      </c>
    </row>
    <row r="758">
      <c r="B758" s="2" t="inlineStr">
        <is>
          <t>FC558F8DA4E6</t>
        </is>
      </c>
      <c r="D758" s="65" t="inlineStr">
        <is>
          <t>PR2203-042</t>
        </is>
      </c>
      <c r="E758" t="inlineStr">
        <is>
          <t>MERCITALIA</t>
        </is>
      </c>
      <c r="F758" t="inlineStr">
        <is>
          <t>Cargo</t>
        </is>
      </c>
      <c r="G758" t="inlineStr">
        <is>
          <t>31833916514-0</t>
        </is>
      </c>
      <c r="J758" s="56" t="n">
        <v>44909</v>
      </c>
    </row>
    <row r="759">
      <c r="B759" s="2" t="inlineStr">
        <is>
          <t>D026B3A87BA7</t>
        </is>
      </c>
      <c r="D759" s="65" t="inlineStr">
        <is>
          <t>PR2203-384</t>
        </is>
      </c>
      <c r="E759" t="inlineStr">
        <is>
          <t>MERCITALIA</t>
        </is>
      </c>
      <c r="F759" t="inlineStr">
        <is>
          <t>Cargo</t>
        </is>
      </c>
      <c r="G759" t="inlineStr">
        <is>
          <t>31833918084-2</t>
        </is>
      </c>
      <c r="J759" s="56" t="n">
        <v>44909</v>
      </c>
    </row>
    <row r="760">
      <c r="B760" s="2" t="inlineStr">
        <is>
          <t>F5A82FEA7CE9</t>
        </is>
      </c>
      <c r="D760" s="65" t="inlineStr">
        <is>
          <t>PR2203-397</t>
        </is>
      </c>
      <c r="E760" t="inlineStr">
        <is>
          <t>MERCITALIA</t>
        </is>
      </c>
      <c r="F760" t="inlineStr">
        <is>
          <t>Cargo</t>
        </is>
      </c>
      <c r="G760" t="inlineStr">
        <is>
          <t>31835376007-3</t>
        </is>
      </c>
      <c r="J760" s="56" t="n">
        <v>44909</v>
      </c>
    </row>
    <row r="761">
      <c r="B761" s="2" t="inlineStr">
        <is>
          <t>E2E21AD9C636</t>
        </is>
      </c>
      <c r="D761" s="65" t="inlineStr">
        <is>
          <t>PR2203-413</t>
        </is>
      </c>
      <c r="E761" t="inlineStr">
        <is>
          <t>MERCITALIA</t>
        </is>
      </c>
      <c r="F761" t="inlineStr">
        <is>
          <t>Cargo</t>
        </is>
      </c>
      <c r="G761" t="inlineStr">
        <is>
          <t>31833918084-2</t>
        </is>
      </c>
      <c r="J761" s="56" t="n">
        <v>44909</v>
      </c>
    </row>
    <row r="762">
      <c r="B762" s="2" t="inlineStr">
        <is>
          <t>E328AD62C681</t>
        </is>
      </c>
      <c r="D762" s="65" t="inlineStr">
        <is>
          <t>PR2206-422</t>
        </is>
      </c>
      <c r="E762" t="inlineStr">
        <is>
          <t>MERCITALIA</t>
        </is>
      </c>
      <c r="F762" t="inlineStr">
        <is>
          <t>Cargo</t>
        </is>
      </c>
      <c r="G762" t="inlineStr">
        <is>
          <t>31833916514-0</t>
        </is>
      </c>
      <c r="J762" s="56" t="n">
        <v>44909</v>
      </c>
    </row>
    <row r="763">
      <c r="B763" s="2" t="inlineStr">
        <is>
          <t>DE58012AF2E9</t>
        </is>
      </c>
      <c r="D763" s="65" t="inlineStr">
        <is>
          <t>PR2203-442</t>
        </is>
      </c>
      <c r="E763" t="inlineStr">
        <is>
          <t>MERCITALIA</t>
        </is>
      </c>
      <c r="F763" t="inlineStr">
        <is>
          <t>Cargo</t>
        </is>
      </c>
      <c r="G763" t="inlineStr">
        <is>
          <t>31834589939-3</t>
        </is>
      </c>
      <c r="J763" s="56" t="n">
        <v>44909</v>
      </c>
    </row>
    <row r="764">
      <c r="B764" s="2" t="inlineStr">
        <is>
          <t>CA7A7109358E</t>
        </is>
      </c>
      <c r="D764" s="65" t="inlineStr">
        <is>
          <t>PR2203-241</t>
        </is>
      </c>
      <c r="E764" t="inlineStr">
        <is>
          <t>MERCITALIA</t>
        </is>
      </c>
      <c r="F764" t="inlineStr">
        <is>
          <t>Cargo</t>
        </is>
      </c>
      <c r="G764" t="inlineStr">
        <is>
          <t>31834589939-3</t>
        </is>
      </c>
      <c r="J764" s="56" t="n">
        <v>44909</v>
      </c>
    </row>
    <row r="765">
      <c r="B765" s="2" t="inlineStr">
        <is>
          <t>DC98ED28049D</t>
        </is>
      </c>
      <c r="D765" s="65" t="inlineStr">
        <is>
          <t>PR2203-264</t>
        </is>
      </c>
      <c r="E765" t="inlineStr">
        <is>
          <t>MERCITALIA</t>
        </is>
      </c>
      <c r="F765" t="inlineStr">
        <is>
          <t>Cargo</t>
        </is>
      </c>
      <c r="G765" t="inlineStr">
        <is>
          <t>31833916514-0</t>
        </is>
      </c>
      <c r="J765" s="56" t="n">
        <v>44909</v>
      </c>
    </row>
    <row r="766">
      <c r="B766" s="2" t="inlineStr">
        <is>
          <t>DF4776B62F50</t>
        </is>
      </c>
      <c r="D766" s="65" t="inlineStr">
        <is>
          <t>PR2203-299</t>
        </is>
      </c>
      <c r="E766" t="inlineStr">
        <is>
          <t>MERCITALIA</t>
        </is>
      </c>
      <c r="F766" t="inlineStr">
        <is>
          <t>Cargo</t>
        </is>
      </c>
      <c r="G766" t="inlineStr">
        <is>
          <t>31834575297-2</t>
        </is>
      </c>
      <c r="J766" s="56" t="n">
        <v>44909</v>
      </c>
    </row>
    <row r="767">
      <c r="B767" s="2" t="inlineStr">
        <is>
          <t>E31688556FF4</t>
        </is>
      </c>
      <c r="D767" s="65" t="inlineStr">
        <is>
          <t>PR2203-159</t>
        </is>
      </c>
      <c r="E767" t="inlineStr">
        <is>
          <t>MERCITALIA</t>
        </is>
      </c>
      <c r="F767" t="inlineStr">
        <is>
          <t>Cargo</t>
        </is>
      </c>
      <c r="G767" t="inlineStr">
        <is>
          <t>31835377921-4</t>
        </is>
      </c>
      <c r="J767" s="56" t="inlineStr">
        <is>
          <t>2023 03 17</t>
        </is>
      </c>
    </row>
    <row r="768">
      <c r="B768" s="2" t="inlineStr">
        <is>
          <t>E72B5D6BD92F</t>
        </is>
      </c>
      <c r="D768" s="65" t="inlineStr">
        <is>
          <t>PR2203-095</t>
        </is>
      </c>
      <c r="E768" t="inlineStr">
        <is>
          <t>MERCITALIA</t>
        </is>
      </c>
      <c r="F768" t="inlineStr">
        <is>
          <t>Cargo</t>
        </is>
      </c>
      <c r="G768" t="inlineStr">
        <is>
          <t>31833919338-1</t>
        </is>
      </c>
      <c r="J768" s="56" t="n">
        <v>44909</v>
      </c>
    </row>
    <row r="769">
      <c r="B769" s="2" t="inlineStr">
        <is>
          <t>F53362EABE1A</t>
        </is>
      </c>
      <c r="D769" s="65" t="inlineStr">
        <is>
          <t>PR2203-362</t>
        </is>
      </c>
      <c r="E769" t="inlineStr">
        <is>
          <t>MERCITALIA</t>
        </is>
      </c>
      <c r="F769" t="inlineStr">
        <is>
          <t>Cargo</t>
        </is>
      </c>
      <c r="G769" t="inlineStr">
        <is>
          <t>31833918084-2</t>
        </is>
      </c>
      <c r="J769" s="56" t="n">
        <v>44909</v>
      </c>
    </row>
    <row r="770">
      <c r="B770" s="2" t="inlineStr">
        <is>
          <t>D80BB4F08BED</t>
        </is>
      </c>
      <c r="D770" s="65" t="inlineStr">
        <is>
          <t>PR2203-303</t>
        </is>
      </c>
      <c r="E770" t="inlineStr">
        <is>
          <t>MERCITALIA</t>
        </is>
      </c>
      <c r="F770" t="inlineStr">
        <is>
          <t>Cargo</t>
        </is>
      </c>
      <c r="G770" t="inlineStr">
        <is>
          <t>31833916501-7</t>
        </is>
      </c>
      <c r="J770" s="56" t="n">
        <v>44909</v>
      </c>
    </row>
    <row r="771">
      <c r="B771" s="2" t="inlineStr">
        <is>
          <t>CD5791D76AA2</t>
        </is>
      </c>
      <c r="D771" s="65" t="inlineStr">
        <is>
          <t>PR2203-486</t>
        </is>
      </c>
      <c r="E771" t="inlineStr">
        <is>
          <t>MERCITALIA</t>
        </is>
      </c>
      <c r="F771" t="inlineStr">
        <is>
          <t>Cargo</t>
        </is>
      </c>
      <c r="G771" t="inlineStr">
        <is>
          <t>31833918084-2</t>
        </is>
      </c>
      <c r="J771" s="56" t="n">
        <v>44909</v>
      </c>
    </row>
    <row r="772">
      <c r="B772" s="2" t="inlineStr">
        <is>
          <t>C6A223443607</t>
        </is>
      </c>
      <c r="D772" s="65" t="inlineStr">
        <is>
          <t>PR2203-096</t>
        </is>
      </c>
      <c r="E772" t="inlineStr">
        <is>
          <t>MERCITALIA</t>
        </is>
      </c>
      <c r="F772" t="inlineStr">
        <is>
          <t>Cargo</t>
        </is>
      </c>
      <c r="G772" t="inlineStr">
        <is>
          <t>31835377921-4</t>
        </is>
      </c>
      <c r="J772" s="56" t="inlineStr">
        <is>
          <t>2023 03 17</t>
        </is>
      </c>
    </row>
    <row r="773">
      <c r="B773" s="2" t="inlineStr">
        <is>
          <t>F074A4D95850</t>
        </is>
      </c>
      <c r="D773" s="65" t="inlineStr">
        <is>
          <t>PR2203-050</t>
        </is>
      </c>
      <c r="E773" t="inlineStr">
        <is>
          <t>MERCITALIA</t>
        </is>
      </c>
      <c r="F773" t="inlineStr">
        <is>
          <t>Cargo</t>
        </is>
      </c>
      <c r="G773" t="inlineStr">
        <is>
          <t>31833918084-2</t>
        </is>
      </c>
      <c r="J773" s="56" t="n">
        <v>44909</v>
      </c>
    </row>
    <row r="774">
      <c r="B774" s="2" t="inlineStr">
        <is>
          <t>D0061EEF3069</t>
        </is>
      </c>
      <c r="D774" s="65" t="inlineStr">
        <is>
          <t>PR2201-046</t>
        </is>
      </c>
      <c r="E774" t="inlineStr">
        <is>
          <t>MERCITALIA</t>
        </is>
      </c>
      <c r="F774" t="inlineStr">
        <is>
          <t>Cargo</t>
        </is>
      </c>
      <c r="G774" t="inlineStr">
        <is>
          <t>31834575297-2</t>
        </is>
      </c>
      <c r="J774" s="56" t="n">
        <v>44909</v>
      </c>
    </row>
    <row r="775">
      <c r="B775" s="2" t="inlineStr">
        <is>
          <t>DBD7800A36BE</t>
        </is>
      </c>
      <c r="D775" s="65" t="inlineStr">
        <is>
          <t>PR2203-078</t>
        </is>
      </c>
      <c r="E775" t="inlineStr">
        <is>
          <t>MERCITALIA</t>
        </is>
      </c>
      <c r="F775" t="inlineStr">
        <is>
          <t>Cargo</t>
        </is>
      </c>
      <c r="G775" t="inlineStr">
        <is>
          <t>31834589939-3</t>
        </is>
      </c>
      <c r="J775" s="56" t="n">
        <v>44909</v>
      </c>
    </row>
    <row r="776">
      <c r="B776" s="2" t="inlineStr">
        <is>
          <t>D9E4F3C66560</t>
        </is>
      </c>
      <c r="D776" s="65" t="inlineStr">
        <is>
          <t>PR2203-144</t>
        </is>
      </c>
      <c r="E776" t="inlineStr">
        <is>
          <t>MERCITALIA</t>
        </is>
      </c>
      <c r="F776" t="inlineStr">
        <is>
          <t>Cargo</t>
        </is>
      </c>
      <c r="G776" t="inlineStr">
        <is>
          <t>31834589939-3</t>
        </is>
      </c>
      <c r="J776" s="56" t="n">
        <v>44909</v>
      </c>
    </row>
    <row r="777">
      <c r="B777" s="2" t="inlineStr">
        <is>
          <t>F1EA98DD36B4</t>
        </is>
      </c>
      <c r="D777" s="65" t="inlineStr">
        <is>
          <t>PR2203-107</t>
        </is>
      </c>
      <c r="E777" t="inlineStr">
        <is>
          <t>MERCITALIA</t>
        </is>
      </c>
      <c r="F777" t="inlineStr">
        <is>
          <t>Cargo</t>
        </is>
      </c>
      <c r="G777" t="inlineStr">
        <is>
          <t>31834589939-3</t>
        </is>
      </c>
      <c r="J777" s="56" t="n">
        <v>44909</v>
      </c>
    </row>
    <row r="778">
      <c r="B778" s="2" t="inlineStr">
        <is>
          <t>EBC84F65977C</t>
        </is>
      </c>
      <c r="D778" s="65" t="inlineStr">
        <is>
          <t>PR2201-036</t>
        </is>
      </c>
      <c r="E778" t="inlineStr">
        <is>
          <t>MERCITALIA</t>
        </is>
      </c>
      <c r="F778" t="inlineStr">
        <is>
          <t>Cargo</t>
        </is>
      </c>
      <c r="G778" t="inlineStr">
        <is>
          <t>31833916514-0</t>
        </is>
      </c>
      <c r="J778" s="56" t="n">
        <v>44909</v>
      </c>
    </row>
    <row r="779">
      <c r="B779" s="2" t="inlineStr">
        <is>
          <t>FF547F64CC56</t>
        </is>
      </c>
      <c r="D779" s="65" t="inlineStr">
        <is>
          <t>PR2203-420</t>
        </is>
      </c>
      <c r="E779" t="inlineStr">
        <is>
          <t>MERCITALIA</t>
        </is>
      </c>
      <c r="F779" t="inlineStr">
        <is>
          <t>Cargo</t>
        </is>
      </c>
      <c r="G779" t="inlineStr">
        <is>
          <t>31833916501-7</t>
        </is>
      </c>
      <c r="J779" s="56" t="n">
        <v>44909</v>
      </c>
    </row>
    <row r="780">
      <c r="B780" s="2" t="inlineStr">
        <is>
          <t>E3C206BF9A4F</t>
        </is>
      </c>
      <c r="D780" s="65" t="inlineStr">
        <is>
          <t>PR2203-217</t>
        </is>
      </c>
      <c r="E780" t="inlineStr">
        <is>
          <t>MERCITALIA</t>
        </is>
      </c>
      <c r="F780" t="inlineStr">
        <is>
          <t>Cargo</t>
        </is>
      </c>
      <c r="G780" t="inlineStr">
        <is>
          <t>31834575297-2</t>
        </is>
      </c>
      <c r="J780" s="56" t="n">
        <v>44909</v>
      </c>
    </row>
    <row r="781">
      <c r="B781" s="2" t="inlineStr">
        <is>
          <t>F832D0082A5E</t>
        </is>
      </c>
      <c r="D781" s="65" t="inlineStr">
        <is>
          <t>PR2203-062</t>
        </is>
      </c>
      <c r="E781" t="inlineStr">
        <is>
          <t>MERCITALIA</t>
        </is>
      </c>
      <c r="F781" t="inlineStr">
        <is>
          <t>Cargo</t>
        </is>
      </c>
      <c r="G781" t="inlineStr">
        <is>
          <t>33854668206-7</t>
        </is>
      </c>
      <c r="J781" s="56" t="n">
        <v>44909</v>
      </c>
    </row>
    <row r="782">
      <c r="B782" s="2" t="inlineStr">
        <is>
          <t>E741BBC78770</t>
        </is>
      </c>
      <c r="D782" s="65" t="inlineStr">
        <is>
          <t>PR2203-382</t>
        </is>
      </c>
      <c r="E782" t="inlineStr">
        <is>
          <t>MERCITALIA</t>
        </is>
      </c>
      <c r="F782" t="inlineStr">
        <is>
          <t>Cargo</t>
        </is>
      </c>
      <c r="G782" t="inlineStr">
        <is>
          <t>31833919338-1</t>
        </is>
      </c>
      <c r="J782" s="56" t="n">
        <v>44909</v>
      </c>
    </row>
    <row r="783">
      <c r="B783" s="2" t="inlineStr">
        <is>
          <t>D3E4636E5927</t>
        </is>
      </c>
      <c r="D783" s="65" t="inlineStr">
        <is>
          <t>PR2203-340</t>
        </is>
      </c>
      <c r="E783" t="inlineStr">
        <is>
          <t>MERCITALIA</t>
        </is>
      </c>
      <c r="F783" t="inlineStr">
        <is>
          <t>Cargo</t>
        </is>
      </c>
      <c r="G783" t="inlineStr">
        <is>
          <t>31835377921-4</t>
        </is>
      </c>
      <c r="J783" s="56" t="inlineStr">
        <is>
          <t>2023 03 17</t>
        </is>
      </c>
    </row>
    <row r="784">
      <c r="B784" s="2" t="inlineStr">
        <is>
          <t>DDAD233EA632</t>
        </is>
      </c>
      <c r="D784" s="65" t="inlineStr">
        <is>
          <t>PR2203-238</t>
        </is>
      </c>
      <c r="E784" t="inlineStr">
        <is>
          <t>MERCITALIA</t>
        </is>
      </c>
      <c r="F784" t="inlineStr">
        <is>
          <t>Cargo</t>
        </is>
      </c>
      <c r="G784" t="inlineStr">
        <is>
          <t>31833916514-0</t>
        </is>
      </c>
      <c r="J784" s="56" t="n">
        <v>44909</v>
      </c>
    </row>
    <row r="785">
      <c r="B785" s="2" t="inlineStr">
        <is>
          <t>FC8DAB024ABB</t>
        </is>
      </c>
      <c r="D785" s="65" t="inlineStr">
        <is>
          <t>PR2203-444</t>
        </is>
      </c>
      <c r="E785" t="inlineStr">
        <is>
          <t>MERCITALIA</t>
        </is>
      </c>
      <c r="F785" t="inlineStr">
        <is>
          <t>Cargo</t>
        </is>
      </c>
      <c r="G785" t="inlineStr">
        <is>
          <t>31834589939-3</t>
        </is>
      </c>
      <c r="J785" s="56" t="n">
        <v>44909</v>
      </c>
    </row>
    <row r="786">
      <c r="B786" s="2" t="inlineStr">
        <is>
          <t>DF95CDB85EB6</t>
        </is>
      </c>
      <c r="D786" s="65" t="inlineStr">
        <is>
          <t>PR2203-055</t>
        </is>
      </c>
      <c r="E786" t="inlineStr">
        <is>
          <t>MERCITALIA</t>
        </is>
      </c>
      <c r="F786" t="inlineStr">
        <is>
          <t>Cargo</t>
        </is>
      </c>
      <c r="G786" t="inlineStr">
        <is>
          <t>31833916514-0</t>
        </is>
      </c>
      <c r="J786" s="56" t="n">
        <v>44909</v>
      </c>
    </row>
    <row r="787">
      <c r="B787" s="2" t="inlineStr">
        <is>
          <t>E9A0A027EBA6</t>
        </is>
      </c>
      <c r="D787" s="65" t="inlineStr">
        <is>
          <t>PR2203-030</t>
        </is>
      </c>
      <c r="E787" t="inlineStr">
        <is>
          <t>MERCITALIA</t>
        </is>
      </c>
      <c r="F787" t="inlineStr">
        <is>
          <t>Cargo</t>
        </is>
      </c>
      <c r="G787" t="inlineStr">
        <is>
          <t>33854668206-7</t>
        </is>
      </c>
      <c r="J787" s="56" t="n">
        <v>44909</v>
      </c>
    </row>
    <row r="788">
      <c r="B788" s="2" t="inlineStr">
        <is>
          <t>C7409D7A8C5F</t>
        </is>
      </c>
      <c r="D788" s="65" t="inlineStr">
        <is>
          <t>PR2203-198</t>
        </is>
      </c>
      <c r="E788" t="inlineStr">
        <is>
          <t>MERCITALIA</t>
        </is>
      </c>
      <c r="F788" t="inlineStr">
        <is>
          <t>Cargo</t>
        </is>
      </c>
      <c r="G788" t="inlineStr">
        <is>
          <t>31834575297-2</t>
        </is>
      </c>
      <c r="J788" s="56" t="n">
        <v>44909</v>
      </c>
    </row>
    <row r="789">
      <c r="B789" s="2" t="inlineStr">
        <is>
          <t>ED314776022E</t>
        </is>
      </c>
      <c r="D789" s="65" t="inlineStr">
        <is>
          <t>PR2203-320</t>
        </is>
      </c>
      <c r="E789" t="inlineStr">
        <is>
          <t>MERCITALIA</t>
        </is>
      </c>
      <c r="F789" t="inlineStr">
        <is>
          <t>Cargo</t>
        </is>
      </c>
      <c r="G789" t="inlineStr">
        <is>
          <t>31834575297-2</t>
        </is>
      </c>
      <c r="J789" s="56" t="n">
        <v>44909</v>
      </c>
    </row>
    <row r="790">
      <c r="B790" s="2" t="inlineStr">
        <is>
          <t>C0C112CCDDD2</t>
        </is>
      </c>
      <c r="D790" s="65" t="inlineStr">
        <is>
          <t>PR2203-485</t>
        </is>
      </c>
      <c r="E790" t="inlineStr">
        <is>
          <t>MERCITALIA</t>
        </is>
      </c>
      <c r="F790" t="inlineStr">
        <is>
          <t>Cargo</t>
        </is>
      </c>
      <c r="G790" t="inlineStr">
        <is>
          <t>31834575297-2</t>
        </is>
      </c>
      <c r="H790" t="inlineStr">
        <is>
          <t>was 481</t>
        </is>
      </c>
      <c r="J790" s="56" t="n">
        <v>44909</v>
      </c>
    </row>
    <row r="791">
      <c r="B791" s="2" t="inlineStr">
        <is>
          <t>C3059739CE80</t>
        </is>
      </c>
      <c r="D791" s="65" t="inlineStr">
        <is>
          <t>PR2203-005</t>
        </is>
      </c>
      <c r="E791" t="inlineStr">
        <is>
          <t>MERCITALIA</t>
        </is>
      </c>
      <c r="F791" t="inlineStr">
        <is>
          <t>Cargo</t>
        </is>
      </c>
      <c r="G791" t="inlineStr">
        <is>
          <t>31834589939-3</t>
        </is>
      </c>
      <c r="J791" s="56" t="n">
        <v>44909</v>
      </c>
    </row>
    <row r="792">
      <c r="B792" s="2" t="inlineStr">
        <is>
          <t>CD9075EBF726</t>
        </is>
      </c>
      <c r="D792" s="65" t="inlineStr">
        <is>
          <t>PR2201-010</t>
        </is>
      </c>
      <c r="E792" t="inlineStr">
        <is>
          <t>MERCITALIA</t>
        </is>
      </c>
      <c r="F792" t="inlineStr">
        <is>
          <t>Cargo</t>
        </is>
      </c>
      <c r="G792" t="inlineStr">
        <is>
          <t>31833916501-7</t>
        </is>
      </c>
      <c r="J792" s="56" t="n">
        <v>44909</v>
      </c>
    </row>
    <row r="793">
      <c r="B793" s="2" t="inlineStr">
        <is>
          <t>E289EBA985CC</t>
        </is>
      </c>
      <c r="D793" s="65" t="inlineStr">
        <is>
          <t>PR2203-119</t>
        </is>
      </c>
      <c r="E793" t="inlineStr">
        <is>
          <t>MERCITALIA</t>
        </is>
      </c>
      <c r="F793" t="inlineStr">
        <is>
          <t>Cargo</t>
        </is>
      </c>
      <c r="G793" t="inlineStr">
        <is>
          <t>31833919338-1</t>
        </is>
      </c>
      <c r="J793" s="56" t="n">
        <v>44909</v>
      </c>
    </row>
    <row r="794">
      <c r="B794" s="2" t="inlineStr">
        <is>
          <t>C37DD23DD646</t>
        </is>
      </c>
      <c r="D794" s="65" t="inlineStr">
        <is>
          <t>PR2203-376</t>
        </is>
      </c>
      <c r="E794" t="inlineStr">
        <is>
          <t>MERCITALIA</t>
        </is>
      </c>
      <c r="F794" t="inlineStr">
        <is>
          <t>Cargo</t>
        </is>
      </c>
      <c r="G794" t="inlineStr">
        <is>
          <t>31835376007-3</t>
        </is>
      </c>
      <c r="J794" s="56" t="n">
        <v>44909</v>
      </c>
    </row>
    <row r="795">
      <c r="B795" s="2" t="inlineStr">
        <is>
          <t>FEC457A887B4</t>
        </is>
      </c>
      <c r="D795" s="65" t="inlineStr">
        <is>
          <t>PR2203-087</t>
        </is>
      </c>
      <c r="E795" t="inlineStr">
        <is>
          <t>MERCITALIA</t>
        </is>
      </c>
      <c r="F795" t="inlineStr">
        <is>
          <t>Cargo</t>
        </is>
      </c>
      <c r="G795" t="inlineStr">
        <is>
          <t>31835377921-4</t>
        </is>
      </c>
      <c r="J795" s="56" t="inlineStr">
        <is>
          <t>2023 03 17</t>
        </is>
      </c>
    </row>
    <row r="796">
      <c r="B796" s="2" t="inlineStr">
        <is>
          <t>C5ECF0D85F71</t>
        </is>
      </c>
      <c r="D796" s="65" t="inlineStr">
        <is>
          <t>PR2203-396</t>
        </is>
      </c>
      <c r="E796" t="inlineStr">
        <is>
          <t>MERCITALIA</t>
        </is>
      </c>
      <c r="F796" t="inlineStr">
        <is>
          <t>Cargo</t>
        </is>
      </c>
      <c r="G796" t="inlineStr">
        <is>
          <t>31833916514-0</t>
        </is>
      </c>
      <c r="J796" s="56" t="n">
        <v>44909</v>
      </c>
    </row>
    <row r="797">
      <c r="B797" s="2" t="inlineStr">
        <is>
          <t>D41424DB791B</t>
        </is>
      </c>
      <c r="D797" s="65" t="inlineStr">
        <is>
          <t>PR2203-381</t>
        </is>
      </c>
      <c r="E797" t="inlineStr">
        <is>
          <t>MERCITALIA</t>
        </is>
      </c>
      <c r="F797" t="inlineStr">
        <is>
          <t>Cargo</t>
        </is>
      </c>
      <c r="G797" t="inlineStr">
        <is>
          <t>31834589939-3</t>
        </is>
      </c>
      <c r="J797" s="56" t="n">
        <v>44909</v>
      </c>
    </row>
    <row r="798">
      <c r="B798" s="2" t="inlineStr">
        <is>
          <t>FD64EDA18862</t>
        </is>
      </c>
      <c r="D798" s="65" t="inlineStr">
        <is>
          <t>PR2203-338</t>
        </is>
      </c>
      <c r="E798" t="inlineStr">
        <is>
          <t>MERCITALIA</t>
        </is>
      </c>
      <c r="F798" t="inlineStr">
        <is>
          <t>Cargo</t>
        </is>
      </c>
      <c r="G798" t="inlineStr">
        <is>
          <t>33854668206-7</t>
        </is>
      </c>
      <c r="J798" s="56" t="n">
        <v>44909</v>
      </c>
    </row>
    <row r="799">
      <c r="B799" s="2" t="inlineStr">
        <is>
          <t>E4613F05AB10</t>
        </is>
      </c>
      <c r="D799" s="65" t="inlineStr">
        <is>
          <t>PR2203-240</t>
        </is>
      </c>
      <c r="E799" t="inlineStr">
        <is>
          <t>MERCITALIA</t>
        </is>
      </c>
      <c r="F799" t="inlineStr">
        <is>
          <t>Cargo</t>
        </is>
      </c>
      <c r="G799" t="inlineStr">
        <is>
          <t>31833916501-7</t>
        </is>
      </c>
      <c r="J799" s="56" t="n">
        <v>44909</v>
      </c>
    </row>
    <row r="800">
      <c r="B800" s="2" t="inlineStr">
        <is>
          <t>C2DCB319B93D</t>
        </is>
      </c>
      <c r="D800" s="65" t="inlineStr">
        <is>
          <t>PR2203-103</t>
        </is>
      </c>
      <c r="E800" t="inlineStr">
        <is>
          <t>MERCITALIA</t>
        </is>
      </c>
      <c r="F800" t="inlineStr">
        <is>
          <t>Cargo</t>
        </is>
      </c>
      <c r="G800" t="inlineStr">
        <is>
          <t>31835376007-3</t>
        </is>
      </c>
      <c r="J800" s="56" t="n">
        <v>44909</v>
      </c>
    </row>
    <row r="801">
      <c r="B801" s="2" t="inlineStr">
        <is>
          <t>E28A69C7F182</t>
        </is>
      </c>
      <c r="D801" s="65" t="inlineStr">
        <is>
          <t>PR2203-168</t>
        </is>
      </c>
      <c r="E801" t="inlineStr">
        <is>
          <t>MERCITALIA</t>
        </is>
      </c>
      <c r="F801" t="inlineStr">
        <is>
          <t>Cargo</t>
        </is>
      </c>
      <c r="G801" t="inlineStr">
        <is>
          <t>31833918084-2</t>
        </is>
      </c>
      <c r="J801" s="56" t="n">
        <v>44909</v>
      </c>
    </row>
    <row r="802">
      <c r="B802" s="2" t="inlineStr">
        <is>
          <t>D3D96FE91109</t>
        </is>
      </c>
      <c r="D802" s="65" t="inlineStr">
        <is>
          <t>PR2203-321</t>
        </is>
      </c>
      <c r="E802" t="inlineStr">
        <is>
          <t>MERCITALIA</t>
        </is>
      </c>
      <c r="F802" t="inlineStr">
        <is>
          <t>Cargo</t>
        </is>
      </c>
      <c r="G802" t="inlineStr">
        <is>
          <t>31833919338-1</t>
        </is>
      </c>
      <c r="J802" s="56" t="n">
        <v>44909</v>
      </c>
    </row>
    <row r="803">
      <c r="B803" s="2" t="inlineStr">
        <is>
          <t>D11F1B5887A0</t>
        </is>
      </c>
      <c r="D803" s="65" t="inlineStr">
        <is>
          <t>PR2203-145</t>
        </is>
      </c>
      <c r="E803" t="inlineStr">
        <is>
          <t>MERCITALIA</t>
        </is>
      </c>
      <c r="F803" t="inlineStr">
        <is>
          <t>Cargo</t>
        </is>
      </c>
      <c r="G803" t="inlineStr">
        <is>
          <t>31835376007-3</t>
        </is>
      </c>
      <c r="J803" s="56" t="n">
        <v>44909</v>
      </c>
    </row>
    <row r="804">
      <c r="B804" s="2" t="inlineStr">
        <is>
          <t>C8A53F5AB190</t>
        </is>
      </c>
      <c r="D804" s="65" t="inlineStr">
        <is>
          <t>PR2203-216</t>
        </is>
      </c>
      <c r="E804" t="inlineStr">
        <is>
          <t>MERCITALIA</t>
        </is>
      </c>
      <c r="F804" t="inlineStr">
        <is>
          <t>Cargo</t>
        </is>
      </c>
      <c r="G804" t="inlineStr">
        <is>
          <t>33854668206-7</t>
        </is>
      </c>
      <c r="J804" s="56" t="n">
        <v>44909</v>
      </c>
    </row>
    <row r="805">
      <c r="B805" s="2" t="inlineStr">
        <is>
          <t>FB7CBE12B66D</t>
        </is>
      </c>
      <c r="D805" t="inlineStr">
        <is>
          <t>PR2203-249</t>
        </is>
      </c>
      <c r="E805" t="inlineStr">
        <is>
          <t>FERROTRAMVIARIA</t>
        </is>
      </c>
      <c r="F805" t="inlineStr">
        <is>
          <t>Link L</t>
        </is>
      </c>
    </row>
    <row r="806">
      <c r="B806" s="2" t="inlineStr">
        <is>
          <t>E110357BCB86</t>
        </is>
      </c>
      <c r="D806" s="64" t="inlineStr">
        <is>
          <t>PR2203-383</t>
        </is>
      </c>
      <c r="E806" t="inlineStr">
        <is>
          <t>FERROTRAMVIARIA</t>
        </is>
      </c>
      <c r="F806" t="inlineStr">
        <is>
          <t>Link L</t>
        </is>
      </c>
      <c r="G806" t="inlineStr">
        <is>
          <t xml:space="preserve">452TR3 </t>
        </is>
      </c>
    </row>
    <row r="807">
      <c r="B807" s="2" t="inlineStr">
        <is>
          <t>F64CB6175D08</t>
        </is>
      </c>
      <c r="D807" s="64" t="inlineStr">
        <is>
          <t>PR2203-428</t>
        </is>
      </c>
      <c r="E807" t="inlineStr">
        <is>
          <t>FERROTRAMVIARIA</t>
        </is>
      </c>
      <c r="F807" t="inlineStr">
        <is>
          <t>Link L</t>
        </is>
      </c>
      <c r="G807" t="inlineStr">
        <is>
          <t xml:space="preserve">452TR3 </t>
        </is>
      </c>
    </row>
    <row r="808">
      <c r="B808" s="2" t="inlineStr">
        <is>
          <t>F62029FD1A0E</t>
        </is>
      </c>
      <c r="D808" t="inlineStr">
        <is>
          <t>PR2203-265</t>
        </is>
      </c>
      <c r="E808" t="inlineStr">
        <is>
          <t>FERROTRAMVIARIA</t>
        </is>
      </c>
      <c r="F808" t="inlineStr">
        <is>
          <t>Link L</t>
        </is>
      </c>
    </row>
    <row r="809">
      <c r="B809" s="2" t="inlineStr">
        <is>
          <t>F58FEF0C769C</t>
        </is>
      </c>
      <c r="D809" s="64" t="inlineStr">
        <is>
          <t>PR2203-441</t>
        </is>
      </c>
      <c r="E809" t="inlineStr">
        <is>
          <t>FERROTRAMVIARIA</t>
        </is>
      </c>
      <c r="F809" t="inlineStr">
        <is>
          <t>Link L</t>
        </is>
      </c>
      <c r="G809" t="inlineStr">
        <is>
          <t>341TR1</t>
        </is>
      </c>
    </row>
    <row r="810">
      <c r="B810" s="2" t="inlineStr">
        <is>
          <t>F0FE663D83F5</t>
        </is>
      </c>
      <c r="D810" t="inlineStr">
        <is>
          <t>PR2203-306</t>
        </is>
      </c>
      <c r="E810" t="inlineStr">
        <is>
          <t>FERROTRAMVIARIA</t>
        </is>
      </c>
      <c r="F810" t="inlineStr">
        <is>
          <t>Link L</t>
        </is>
      </c>
    </row>
    <row r="811">
      <c r="B811" s="2" t="inlineStr">
        <is>
          <t>EB503EDADB1A</t>
        </is>
      </c>
      <c r="D811" s="64" t="inlineStr">
        <is>
          <t>PR2203-436</t>
        </is>
      </c>
      <c r="E811" t="inlineStr">
        <is>
          <t>FERROTRAMVIARIA</t>
        </is>
      </c>
      <c r="F811" t="inlineStr">
        <is>
          <t>Link L</t>
        </is>
      </c>
      <c r="G811" t="inlineStr">
        <is>
          <t>341TR1</t>
        </is>
      </c>
    </row>
    <row r="812">
      <c r="B812" s="2" t="inlineStr">
        <is>
          <t>E9CAE79831C6</t>
        </is>
      </c>
      <c r="D812" s="64" t="inlineStr">
        <is>
          <t>PR2206-524</t>
        </is>
      </c>
      <c r="E812" t="inlineStr">
        <is>
          <t>FERROTRAMVIARIA</t>
        </is>
      </c>
      <c r="F812" t="inlineStr">
        <is>
          <t>Link L</t>
        </is>
      </c>
      <c r="G812" t="inlineStr">
        <is>
          <t>ELT203</t>
        </is>
      </c>
    </row>
    <row r="813">
      <c r="B813" s="2" t="inlineStr">
        <is>
          <t>EDFAA1B00AC3</t>
        </is>
      </c>
      <c r="D813" s="64" t="inlineStr">
        <is>
          <t>PR2203-388</t>
        </is>
      </c>
      <c r="E813" t="inlineStr">
        <is>
          <t>FERROTRAMVIARIA</t>
        </is>
      </c>
      <c r="F813" t="inlineStr">
        <is>
          <t>LINK R</t>
        </is>
      </c>
      <c r="G813" t="inlineStr">
        <is>
          <t>341TR1</t>
        </is>
      </c>
    </row>
    <row r="814">
      <c r="B814" s="2" t="inlineStr">
        <is>
          <t>EDF1C0EDE4C0</t>
        </is>
      </c>
      <c r="D814" s="64" t="inlineStr">
        <is>
          <t>PR2203-390</t>
        </is>
      </c>
      <c r="E814" t="inlineStr">
        <is>
          <t>FERROTRAMVIARIA</t>
        </is>
      </c>
      <c r="F814" t="inlineStr">
        <is>
          <t>LINK R</t>
        </is>
      </c>
      <c r="G814" t="inlineStr">
        <is>
          <t>341TR1</t>
        </is>
      </c>
    </row>
    <row r="815">
      <c r="B815" s="2" t="inlineStr">
        <is>
          <t>F42920B0661C</t>
        </is>
      </c>
      <c r="D815" s="64" t="inlineStr">
        <is>
          <t>PR2203-051</t>
        </is>
      </c>
      <c r="E815" t="inlineStr">
        <is>
          <t>FERROTRAMVIARIA</t>
        </is>
      </c>
      <c r="F815" t="inlineStr">
        <is>
          <t>LINK R</t>
        </is>
      </c>
      <c r="G815" t="inlineStr">
        <is>
          <t xml:space="preserve">452TR3 </t>
        </is>
      </c>
    </row>
    <row r="816">
      <c r="B816" s="2" t="inlineStr">
        <is>
          <t>F2CB27C0C7D2</t>
        </is>
      </c>
      <c r="D816" t="inlineStr">
        <is>
          <t>PR2203-374</t>
        </is>
      </c>
      <c r="E816" t="inlineStr">
        <is>
          <t>FERROTRAMVIARIA</t>
        </is>
      </c>
      <c r="F816" t="inlineStr">
        <is>
          <t>LINK R</t>
        </is>
      </c>
    </row>
    <row r="817">
      <c r="B817" s="2" t="inlineStr">
        <is>
          <t>FEDD7A73462D</t>
        </is>
      </c>
      <c r="D817" s="64" t="inlineStr">
        <is>
          <t>PR2203-483</t>
        </is>
      </c>
      <c r="E817" t="inlineStr">
        <is>
          <t>FERROTRAMVIARIA</t>
        </is>
      </c>
      <c r="F817" t="inlineStr">
        <is>
          <t>LINK R</t>
        </is>
      </c>
      <c r="G817" t="inlineStr">
        <is>
          <t>ELT203</t>
        </is>
      </c>
    </row>
    <row r="818">
      <c r="B818" s="2" t="inlineStr">
        <is>
          <t>F72F11494BC2</t>
        </is>
      </c>
      <c r="D818" s="64" t="inlineStr">
        <is>
          <t>PR2203-274</t>
        </is>
      </c>
      <c r="E818" t="inlineStr">
        <is>
          <t>FERROTRAMVIARIA</t>
        </is>
      </c>
      <c r="F818" t="inlineStr">
        <is>
          <t>LINK R</t>
        </is>
      </c>
      <c r="G818" t="inlineStr">
        <is>
          <t xml:space="preserve">452TR3 </t>
        </is>
      </c>
    </row>
    <row r="819">
      <c r="B819" s="2" t="inlineStr">
        <is>
          <t>DBBBB26176F0</t>
        </is>
      </c>
      <c r="D819" s="64" t="inlineStr">
        <is>
          <t>PR2206-517</t>
        </is>
      </c>
      <c r="E819" t="inlineStr">
        <is>
          <t>FERROTRAMVIARIA</t>
        </is>
      </c>
      <c r="F819" t="inlineStr">
        <is>
          <t>LINK R</t>
        </is>
      </c>
      <c r="G819" t="inlineStr">
        <is>
          <t>ELT203</t>
        </is>
      </c>
    </row>
    <row r="820">
      <c r="B820" s="2" t="inlineStr">
        <is>
          <t>E56D6809A3C0</t>
        </is>
      </c>
      <c r="D820" s="64" t="inlineStr">
        <is>
          <t>PR2206-561</t>
        </is>
      </c>
      <c r="E820" t="inlineStr">
        <is>
          <t>FERROTRAMVIARIA</t>
        </is>
      </c>
      <c r="F820" t="inlineStr">
        <is>
          <t>LINK R</t>
        </is>
      </c>
      <c r="G820" t="inlineStr">
        <is>
          <t>ELT203</t>
        </is>
      </c>
    </row>
    <row r="821">
      <c r="B821" s="2" t="inlineStr">
        <is>
          <t>FF1209D9EA73</t>
        </is>
      </c>
      <c r="D821" s="68" t="inlineStr">
        <is>
          <t>PR2211-014</t>
        </is>
      </c>
      <c r="E821" t="inlineStr">
        <is>
          <t>INTERFRACHT</t>
        </is>
      </c>
      <c r="F821" t="inlineStr">
        <is>
          <t>Magnets</t>
        </is>
      </c>
      <c r="G821" t="inlineStr">
        <is>
          <t>33 54 076 2130-9</t>
        </is>
      </c>
      <c r="J821" s="56" t="n">
        <v>44938</v>
      </c>
    </row>
    <row r="822">
      <c r="B822" s="2" t="inlineStr">
        <is>
          <t>E12DC9F9A271</t>
        </is>
      </c>
      <c r="D822" s="68" t="inlineStr">
        <is>
          <t>PR2211-030</t>
        </is>
      </c>
      <c r="E822" t="inlineStr">
        <is>
          <t>INTERFRACHT</t>
        </is>
      </c>
      <c r="F822" t="inlineStr">
        <is>
          <t>Magnets</t>
        </is>
      </c>
      <c r="G822" t="inlineStr">
        <is>
          <t>33 54 076 2130-9</t>
        </is>
      </c>
      <c r="J822" s="56" t="n">
        <v>44938</v>
      </c>
    </row>
    <row r="823">
      <c r="B823" s="2" t="inlineStr">
        <is>
          <t>F3997C540954</t>
        </is>
      </c>
      <c r="D823" s="68" t="inlineStr">
        <is>
          <t>PR2211-028</t>
        </is>
      </c>
      <c r="E823" t="inlineStr">
        <is>
          <t>INTERFRACHT</t>
        </is>
      </c>
      <c r="F823" t="inlineStr">
        <is>
          <t>Magnets</t>
        </is>
      </c>
      <c r="G823" t="inlineStr">
        <is>
          <t>33 54 076 2130-9</t>
        </is>
      </c>
      <c r="J823" s="56" t="n">
        <v>44938</v>
      </c>
    </row>
    <row r="824">
      <c r="B824" s="2" t="inlineStr">
        <is>
          <t>CEEE3BAC9E31</t>
        </is>
      </c>
      <c r="D824" s="68" t="inlineStr">
        <is>
          <t>PR2211-008</t>
        </is>
      </c>
      <c r="E824" t="inlineStr">
        <is>
          <t>INTERFRACHT</t>
        </is>
      </c>
      <c r="F824" t="inlineStr">
        <is>
          <t>Magnets</t>
        </is>
      </c>
      <c r="G824" t="inlineStr">
        <is>
          <t>33 54 076 2130-9</t>
        </is>
      </c>
      <c r="J824" s="56" t="n">
        <v>44938</v>
      </c>
    </row>
    <row r="825">
      <c r="B825" s="2" t="inlineStr">
        <is>
          <t>E6AC1DD0D56B</t>
        </is>
      </c>
      <c r="D825" s="68" t="inlineStr">
        <is>
          <t>PR2211-003</t>
        </is>
      </c>
      <c r="E825" t="inlineStr">
        <is>
          <t>INTERFRACHT</t>
        </is>
      </c>
      <c r="F825" t="inlineStr">
        <is>
          <t>Magnets</t>
        </is>
      </c>
      <c r="G825" t="inlineStr">
        <is>
          <t>33 54 076 2130-9</t>
        </is>
      </c>
      <c r="J825" s="56" t="n">
        <v>44938</v>
      </c>
    </row>
    <row r="826">
      <c r="B826" s="2" t="inlineStr">
        <is>
          <t>E162801DE6C5</t>
        </is>
      </c>
      <c r="D826" s="68" t="inlineStr">
        <is>
          <t>PR2211-015</t>
        </is>
      </c>
      <c r="E826" t="inlineStr">
        <is>
          <t>INTERFRACHT</t>
        </is>
      </c>
      <c r="F826" t="inlineStr">
        <is>
          <t>Magnets</t>
        </is>
      </c>
      <c r="G826" t="inlineStr">
        <is>
          <t>33 54 076 2130-9</t>
        </is>
      </c>
      <c r="J826" s="56" t="n">
        <v>44938</v>
      </c>
    </row>
    <row r="827">
      <c r="B827" s="2" t="inlineStr">
        <is>
          <t>D3077E74DB8E</t>
        </is>
      </c>
      <c r="D827" s="68" t="inlineStr">
        <is>
          <t>PR2211-018</t>
        </is>
      </c>
      <c r="E827" t="inlineStr">
        <is>
          <t>INTERFRACHT</t>
        </is>
      </c>
      <c r="F827" t="inlineStr">
        <is>
          <t>Magnets</t>
        </is>
      </c>
      <c r="G827" t="inlineStr">
        <is>
          <t>33 54 076 2130-9</t>
        </is>
      </c>
      <c r="J827" s="56" t="n">
        <v>44938</v>
      </c>
    </row>
    <row r="828">
      <c r="B828" s="2" t="inlineStr">
        <is>
          <t>C97C3453E7D2</t>
        </is>
      </c>
      <c r="D828" s="68" t="inlineStr">
        <is>
          <t>PR2211-002</t>
        </is>
      </c>
      <c r="E828" t="inlineStr">
        <is>
          <t>INTERFRACHT</t>
        </is>
      </c>
      <c r="F828" t="inlineStr">
        <is>
          <t>Magnets</t>
        </is>
      </c>
      <c r="G828" t="inlineStr">
        <is>
          <t>33 54 076 2130-9</t>
        </is>
      </c>
      <c r="J828" s="56" t="n">
        <v>44938</v>
      </c>
    </row>
    <row r="829">
      <c r="B829" s="2" t="inlineStr">
        <is>
          <t>F20B5D766852</t>
        </is>
      </c>
      <c r="D829" s="65" t="inlineStr">
        <is>
          <t>PR2211-011</t>
        </is>
      </c>
      <c r="E829" t="inlineStr">
        <is>
          <t>AMBROGIO</t>
        </is>
      </c>
      <c r="F829" t="inlineStr">
        <is>
          <t>CARGO</t>
        </is>
      </c>
      <c r="G829" t="inlineStr">
        <is>
          <t>33-83-495-4-940-6</t>
        </is>
      </c>
      <c r="J829" t="inlineStr">
        <is>
          <t>2022/12</t>
        </is>
      </c>
    </row>
    <row r="830">
      <c r="B830" s="2" t="inlineStr">
        <is>
          <t>D425B041B793</t>
        </is>
      </c>
      <c r="D830" s="65" t="inlineStr">
        <is>
          <t>PR2206-410</t>
        </is>
      </c>
      <c r="E830" t="inlineStr">
        <is>
          <t>AMBROGIO</t>
        </is>
      </c>
      <c r="F830" t="inlineStr">
        <is>
          <t>CARGO</t>
        </is>
      </c>
      <c r="G830" t="inlineStr">
        <is>
          <t>33-83-495-4-940-6</t>
        </is>
      </c>
      <c r="J830" t="inlineStr">
        <is>
          <t>2022/12</t>
        </is>
      </c>
    </row>
    <row r="831">
      <c r="B831" s="2" t="inlineStr">
        <is>
          <t>F80CC3EEEA12</t>
        </is>
      </c>
      <c r="D831" s="65" t="inlineStr">
        <is>
          <t>PR2206-567</t>
        </is>
      </c>
      <c r="E831" t="inlineStr">
        <is>
          <t>AMBROGIO</t>
        </is>
      </c>
      <c r="F831" t="inlineStr">
        <is>
          <t>CARGO</t>
        </is>
      </c>
      <c r="G831" t="inlineStr">
        <is>
          <t>33-83-495-4-940-6</t>
        </is>
      </c>
      <c r="J831" t="inlineStr">
        <is>
          <t>2022/12</t>
        </is>
      </c>
    </row>
    <row r="832">
      <c r="B832" s="2" t="inlineStr">
        <is>
          <t>DBE99E766A9A</t>
        </is>
      </c>
      <c r="D832" s="65" t="inlineStr">
        <is>
          <t>PR2211-013</t>
        </is>
      </c>
      <c r="E832" t="inlineStr">
        <is>
          <t>AMBROGIO</t>
        </is>
      </c>
      <c r="F832" t="inlineStr">
        <is>
          <t>CARGO</t>
        </is>
      </c>
      <c r="G832" t="inlineStr">
        <is>
          <t>33-83-495-4-940-6</t>
        </is>
      </c>
      <c r="J832" t="inlineStr">
        <is>
          <t>2022/12</t>
        </is>
      </c>
    </row>
    <row r="833">
      <c r="B833" s="2" t="inlineStr">
        <is>
          <t>C9B22CF84004</t>
        </is>
      </c>
      <c r="D833" s="65" t="inlineStr">
        <is>
          <t>PR2206-532</t>
        </is>
      </c>
      <c r="E833" t="inlineStr">
        <is>
          <t>AMBROGIO</t>
        </is>
      </c>
      <c r="F833" t="inlineStr">
        <is>
          <t>CARGO</t>
        </is>
      </c>
      <c r="G833" t="inlineStr">
        <is>
          <t>33-83-495-4-940-6</t>
        </is>
      </c>
      <c r="J833" t="inlineStr">
        <is>
          <t>2022/12</t>
        </is>
      </c>
    </row>
    <row r="834">
      <c r="B834" s="2" t="inlineStr">
        <is>
          <t>D19967FDD50C</t>
        </is>
      </c>
      <c r="D834" s="65" t="inlineStr">
        <is>
          <t>PR2206-459</t>
        </is>
      </c>
      <c r="E834" t="inlineStr">
        <is>
          <t>AMBROGIO</t>
        </is>
      </c>
      <c r="F834" t="inlineStr">
        <is>
          <t>CARGO</t>
        </is>
      </c>
      <c r="G834" t="inlineStr">
        <is>
          <t>33-83-495-4-940-6</t>
        </is>
      </c>
      <c r="J834" t="inlineStr">
        <is>
          <t>2022/12</t>
        </is>
      </c>
    </row>
    <row r="835">
      <c r="B835" s="2" t="inlineStr">
        <is>
          <t>E62F5C3D85B0</t>
        </is>
      </c>
      <c r="D835" s="65" t="inlineStr">
        <is>
          <t>PR2206-559</t>
        </is>
      </c>
      <c r="E835" t="inlineStr">
        <is>
          <t>AMBROGIO</t>
        </is>
      </c>
      <c r="F835" t="inlineStr">
        <is>
          <t>CARGO</t>
        </is>
      </c>
      <c r="G835" t="inlineStr">
        <is>
          <t>33-83-495-4-940-6</t>
        </is>
      </c>
      <c r="J835" t="inlineStr">
        <is>
          <t>2022/12</t>
        </is>
      </c>
    </row>
    <row r="836">
      <c r="B836" s="2" t="inlineStr">
        <is>
          <t>DFA498DC3A6C</t>
        </is>
      </c>
      <c r="D836" s="65" t="inlineStr">
        <is>
          <t>PR2206-452</t>
        </is>
      </c>
      <c r="E836" t="inlineStr">
        <is>
          <t>AMBROGIO</t>
        </is>
      </c>
      <c r="F836" t="inlineStr">
        <is>
          <t>CARGO</t>
        </is>
      </c>
      <c r="G836" t="inlineStr">
        <is>
          <t>33-83-495-4-940-6</t>
        </is>
      </c>
      <c r="J836" t="inlineStr">
        <is>
          <t>2022/12</t>
        </is>
      </c>
    </row>
    <row r="837">
      <c r="B837" s="2" t="inlineStr">
        <is>
          <t>E03ED6204685</t>
        </is>
      </c>
      <c r="D837" s="65" t="inlineStr">
        <is>
          <t>PR2211-005</t>
        </is>
      </c>
      <c r="E837" t="inlineStr">
        <is>
          <t>HUPAC</t>
        </is>
      </c>
      <c r="F837" t="inlineStr">
        <is>
          <t>CARGO</t>
        </is>
      </c>
      <c r="G837" t="inlineStr">
        <is>
          <t xml:space="preserve">33 85 4956 699-4 </t>
        </is>
      </c>
      <c r="J837" s="56" t="n">
        <v>44910</v>
      </c>
    </row>
    <row r="838">
      <c r="B838" s="2" t="inlineStr">
        <is>
          <t>EAA597B34ABB</t>
        </is>
      </c>
      <c r="D838" s="65" t="inlineStr">
        <is>
          <t>PR2203-432</t>
        </is>
      </c>
      <c r="E838" t="inlineStr">
        <is>
          <t>HUPAC</t>
        </is>
      </c>
      <c r="F838" t="inlineStr">
        <is>
          <t>CARGO</t>
        </is>
      </c>
      <c r="G838" t="inlineStr">
        <is>
          <t xml:space="preserve">33 85 4956 699-4 </t>
        </is>
      </c>
      <c r="J838" s="56" t="n">
        <v>44910</v>
      </c>
    </row>
    <row r="839">
      <c r="B839" s="2" t="inlineStr">
        <is>
          <t>C1D0A48306EB</t>
        </is>
      </c>
      <c r="D839" s="65" t="inlineStr">
        <is>
          <t>PR2206-576</t>
        </is>
      </c>
      <c r="E839" t="inlineStr">
        <is>
          <t>HUPAC</t>
        </is>
      </c>
      <c r="F839" t="inlineStr">
        <is>
          <t>CARGO</t>
        </is>
      </c>
      <c r="G839" t="inlineStr">
        <is>
          <t>33 85 4956 478-3</t>
        </is>
      </c>
      <c r="J839" s="56" t="n">
        <v>44910</v>
      </c>
    </row>
    <row r="840">
      <c r="B840" s="2" t="inlineStr">
        <is>
          <t>DEDC45EFA4B5</t>
        </is>
      </c>
      <c r="D840" s="65" t="inlineStr">
        <is>
          <t>PR2206-495</t>
        </is>
      </c>
      <c r="E840" t="inlineStr">
        <is>
          <t>HUPAC</t>
        </is>
      </c>
      <c r="F840" t="inlineStr">
        <is>
          <t>CARGO</t>
        </is>
      </c>
      <c r="G840" t="inlineStr">
        <is>
          <t>33 85 4575 320-8</t>
        </is>
      </c>
      <c r="J840" s="56" t="n">
        <v>44910</v>
      </c>
    </row>
    <row r="841">
      <c r="B841" s="2" t="inlineStr">
        <is>
          <t>F402B25BCB1F</t>
        </is>
      </c>
      <c r="D841" s="65" t="inlineStr">
        <is>
          <t>PR2211-023</t>
        </is>
      </c>
      <c r="E841" t="inlineStr">
        <is>
          <t>HUPAC</t>
        </is>
      </c>
      <c r="F841" t="inlineStr">
        <is>
          <t>CARGO</t>
        </is>
      </c>
      <c r="G841" t="inlineStr">
        <is>
          <t>33 85 4511 080-5</t>
        </is>
      </c>
      <c r="J841" s="56" t="n">
        <v>44910</v>
      </c>
    </row>
    <row r="842">
      <c r="B842" s="2" t="inlineStr">
        <is>
          <t>FE60392666B0</t>
        </is>
      </c>
      <c r="D842" s="65" t="inlineStr">
        <is>
          <t>PR2201-041</t>
        </is>
      </c>
      <c r="E842" t="inlineStr">
        <is>
          <t>HUPAC</t>
        </is>
      </c>
      <c r="F842" t="inlineStr">
        <is>
          <t>CARGO</t>
        </is>
      </c>
      <c r="G842" t="inlineStr">
        <is>
          <t>33 85 4506 221-2</t>
        </is>
      </c>
      <c r="J842" s="56" t="n">
        <v>44910</v>
      </c>
    </row>
    <row r="843">
      <c r="B843" s="2" t="inlineStr">
        <is>
          <t>D133889765AF</t>
        </is>
      </c>
      <c r="D843" s="65" t="inlineStr">
        <is>
          <t>PR2206-404</t>
        </is>
      </c>
      <c r="E843" t="inlineStr">
        <is>
          <t>HUPAC</t>
        </is>
      </c>
      <c r="F843" t="inlineStr">
        <is>
          <t>CARGO</t>
        </is>
      </c>
      <c r="G843" t="inlineStr">
        <is>
          <t>33 85 4575 320-8</t>
        </is>
      </c>
      <c r="J843" s="56" t="n">
        <v>44910</v>
      </c>
    </row>
    <row r="844">
      <c r="B844" s="2" t="inlineStr">
        <is>
          <t>E790ADE1386F</t>
        </is>
      </c>
      <c r="D844" s="65" t="inlineStr">
        <is>
          <t>PR2206-455</t>
        </is>
      </c>
      <c r="E844" t="inlineStr">
        <is>
          <t>HUPAC</t>
        </is>
      </c>
      <c r="F844" t="inlineStr">
        <is>
          <t>CARGO</t>
        </is>
      </c>
      <c r="G844" t="inlineStr">
        <is>
          <t xml:space="preserve">33 85 4956 699-4 </t>
        </is>
      </c>
      <c r="J844" s="56" t="n">
        <v>44910</v>
      </c>
    </row>
    <row r="845">
      <c r="B845" s="2" t="inlineStr">
        <is>
          <t>CB444A62223C</t>
        </is>
      </c>
      <c r="D845" s="65" t="inlineStr">
        <is>
          <t>PR2203-308</t>
        </is>
      </c>
      <c r="E845" t="inlineStr">
        <is>
          <t>HUPAC</t>
        </is>
      </c>
      <c r="F845" t="inlineStr">
        <is>
          <t>CARGO</t>
        </is>
      </c>
      <c r="G845" t="inlineStr">
        <is>
          <t>33 85 4556 814-3</t>
        </is>
      </c>
      <c r="J845" s="56" t="n">
        <v>44910</v>
      </c>
    </row>
    <row r="846">
      <c r="B846" s="2" t="inlineStr">
        <is>
          <t>F6FA4E52BBC5</t>
        </is>
      </c>
      <c r="D846" s="65" t="inlineStr">
        <is>
          <t>PR2203-370</t>
        </is>
      </c>
      <c r="E846" t="inlineStr">
        <is>
          <t>HUPAC</t>
        </is>
      </c>
      <c r="F846" t="inlineStr">
        <is>
          <t>CARGO</t>
        </is>
      </c>
      <c r="G846" t="inlineStr">
        <is>
          <t>33 85 4956 478-3</t>
        </is>
      </c>
      <c r="J846" s="56" t="n">
        <v>44910</v>
      </c>
    </row>
    <row r="847">
      <c r="B847" s="2" t="inlineStr">
        <is>
          <t>D67380B49068</t>
        </is>
      </c>
      <c r="D847" s="65" t="inlineStr">
        <is>
          <t>PR2206-572</t>
        </is>
      </c>
      <c r="E847" t="inlineStr">
        <is>
          <t>HUPAC</t>
        </is>
      </c>
      <c r="F847" t="inlineStr">
        <is>
          <t>CARGO</t>
        </is>
      </c>
      <c r="G847" t="inlineStr">
        <is>
          <t>33 85 4575 320-8</t>
        </is>
      </c>
      <c r="J847" s="56" t="n">
        <v>44910</v>
      </c>
    </row>
    <row r="848">
      <c r="B848" s="2" t="inlineStr">
        <is>
          <t>EE19365A0EAB</t>
        </is>
      </c>
      <c r="D848" s="65" t="inlineStr">
        <is>
          <t>PR2211-024</t>
        </is>
      </c>
      <c r="E848" t="inlineStr">
        <is>
          <t>HUPAC</t>
        </is>
      </c>
      <c r="F848" t="inlineStr">
        <is>
          <t>CARGO</t>
        </is>
      </c>
      <c r="G848" t="inlineStr">
        <is>
          <t xml:space="preserve">33 85 4956 699-4 </t>
        </is>
      </c>
      <c r="J848" s="56" t="n">
        <v>44910</v>
      </c>
    </row>
    <row r="849">
      <c r="B849" s="2" t="inlineStr">
        <is>
          <t>E9341CF413A0</t>
        </is>
      </c>
      <c r="D849" s="65" t="inlineStr">
        <is>
          <t>PR2203-013</t>
        </is>
      </c>
      <c r="E849" t="inlineStr">
        <is>
          <t>HUPAC</t>
        </is>
      </c>
      <c r="F849" t="inlineStr">
        <is>
          <t>CARGO</t>
        </is>
      </c>
      <c r="G849" t="inlineStr">
        <is>
          <t xml:space="preserve">33 85 4956 699-4 </t>
        </is>
      </c>
      <c r="J849" s="56" t="n">
        <v>44910</v>
      </c>
    </row>
    <row r="850">
      <c r="B850" s="2" t="inlineStr">
        <is>
          <t>F0B8BDBA570A</t>
        </is>
      </c>
      <c r="D850" s="65" t="inlineStr">
        <is>
          <t>PR2203-393</t>
        </is>
      </c>
      <c r="E850" t="inlineStr">
        <is>
          <t>HUPAC</t>
        </is>
      </c>
      <c r="F850" t="inlineStr">
        <is>
          <t>CARGO</t>
        </is>
      </c>
      <c r="G850" t="inlineStr">
        <is>
          <t xml:space="preserve">33 85 4956 699-4 </t>
        </is>
      </c>
      <c r="J850" s="56" t="n">
        <v>44910</v>
      </c>
    </row>
    <row r="851">
      <c r="B851" s="2" t="inlineStr">
        <is>
          <t>ED59A0BAE093</t>
        </is>
      </c>
      <c r="D851" s="65" t="inlineStr">
        <is>
          <t>PR2203-372</t>
        </is>
      </c>
      <c r="E851" t="inlineStr">
        <is>
          <t>HUPAC</t>
        </is>
      </c>
      <c r="F851" t="inlineStr">
        <is>
          <t>CARGO</t>
        </is>
      </c>
      <c r="G851" t="inlineStr">
        <is>
          <t>33 85 4956 478-3</t>
        </is>
      </c>
      <c r="J851" s="56" t="n">
        <v>44910</v>
      </c>
    </row>
    <row r="852">
      <c r="B852" s="2" t="inlineStr">
        <is>
          <t>DECEB8A1E278</t>
        </is>
      </c>
      <c r="D852" s="65" t="inlineStr">
        <is>
          <t>PR2211-022</t>
        </is>
      </c>
      <c r="E852" t="inlineStr">
        <is>
          <t>HUPAC</t>
        </is>
      </c>
      <c r="F852" t="inlineStr">
        <is>
          <t>CARGO</t>
        </is>
      </c>
      <c r="G852" t="inlineStr">
        <is>
          <t>33 85 4956 478-3</t>
        </is>
      </c>
      <c r="J852" s="56" t="n">
        <v>44910</v>
      </c>
    </row>
    <row r="853">
      <c r="B853" s="2" t="inlineStr">
        <is>
          <t>D888FD3F8C04</t>
        </is>
      </c>
      <c r="D853" s="65" t="inlineStr">
        <is>
          <t>PR2206-569</t>
        </is>
      </c>
      <c r="E853" t="inlineStr">
        <is>
          <t>HUPAC</t>
        </is>
      </c>
      <c r="F853" t="inlineStr">
        <is>
          <t>CARGO</t>
        </is>
      </c>
      <c r="G853" t="inlineStr">
        <is>
          <t>33 85 4956 478-3</t>
        </is>
      </c>
      <c r="J853" s="56" t="n">
        <v>44910</v>
      </c>
    </row>
    <row r="854">
      <c r="B854" s="2" t="inlineStr">
        <is>
          <t>C5A12B748EB1</t>
        </is>
      </c>
      <c r="D854" s="65" t="inlineStr">
        <is>
          <t>PR2211-006</t>
        </is>
      </c>
      <c r="E854" t="inlineStr">
        <is>
          <t>HUPAC</t>
        </is>
      </c>
      <c r="F854" t="inlineStr">
        <is>
          <t>CARGO</t>
        </is>
      </c>
      <c r="G854" t="inlineStr">
        <is>
          <t>33 85 4956 478-3</t>
        </is>
      </c>
      <c r="J854" s="56" t="n">
        <v>44910</v>
      </c>
    </row>
    <row r="855">
      <c r="B855" s="2" t="inlineStr">
        <is>
          <t>C9428294550F</t>
        </is>
      </c>
      <c r="D855" s="65" t="inlineStr">
        <is>
          <t>PR2206-414</t>
        </is>
      </c>
      <c r="E855" t="inlineStr">
        <is>
          <t>HUPAC</t>
        </is>
      </c>
      <c r="F855" t="inlineStr">
        <is>
          <t>CARGO</t>
        </is>
      </c>
      <c r="G855" t="inlineStr">
        <is>
          <t>33 85 4575 320-8</t>
        </is>
      </c>
      <c r="J855" s="56" t="n">
        <v>44910</v>
      </c>
    </row>
    <row r="856">
      <c r="B856" s="2" t="inlineStr">
        <is>
          <t>FB63C4117E6B</t>
        </is>
      </c>
      <c r="D856" s="65" t="inlineStr">
        <is>
          <t>PR2211-019</t>
        </is>
      </c>
      <c r="E856" t="inlineStr">
        <is>
          <t>HUPAC</t>
        </is>
      </c>
      <c r="F856" t="inlineStr">
        <is>
          <t>CARGO</t>
        </is>
      </c>
      <c r="G856" t="inlineStr">
        <is>
          <t>33 85 4956 478-3</t>
        </is>
      </c>
      <c r="J856" s="56" t="n">
        <v>44910</v>
      </c>
    </row>
    <row r="857">
      <c r="B857" s="2" t="inlineStr">
        <is>
          <t>F527EBFDA978</t>
        </is>
      </c>
      <c r="D857" s="65" t="inlineStr">
        <is>
          <t>PR2203-037</t>
        </is>
      </c>
      <c r="E857" t="inlineStr">
        <is>
          <t>HUPAC</t>
        </is>
      </c>
      <c r="F857" t="inlineStr">
        <is>
          <t>CARGO</t>
        </is>
      </c>
      <c r="G857" t="inlineStr">
        <is>
          <t>33 85 4556 814-3</t>
        </is>
      </c>
      <c r="J857" s="56" t="n">
        <v>44910</v>
      </c>
    </row>
    <row r="858">
      <c r="B858" s="2" t="inlineStr">
        <is>
          <t>E9A60347F773</t>
        </is>
      </c>
      <c r="D858" s="65" t="inlineStr">
        <is>
          <t>PR2203-213</t>
        </is>
      </c>
      <c r="E858" t="inlineStr">
        <is>
          <t>HUPAC</t>
        </is>
      </c>
      <c r="F858" t="inlineStr">
        <is>
          <t>CARGO</t>
        </is>
      </c>
      <c r="G858" t="inlineStr">
        <is>
          <t xml:space="preserve">33 85 4956 699-4 </t>
        </is>
      </c>
      <c r="J858" s="56" t="n">
        <v>44910</v>
      </c>
    </row>
    <row r="859">
      <c r="B859" s="2" t="inlineStr">
        <is>
          <t>EB8B9E63E6A0</t>
        </is>
      </c>
      <c r="D859" s="65" t="inlineStr">
        <is>
          <t>PR2203-066</t>
        </is>
      </c>
      <c r="E859" t="inlineStr">
        <is>
          <t>HUPAC</t>
        </is>
      </c>
      <c r="F859" t="inlineStr">
        <is>
          <t>CARGO</t>
        </is>
      </c>
      <c r="G859" t="inlineStr">
        <is>
          <t xml:space="preserve">33 85 4956 699-4 </t>
        </is>
      </c>
      <c r="J859" s="56" t="n">
        <v>44910</v>
      </c>
    </row>
    <row r="860">
      <c r="B860" s="2" t="inlineStr">
        <is>
          <t>E2988D48AFFC</t>
        </is>
      </c>
      <c r="D860" s="65" t="inlineStr">
        <is>
          <t>PR2203-292</t>
        </is>
      </c>
      <c r="E860" t="inlineStr">
        <is>
          <t>HUPAC</t>
        </is>
      </c>
      <c r="F860" t="inlineStr">
        <is>
          <t>CARGO</t>
        </is>
      </c>
      <c r="G860" t="inlineStr">
        <is>
          <t>33 85 4506 221-2</t>
        </is>
      </c>
      <c r="J860" s="56" t="n">
        <v>44910</v>
      </c>
    </row>
    <row r="861">
      <c r="B861" s="2" t="inlineStr">
        <is>
          <t>EBF7FB8D70B7</t>
        </is>
      </c>
      <c r="D861" s="65" t="inlineStr">
        <is>
          <t>PR2206-466</t>
        </is>
      </c>
      <c r="E861" t="inlineStr">
        <is>
          <t>HUPAC</t>
        </is>
      </c>
      <c r="F861" t="inlineStr">
        <is>
          <t>CARGO</t>
        </is>
      </c>
      <c r="G861" t="inlineStr">
        <is>
          <t>33 85 4511 080-5</t>
        </is>
      </c>
      <c r="J861" s="56" t="n">
        <v>44910</v>
      </c>
    </row>
    <row r="862">
      <c r="B862" s="2" t="inlineStr">
        <is>
          <t>DB446D1B5119</t>
        </is>
      </c>
      <c r="D862" s="65" t="inlineStr">
        <is>
          <t>PR2203-355</t>
        </is>
      </c>
      <c r="E862" t="inlineStr">
        <is>
          <t>HUPAC</t>
        </is>
      </c>
      <c r="F862" t="inlineStr">
        <is>
          <t>CARGO</t>
        </is>
      </c>
      <c r="G862" t="inlineStr">
        <is>
          <t>33 85 4956 710-9</t>
        </is>
      </c>
      <c r="J862" s="56" t="n">
        <v>44910</v>
      </c>
    </row>
    <row r="863">
      <c r="B863" s="2" t="inlineStr">
        <is>
          <t>C27C2EB3C28F</t>
        </is>
      </c>
      <c r="D863" s="65" t="inlineStr">
        <is>
          <t>PR2206-492</t>
        </is>
      </c>
      <c r="E863" t="inlineStr">
        <is>
          <t>HUPAC</t>
        </is>
      </c>
      <c r="F863" t="inlineStr">
        <is>
          <t>CARGO</t>
        </is>
      </c>
      <c r="G863" t="inlineStr">
        <is>
          <t>33 85 4511 080-5</t>
        </is>
      </c>
      <c r="J863" s="56" t="n">
        <v>44910</v>
      </c>
    </row>
    <row r="864">
      <c r="B864" s="2" t="inlineStr">
        <is>
          <t>F43C9048F67F</t>
        </is>
      </c>
      <c r="D864" s="65" t="inlineStr">
        <is>
          <t>PR2206-547</t>
        </is>
      </c>
      <c r="E864" t="inlineStr">
        <is>
          <t>HUPAC</t>
        </is>
      </c>
      <c r="F864" t="inlineStr">
        <is>
          <t>CARGO</t>
        </is>
      </c>
      <c r="G864" t="inlineStr">
        <is>
          <t xml:space="preserve">33 85 4956 699-4 </t>
        </is>
      </c>
      <c r="J864" s="56" t="n">
        <v>44910</v>
      </c>
    </row>
    <row r="865">
      <c r="B865" s="2" t="inlineStr">
        <is>
          <t>E3BFB14DB9C1</t>
        </is>
      </c>
      <c r="D865" s="65" t="inlineStr">
        <is>
          <t>PR2206-461</t>
        </is>
      </c>
      <c r="E865" t="inlineStr">
        <is>
          <t>HUPAC</t>
        </is>
      </c>
      <c r="F865" t="inlineStr">
        <is>
          <t>CARGO</t>
        </is>
      </c>
      <c r="G865" t="inlineStr">
        <is>
          <t>33 85 4956 478-3</t>
        </is>
      </c>
      <c r="J865" s="56" t="n">
        <v>44910</v>
      </c>
    </row>
    <row r="866">
      <c r="B866" s="2" t="inlineStr">
        <is>
          <t>EB550B8F347E</t>
        </is>
      </c>
      <c r="D866" s="65" t="inlineStr">
        <is>
          <t>PR2211-021</t>
        </is>
      </c>
      <c r="E866" t="inlineStr">
        <is>
          <t>HUPAC</t>
        </is>
      </c>
      <c r="F866" t="inlineStr">
        <is>
          <t>CARGO</t>
        </is>
      </c>
      <c r="G866" t="inlineStr">
        <is>
          <t>33 85 4956 478-3</t>
        </is>
      </c>
      <c r="J866" s="56" t="n">
        <v>44910</v>
      </c>
    </row>
    <row r="867">
      <c r="B867" s="2" t="inlineStr">
        <is>
          <t>CC70C6E37D86</t>
        </is>
      </c>
      <c r="D867" s="65" t="inlineStr">
        <is>
          <t>PR2203-011</t>
        </is>
      </c>
      <c r="E867" t="inlineStr">
        <is>
          <t>HUPAC</t>
        </is>
      </c>
      <c r="F867" t="inlineStr">
        <is>
          <t>CARGO</t>
        </is>
      </c>
      <c r="G867" t="inlineStr">
        <is>
          <t>33 85 4956 478-3</t>
        </is>
      </c>
      <c r="J867" s="56" t="n">
        <v>44910</v>
      </c>
    </row>
    <row r="868">
      <c r="B868" s="2" t="inlineStr">
        <is>
          <t>F2D91205ACDA</t>
        </is>
      </c>
      <c r="D868" s="65" t="inlineStr">
        <is>
          <t>PR2206-460</t>
        </is>
      </c>
      <c r="E868" t="inlineStr">
        <is>
          <t>HUPAC</t>
        </is>
      </c>
      <c r="F868" t="inlineStr">
        <is>
          <t>CARGO</t>
        </is>
      </c>
      <c r="G868" t="inlineStr">
        <is>
          <t>33 85 4575 320-8</t>
        </is>
      </c>
      <c r="J868" s="56" t="n">
        <v>44910</v>
      </c>
    </row>
    <row r="869">
      <c r="B869" s="2" t="inlineStr">
        <is>
          <t>D7253FFB943A</t>
        </is>
      </c>
      <c r="D869" s="65" t="inlineStr">
        <is>
          <t>PR2206-534</t>
        </is>
      </c>
      <c r="E869" t="inlineStr">
        <is>
          <t>HUPAC</t>
        </is>
      </c>
      <c r="F869" t="inlineStr">
        <is>
          <t>CARGO</t>
        </is>
      </c>
      <c r="G869" t="inlineStr">
        <is>
          <t>33 85 4575 320-8</t>
        </is>
      </c>
      <c r="J869" s="56" t="n">
        <v>44910</v>
      </c>
    </row>
    <row r="870">
      <c r="B870" s="2" t="inlineStr">
        <is>
          <t>FB1BF991AB3B</t>
        </is>
      </c>
      <c r="D870" s="65" t="inlineStr">
        <is>
          <t>PR2206-529</t>
        </is>
      </c>
      <c r="E870" t="inlineStr">
        <is>
          <t>HUPAC</t>
        </is>
      </c>
      <c r="F870" t="inlineStr">
        <is>
          <t>CARGO</t>
        </is>
      </c>
      <c r="G870" t="inlineStr">
        <is>
          <t>33 85 4956 478-3</t>
        </is>
      </c>
      <c r="J870" s="56" t="n">
        <v>44910</v>
      </c>
    </row>
    <row r="871">
      <c r="B871" s="2" t="inlineStr">
        <is>
          <t>CDB2B982E25B</t>
        </is>
      </c>
      <c r="D871" s="65" t="inlineStr">
        <is>
          <t>PR2211-004</t>
        </is>
      </c>
      <c r="E871" t="inlineStr">
        <is>
          <t>HUPAC</t>
        </is>
      </c>
      <c r="F871" t="inlineStr">
        <is>
          <t>CARGO</t>
        </is>
      </c>
      <c r="G871" t="inlineStr">
        <is>
          <t>33 85 4575 320-8</t>
        </is>
      </c>
      <c r="J871" s="56" t="n">
        <v>44910</v>
      </c>
    </row>
    <row r="872">
      <c r="B872" s="2" t="inlineStr">
        <is>
          <t>D1439C4D1272</t>
        </is>
      </c>
      <c r="D872" s="65" t="inlineStr">
        <is>
          <t>PR2206-423</t>
        </is>
      </c>
      <c r="E872" t="inlineStr">
        <is>
          <t>HUPAC</t>
        </is>
      </c>
      <c r="F872" t="inlineStr">
        <is>
          <t>CARGO</t>
        </is>
      </c>
      <c r="G872" t="inlineStr">
        <is>
          <t>33 85 4575 320-8</t>
        </is>
      </c>
      <c r="J872" s="56" t="n">
        <v>44910</v>
      </c>
    </row>
    <row r="873">
      <c r="B873" s="2" t="inlineStr">
        <is>
          <t>E4484D2CE659</t>
        </is>
      </c>
      <c r="D873" s="65" t="inlineStr">
        <is>
          <t>PR2206-528</t>
        </is>
      </c>
      <c r="E873" t="inlineStr">
        <is>
          <t>HUPAC</t>
        </is>
      </c>
      <c r="F873" t="inlineStr">
        <is>
          <t>CARGO</t>
        </is>
      </c>
      <c r="G873" t="inlineStr">
        <is>
          <t xml:space="preserve">33 85 4956 699-4 </t>
        </is>
      </c>
      <c r="J873" s="56" t="n">
        <v>44910</v>
      </c>
    </row>
    <row r="874">
      <c r="B874" s="2" t="inlineStr">
        <is>
          <t>D608505B2C8A</t>
        </is>
      </c>
      <c r="D874" s="65" t="inlineStr">
        <is>
          <t>PR2203-369</t>
        </is>
      </c>
      <c r="E874" t="inlineStr">
        <is>
          <t>HUPAC</t>
        </is>
      </c>
      <c r="F874" t="inlineStr">
        <is>
          <t>CARGO</t>
        </is>
      </c>
      <c r="G874" t="inlineStr">
        <is>
          <t>33 85 4506 221-2</t>
        </is>
      </c>
      <c r="J874" s="56" t="n">
        <v>44910</v>
      </c>
    </row>
    <row r="875">
      <c r="B875" s="2" t="inlineStr">
        <is>
          <t>C892D0544A9E</t>
        </is>
      </c>
      <c r="D875" s="65" t="inlineStr">
        <is>
          <t>PR2203-331</t>
        </is>
      </c>
      <c r="E875" t="inlineStr">
        <is>
          <t>HUPAC</t>
        </is>
      </c>
      <c r="F875" t="inlineStr">
        <is>
          <t>CARGO</t>
        </is>
      </c>
      <c r="G875" t="inlineStr">
        <is>
          <t>33 85 4956 710-9</t>
        </is>
      </c>
      <c r="J875" s="56" t="n">
        <v>44910</v>
      </c>
    </row>
    <row r="876">
      <c r="B876" s="2" t="inlineStr">
        <is>
          <t>D0979128E94A</t>
        </is>
      </c>
      <c r="D876" s="65" t="inlineStr">
        <is>
          <t>PR2206-566</t>
        </is>
      </c>
      <c r="E876" t="inlineStr">
        <is>
          <t>HUPAC</t>
        </is>
      </c>
      <c r="F876" t="inlineStr">
        <is>
          <t>CARGO</t>
        </is>
      </c>
      <c r="G876" t="inlineStr">
        <is>
          <t>33 85 4956 710-9</t>
        </is>
      </c>
      <c r="J876" s="56" t="n">
        <v>44910</v>
      </c>
    </row>
    <row r="877">
      <c r="B877" s="2" t="inlineStr">
        <is>
          <t>FDF25DA6491A</t>
        </is>
      </c>
      <c r="D877" s="65" t="inlineStr">
        <is>
          <t>PR2203-010</t>
        </is>
      </c>
      <c r="E877" t="inlineStr">
        <is>
          <t>HUPAC</t>
        </is>
      </c>
      <c r="F877" t="inlineStr">
        <is>
          <t>CARGO</t>
        </is>
      </c>
      <c r="G877" t="inlineStr">
        <is>
          <t>33 85 4956 478-3</t>
        </is>
      </c>
      <c r="J877" s="56" t="n">
        <v>44910</v>
      </c>
    </row>
    <row r="878">
      <c r="B878" s="2" t="inlineStr">
        <is>
          <t>F4E72978A432</t>
        </is>
      </c>
      <c r="D878" s="65" t="inlineStr">
        <is>
          <t>PR2203-364</t>
        </is>
      </c>
      <c r="E878" t="inlineStr">
        <is>
          <t>HUPAC</t>
        </is>
      </c>
      <c r="F878" t="inlineStr">
        <is>
          <t>CARGO</t>
        </is>
      </c>
      <c r="G878" t="inlineStr">
        <is>
          <t>33 85 4956 673-9</t>
        </is>
      </c>
      <c r="J878" s="56" t="n">
        <v>44910</v>
      </c>
    </row>
    <row r="879">
      <c r="B879" s="2" t="inlineStr">
        <is>
          <t>C77B61184959</t>
        </is>
      </c>
      <c r="D879" s="65" t="inlineStr">
        <is>
          <t>PR2211-010</t>
        </is>
      </c>
      <c r="E879" t="inlineStr">
        <is>
          <t>HUPAC</t>
        </is>
      </c>
      <c r="F879" t="inlineStr">
        <is>
          <t>CARGO</t>
        </is>
      </c>
      <c r="G879" t="inlineStr">
        <is>
          <t>33 85 4511 080-5</t>
        </is>
      </c>
      <c r="J879" s="56" t="n">
        <v>44910</v>
      </c>
    </row>
    <row r="880">
      <c r="B880" s="2" t="inlineStr">
        <is>
          <t>D6451BD54BE7</t>
        </is>
      </c>
      <c r="D880" s="65" t="inlineStr">
        <is>
          <t>PR2203-348</t>
        </is>
      </c>
      <c r="E880" t="inlineStr">
        <is>
          <t>HUPAC</t>
        </is>
      </c>
      <c r="F880" t="inlineStr">
        <is>
          <t>CARGO</t>
        </is>
      </c>
      <c r="G880" t="inlineStr">
        <is>
          <t xml:space="preserve">33 85 4956 699-4 </t>
        </is>
      </c>
      <c r="J880" s="56" t="n">
        <v>44910</v>
      </c>
    </row>
    <row r="881">
      <c r="B881" s="2" t="inlineStr">
        <is>
          <t>CF55B51E7637</t>
        </is>
      </c>
      <c r="D881" s="65" t="inlineStr">
        <is>
          <t>PR2206-448</t>
        </is>
      </c>
      <c r="E881" t="inlineStr">
        <is>
          <t>HUPAC</t>
        </is>
      </c>
      <c r="F881" t="inlineStr">
        <is>
          <t>CARGO</t>
        </is>
      </c>
      <c r="G881" t="inlineStr">
        <is>
          <t>33 85 4556 814-3</t>
        </is>
      </c>
      <c r="J881" s="56" t="n">
        <v>44910</v>
      </c>
    </row>
    <row r="882">
      <c r="B882" s="2" t="inlineStr">
        <is>
          <t>C1D14E2D9AD7</t>
        </is>
      </c>
      <c r="D882" s="65" t="inlineStr">
        <is>
          <t>PR2206-494</t>
        </is>
      </c>
      <c r="E882" t="inlineStr">
        <is>
          <t>HUPAC</t>
        </is>
      </c>
      <c r="F882" t="inlineStr">
        <is>
          <t>CARGO</t>
        </is>
      </c>
      <c r="G882" t="inlineStr">
        <is>
          <t>33 85 4511 080-5</t>
        </is>
      </c>
      <c r="J882" s="56" t="n">
        <v>44910</v>
      </c>
    </row>
    <row r="883">
      <c r="B883" s="2" t="inlineStr">
        <is>
          <t>D3D516FCDD42</t>
        </is>
      </c>
      <c r="D883" s="65" t="inlineStr">
        <is>
          <t>PR2206-601</t>
        </is>
      </c>
      <c r="E883" t="inlineStr">
        <is>
          <t>HUPAC</t>
        </is>
      </c>
      <c r="F883" t="inlineStr">
        <is>
          <t>CARGO</t>
        </is>
      </c>
      <c r="G883" t="inlineStr">
        <is>
          <t>33 85 4956 673-9</t>
        </is>
      </c>
      <c r="J883" s="56" t="n">
        <v>44910</v>
      </c>
    </row>
    <row r="884">
      <c r="B884" s="2" t="inlineStr">
        <is>
          <t>C950C0F81014</t>
        </is>
      </c>
      <c r="D884" s="65" t="inlineStr">
        <is>
          <t>PR2206-486</t>
        </is>
      </c>
      <c r="E884" t="inlineStr">
        <is>
          <t>HUPAC</t>
        </is>
      </c>
      <c r="F884" t="inlineStr">
        <is>
          <t>CARGO</t>
        </is>
      </c>
      <c r="G884" t="inlineStr">
        <is>
          <t>33 85 4506 221-2</t>
        </is>
      </c>
      <c r="J884" s="56" t="n">
        <v>44910</v>
      </c>
    </row>
    <row r="885">
      <c r="B885" s="2" t="inlineStr">
        <is>
          <t>E4A4917F78F1</t>
        </is>
      </c>
      <c r="D885" s="65" t="inlineStr">
        <is>
          <t>PR2206-451</t>
        </is>
      </c>
      <c r="E885" t="inlineStr">
        <is>
          <t>HUPAC</t>
        </is>
      </c>
      <c r="F885" t="inlineStr">
        <is>
          <t>CARGO</t>
        </is>
      </c>
      <c r="G885" t="inlineStr">
        <is>
          <t>33 85 4956 673-9</t>
        </is>
      </c>
      <c r="J885" s="56" t="n">
        <v>44910</v>
      </c>
    </row>
    <row r="886">
      <c r="B886" s="2" t="inlineStr">
        <is>
          <t>E5C9B0BFB7D2</t>
        </is>
      </c>
      <c r="D886" s="65" t="inlineStr">
        <is>
          <t>PR2203-262</t>
        </is>
      </c>
      <c r="E886" t="inlineStr">
        <is>
          <t>HUPAC</t>
        </is>
      </c>
      <c r="F886" t="inlineStr">
        <is>
          <t>CARGO</t>
        </is>
      </c>
      <c r="G886" t="inlineStr">
        <is>
          <t>33 85 4556 814-3</t>
        </is>
      </c>
      <c r="J886" s="56" t="n">
        <v>44910</v>
      </c>
    </row>
    <row r="887">
      <c r="B887" s="2" t="inlineStr">
        <is>
          <t>EB82770597B0</t>
        </is>
      </c>
      <c r="D887" s="65" t="inlineStr">
        <is>
          <t>PR2206-454</t>
        </is>
      </c>
      <c r="E887" t="inlineStr">
        <is>
          <t>HUPAC</t>
        </is>
      </c>
      <c r="F887" t="inlineStr">
        <is>
          <t>CARGO</t>
        </is>
      </c>
      <c r="G887" t="inlineStr">
        <is>
          <t>33 85 4511 080-5</t>
        </is>
      </c>
      <c r="J887" s="56" t="n">
        <v>44910</v>
      </c>
    </row>
    <row r="888">
      <c r="B888" s="2" t="inlineStr">
        <is>
          <t>CD8E4A47BC85</t>
        </is>
      </c>
      <c r="D888" s="65" t="inlineStr">
        <is>
          <t>PR2203-253</t>
        </is>
      </c>
      <c r="E888" t="inlineStr">
        <is>
          <t>HUPAC</t>
        </is>
      </c>
      <c r="F888" t="inlineStr">
        <is>
          <t>CARGO</t>
        </is>
      </c>
      <c r="G888" t="inlineStr">
        <is>
          <t xml:space="preserve">33 85 4956 710-9 </t>
        </is>
      </c>
      <c r="J888" s="56" t="n">
        <v>44910</v>
      </c>
    </row>
    <row r="889">
      <c r="B889" s="2" t="inlineStr">
        <is>
          <t>EFF876CD19F2</t>
        </is>
      </c>
      <c r="D889" s="65" t="inlineStr">
        <is>
          <t>PR2206-558</t>
        </is>
      </c>
      <c r="E889" t="inlineStr">
        <is>
          <t>HUPAC</t>
        </is>
      </c>
      <c r="F889" t="inlineStr">
        <is>
          <t>CARGO</t>
        </is>
      </c>
      <c r="G889" t="inlineStr">
        <is>
          <t>33 85 4956 710-9</t>
        </is>
      </c>
      <c r="J889" s="56" t="n">
        <v>44910</v>
      </c>
    </row>
    <row r="890">
      <c r="B890" s="2" t="inlineStr">
        <is>
          <t>F888CAC3949C</t>
        </is>
      </c>
      <c r="D890" s="65" t="inlineStr">
        <is>
          <t>PR2203-186</t>
        </is>
      </c>
      <c r="E890" t="inlineStr">
        <is>
          <t>HUPAC</t>
        </is>
      </c>
      <c r="F890" t="inlineStr">
        <is>
          <t>CARGO</t>
        </is>
      </c>
      <c r="G890" t="inlineStr">
        <is>
          <t>33 85 4956 673-9</t>
        </is>
      </c>
      <c r="J890" s="56" t="n">
        <v>44910</v>
      </c>
    </row>
    <row r="891">
      <c r="B891" s="2" t="inlineStr">
        <is>
          <t>DED04C59E6A7</t>
        </is>
      </c>
      <c r="D891" s="65" t="inlineStr">
        <is>
          <t>PR2206-571</t>
        </is>
      </c>
      <c r="E891" t="inlineStr">
        <is>
          <t>HUPAC</t>
        </is>
      </c>
      <c r="F891" t="inlineStr">
        <is>
          <t>CARGO</t>
        </is>
      </c>
      <c r="G891" t="inlineStr">
        <is>
          <t>33 85 4956 710-9</t>
        </is>
      </c>
      <c r="J891" s="56" t="n">
        <v>44910</v>
      </c>
    </row>
    <row r="892">
      <c r="B892" s="2" t="inlineStr">
        <is>
          <t>EE63A98A1584</t>
        </is>
      </c>
      <c r="D892" s="65" t="inlineStr">
        <is>
          <t>PR2206-462</t>
        </is>
      </c>
      <c r="E892" t="inlineStr">
        <is>
          <t>HUPAC</t>
        </is>
      </c>
      <c r="F892" t="inlineStr">
        <is>
          <t>CARGO</t>
        </is>
      </c>
      <c r="G892" t="inlineStr">
        <is>
          <t>33 85 4956 673-9</t>
        </is>
      </c>
      <c r="J892" s="56" t="n">
        <v>44910</v>
      </c>
    </row>
    <row r="893">
      <c r="B893" s="2" t="inlineStr">
        <is>
          <t>FDCD8EB1DC05</t>
        </is>
      </c>
      <c r="D893" s="65" t="inlineStr">
        <is>
          <t>PR2206-450</t>
        </is>
      </c>
      <c r="E893" t="inlineStr">
        <is>
          <t>HUPAC</t>
        </is>
      </c>
      <c r="F893" t="inlineStr">
        <is>
          <t>CARGO</t>
        </is>
      </c>
      <c r="G893" t="inlineStr">
        <is>
          <t>33 85 4956 710-9</t>
        </is>
      </c>
      <c r="J893" s="56" t="n">
        <v>44910</v>
      </c>
    </row>
    <row r="894">
      <c r="B894" s="2" t="inlineStr">
        <is>
          <t>C14A486C51DA</t>
        </is>
      </c>
      <c r="D894" s="65" t="inlineStr">
        <is>
          <t>PR2203-239</t>
        </is>
      </c>
      <c r="E894" t="inlineStr">
        <is>
          <t>HUPAC</t>
        </is>
      </c>
      <c r="F894" t="inlineStr">
        <is>
          <t>CARGO</t>
        </is>
      </c>
      <c r="G894" t="inlineStr">
        <is>
          <t>33 85 4956 673-9</t>
        </is>
      </c>
      <c r="J894" s="56" t="n">
        <v>44910</v>
      </c>
    </row>
    <row r="895">
      <c r="B895" s="2" t="inlineStr">
        <is>
          <t>CB3BAA60ECE4</t>
        </is>
      </c>
      <c r="D895" s="65" t="inlineStr">
        <is>
          <t>PR2211-020</t>
        </is>
      </c>
      <c r="E895" t="inlineStr">
        <is>
          <t>HUPAC</t>
        </is>
      </c>
      <c r="F895" t="inlineStr">
        <is>
          <t>CARGO</t>
        </is>
      </c>
      <c r="G895" t="inlineStr">
        <is>
          <t>33 85 4506 221-2</t>
        </is>
      </c>
      <c r="J895" s="56" t="n">
        <v>44910</v>
      </c>
    </row>
    <row r="896">
      <c r="B896" s="2" t="inlineStr">
        <is>
          <t>CBBBD107BB89</t>
        </is>
      </c>
      <c r="D896" s="65" t="inlineStr">
        <is>
          <t>PR2206-440</t>
        </is>
      </c>
      <c r="E896" t="inlineStr">
        <is>
          <t>HUPAC</t>
        </is>
      </c>
      <c r="F896" t="inlineStr">
        <is>
          <t>CARGO</t>
        </is>
      </c>
      <c r="G896" t="inlineStr">
        <is>
          <t>33 85 4506 221-2</t>
        </is>
      </c>
      <c r="J896" s="56" t="n">
        <v>44910</v>
      </c>
    </row>
    <row r="897">
      <c r="B897" s="2" t="inlineStr">
        <is>
          <t>D7B622A6F064</t>
        </is>
      </c>
      <c r="D897" s="65" t="inlineStr">
        <is>
          <t>PR2206-426</t>
        </is>
      </c>
      <c r="E897" t="inlineStr">
        <is>
          <t>HUPAC</t>
        </is>
      </c>
      <c r="F897" t="inlineStr">
        <is>
          <t>CARGO</t>
        </is>
      </c>
      <c r="G897" t="inlineStr">
        <is>
          <t>33 85 4956 710-9</t>
        </is>
      </c>
      <c r="J897" s="56" t="n">
        <v>44910</v>
      </c>
    </row>
    <row r="898">
      <c r="B898" s="2" t="inlineStr">
        <is>
          <t>CEAAF499AF24</t>
        </is>
      </c>
      <c r="D898" s="65" t="inlineStr">
        <is>
          <t>PR2206-467</t>
        </is>
      </c>
      <c r="E898" t="inlineStr">
        <is>
          <t>HUPAC</t>
        </is>
      </c>
      <c r="F898" t="inlineStr">
        <is>
          <t>CARGO</t>
        </is>
      </c>
      <c r="G898" t="inlineStr">
        <is>
          <t>33 85 4956 673-9</t>
        </is>
      </c>
      <c r="J898" s="56" t="n">
        <v>44910</v>
      </c>
    </row>
    <row r="899">
      <c r="B899" s="2" t="inlineStr">
        <is>
          <t>E144CBC2D0F5</t>
        </is>
      </c>
      <c r="D899" s="65" t="inlineStr">
        <is>
          <t>PR2206-420</t>
        </is>
      </c>
      <c r="E899" t="inlineStr">
        <is>
          <t>HUPAC</t>
        </is>
      </c>
      <c r="F899" t="inlineStr">
        <is>
          <t>CARGO</t>
        </is>
      </c>
      <c r="G899" t="inlineStr">
        <is>
          <t>33 85 4956 673-9</t>
        </is>
      </c>
      <c r="J899" s="56" t="n">
        <v>44910</v>
      </c>
    </row>
    <row r="900">
      <c r="B900" s="2" t="inlineStr">
        <is>
          <t>EFA46ACE4161</t>
        </is>
      </c>
      <c r="D900" s="65" t="inlineStr">
        <is>
          <t>PR2206-502</t>
        </is>
      </c>
      <c r="E900" t="inlineStr">
        <is>
          <t>HUPAC</t>
        </is>
      </c>
      <c r="F900" t="inlineStr">
        <is>
          <t>CARGO</t>
        </is>
      </c>
      <c r="G900" t="inlineStr">
        <is>
          <t>33 85 4511 080-5</t>
        </is>
      </c>
      <c r="J900" s="56" t="n">
        <v>44910</v>
      </c>
    </row>
    <row r="901">
      <c r="B901" s="2" t="inlineStr">
        <is>
          <t>C4E0CA6C6EB3</t>
        </is>
      </c>
      <c r="D901" s="65" t="inlineStr">
        <is>
          <t>PR2206-405</t>
        </is>
      </c>
      <c r="E901" t="inlineStr">
        <is>
          <t>HUPAC</t>
        </is>
      </c>
      <c r="F901" t="inlineStr">
        <is>
          <t>CARGO</t>
        </is>
      </c>
      <c r="G901" t="inlineStr">
        <is>
          <t>33 85 4956 673-9</t>
        </is>
      </c>
      <c r="J901" s="56" t="n">
        <v>44910</v>
      </c>
    </row>
    <row r="902">
      <c r="B902" s="2" t="inlineStr">
        <is>
          <t>CFD6E41D547C</t>
        </is>
      </c>
      <c r="D902" s="65" t="inlineStr">
        <is>
          <t>PR2211-027</t>
        </is>
      </c>
      <c r="E902" t="inlineStr">
        <is>
          <t>HUPAC</t>
        </is>
      </c>
      <c r="F902" t="inlineStr">
        <is>
          <t>CARGO</t>
        </is>
      </c>
      <c r="G902" t="inlineStr">
        <is>
          <t>33 85 4556 814-3</t>
        </is>
      </c>
      <c r="J902" s="56" t="n">
        <v>44910</v>
      </c>
    </row>
    <row r="903">
      <c r="B903" s="2" t="inlineStr">
        <is>
          <t>D34B1ACF7C99</t>
        </is>
      </c>
      <c r="D903" s="65" t="inlineStr">
        <is>
          <t>PR2203-252</t>
        </is>
      </c>
      <c r="E903" t="inlineStr">
        <is>
          <t>HUPAC</t>
        </is>
      </c>
      <c r="F903" t="inlineStr">
        <is>
          <t>CARGO</t>
        </is>
      </c>
      <c r="G903" t="inlineStr">
        <is>
          <t>33 85 4556 814-3</t>
        </is>
      </c>
      <c r="J903" s="56" t="n">
        <v>44910</v>
      </c>
    </row>
    <row r="904">
      <c r="B904" s="2" t="inlineStr">
        <is>
          <t>C3A70416FBDB</t>
        </is>
      </c>
      <c r="D904" s="65" t="inlineStr">
        <is>
          <t>PR2203-160</t>
        </is>
      </c>
      <c r="E904" t="inlineStr">
        <is>
          <t>HUPAC</t>
        </is>
      </c>
      <c r="F904" t="inlineStr">
        <is>
          <t>CARGO</t>
        </is>
      </c>
      <c r="G904" t="inlineStr">
        <is>
          <t>33 85 4556 814-3</t>
        </is>
      </c>
      <c r="J904" s="56" t="n">
        <v>44910</v>
      </c>
    </row>
    <row r="905">
      <c r="B905" s="2" t="inlineStr">
        <is>
          <t>C04AA3F2408E</t>
        </is>
      </c>
      <c r="D905" s="65" t="inlineStr">
        <is>
          <t>PR2206-574</t>
        </is>
      </c>
      <c r="E905" t="inlineStr">
        <is>
          <t>HUPAC</t>
        </is>
      </c>
      <c r="F905" t="inlineStr">
        <is>
          <t>CARGO</t>
        </is>
      </c>
      <c r="G905" t="inlineStr">
        <is>
          <t>33 85 4506 221-2</t>
        </is>
      </c>
      <c r="J905" s="56" t="n">
        <v>44910</v>
      </c>
    </row>
    <row r="906">
      <c r="B906" s="2" t="inlineStr">
        <is>
          <t>F9BDA3A5B702</t>
        </is>
      </c>
      <c r="D906" s="65" t="inlineStr">
        <is>
          <t>PR2206-453</t>
        </is>
      </c>
      <c r="E906" t="inlineStr">
        <is>
          <t>HUPAC</t>
        </is>
      </c>
      <c r="F906" t="inlineStr">
        <is>
          <t>CARGO</t>
        </is>
      </c>
      <c r="G906" t="inlineStr">
        <is>
          <t>33 85 4956 710-9</t>
        </is>
      </c>
      <c r="J906" s="56" t="n">
        <v>44910</v>
      </c>
    </row>
    <row r="907">
      <c r="B907" s="2" t="inlineStr">
        <is>
          <t>CF70EBAC3092</t>
        </is>
      </c>
      <c r="D907" s="65" t="inlineStr">
        <is>
          <t>PR2206-463</t>
        </is>
      </c>
      <c r="E907" t="inlineStr">
        <is>
          <t>HUPAC</t>
        </is>
      </c>
      <c r="F907" t="inlineStr">
        <is>
          <t>CARGO</t>
        </is>
      </c>
      <c r="G907" t="inlineStr">
        <is>
          <t>33 85 4956 710-9</t>
        </is>
      </c>
      <c r="J907" s="56" t="n">
        <v>44910</v>
      </c>
    </row>
    <row r="908">
      <c r="B908" s="2" t="inlineStr">
        <is>
          <t>D66724A61644</t>
        </is>
      </c>
      <c r="D908" s="65" t="inlineStr">
        <is>
          <t>PR2206-417</t>
        </is>
      </c>
      <c r="E908" t="inlineStr">
        <is>
          <t>HUPAC</t>
        </is>
      </c>
      <c r="F908" t="inlineStr">
        <is>
          <t>CARGO</t>
        </is>
      </c>
      <c r="G908" t="inlineStr">
        <is>
          <t>33 85 4956 673-9</t>
        </is>
      </c>
      <c r="J908" s="56" t="n">
        <v>44910</v>
      </c>
    </row>
    <row r="909">
      <c r="B909" s="2" t="inlineStr">
        <is>
          <t>DB44F9BC9563</t>
        </is>
      </c>
      <c r="D909" s="65" t="inlineStr">
        <is>
          <t>PR2206-535</t>
        </is>
      </c>
      <c r="E909" t="inlineStr">
        <is>
          <t>HUPAC</t>
        </is>
      </c>
      <c r="F909" t="inlineStr">
        <is>
          <t>CARGO</t>
        </is>
      </c>
      <c r="G909" t="inlineStr">
        <is>
          <t>33 85 4956 710-9</t>
        </is>
      </c>
      <c r="J909" s="56" t="n">
        <v>44910</v>
      </c>
    </row>
    <row r="910">
      <c r="B910" s="2" t="inlineStr">
        <is>
          <t>F8EFC923996E</t>
        </is>
      </c>
      <c r="D910" s="65" t="inlineStr">
        <is>
          <t>PR2203-438</t>
        </is>
      </c>
      <c r="E910" t="inlineStr">
        <is>
          <t>HUPAC</t>
        </is>
      </c>
      <c r="F910" t="inlineStr">
        <is>
          <t>CARGO</t>
        </is>
      </c>
      <c r="G910" t="inlineStr">
        <is>
          <t xml:space="preserve">33 85 4956 699-4 </t>
        </is>
      </c>
      <c r="J910" s="56" t="n">
        <v>44910</v>
      </c>
    </row>
    <row r="911">
      <c r="B911" s="2" t="inlineStr">
        <is>
          <t>EF5822E01AF2</t>
        </is>
      </c>
      <c r="D911" s="65" t="inlineStr">
        <is>
          <t>PR2203-476</t>
        </is>
      </c>
      <c r="E911" t="inlineStr">
        <is>
          <t>HUPAC</t>
        </is>
      </c>
      <c r="F911" t="inlineStr">
        <is>
          <t>CARGO</t>
        </is>
      </c>
      <c r="G911" t="inlineStr">
        <is>
          <t>33 85 4956 710-9</t>
        </is>
      </c>
      <c r="J911" s="56" t="n">
        <v>44910</v>
      </c>
    </row>
    <row r="912">
      <c r="B912" s="2" t="inlineStr">
        <is>
          <t>DADFF84D64F2</t>
        </is>
      </c>
      <c r="D912" s="65" t="inlineStr">
        <is>
          <t>PR2203-300</t>
        </is>
      </c>
      <c r="E912" t="inlineStr">
        <is>
          <t>HUPAC</t>
        </is>
      </c>
      <c r="F912" t="inlineStr">
        <is>
          <t>CARGO</t>
        </is>
      </c>
      <c r="G912" t="inlineStr">
        <is>
          <t>33 85 4956 673-9</t>
        </is>
      </c>
      <c r="J912" s="56" t="n">
        <v>44910</v>
      </c>
    </row>
    <row r="913">
      <c r="B913" s="2" t="inlineStr">
        <is>
          <t>DC408DAC71C3</t>
        </is>
      </c>
      <c r="D913" s="65" t="inlineStr">
        <is>
          <t>PR2206-575</t>
        </is>
      </c>
      <c r="E913" t="inlineStr">
        <is>
          <t>HUPAC</t>
        </is>
      </c>
      <c r="F913" t="inlineStr">
        <is>
          <t>CARGO</t>
        </is>
      </c>
      <c r="G913" t="inlineStr">
        <is>
          <t>33 85 4556 814-3</t>
        </is>
      </c>
      <c r="J913" s="56" t="n">
        <v>44910</v>
      </c>
    </row>
    <row r="914">
      <c r="B914" s="2" t="inlineStr">
        <is>
          <t>CE2CA30AC1A5</t>
        </is>
      </c>
      <c r="D914" s="65" t="inlineStr">
        <is>
          <t>PR2206-490</t>
        </is>
      </c>
      <c r="E914" t="inlineStr">
        <is>
          <t>HUPAC</t>
        </is>
      </c>
      <c r="F914" t="inlineStr">
        <is>
          <t>CARGO</t>
        </is>
      </c>
      <c r="G914" t="inlineStr">
        <is>
          <t>33 85 4506 221-2</t>
        </is>
      </c>
      <c r="J914" s="56" t="n">
        <v>44910</v>
      </c>
    </row>
    <row r="915">
      <c r="B915" s="2" t="inlineStr">
        <is>
          <t>C88B6AE82333</t>
        </is>
      </c>
      <c r="D915" s="65" t="inlineStr">
        <is>
          <t>PR2206-465</t>
        </is>
      </c>
      <c r="E915" t="inlineStr">
        <is>
          <t>HUPAC</t>
        </is>
      </c>
      <c r="F915" t="inlineStr">
        <is>
          <t>CARGO</t>
        </is>
      </c>
      <c r="G915" t="inlineStr">
        <is>
          <t>33 85 4956 673-9</t>
        </is>
      </c>
      <c r="J915" s="56" t="n">
        <v>44910</v>
      </c>
    </row>
    <row r="916">
      <c r="B916" s="2" t="inlineStr">
        <is>
          <t>D3038BFE171D</t>
        </is>
      </c>
      <c r="D916" s="65" t="inlineStr">
        <is>
          <t>PR2203-368</t>
        </is>
      </c>
      <c r="E916" t="inlineStr">
        <is>
          <t>HUPAC</t>
        </is>
      </c>
      <c r="F916" t="inlineStr">
        <is>
          <t>CARGO</t>
        </is>
      </c>
      <c r="G916" t="inlineStr">
        <is>
          <t>33 85 4511 080-5</t>
        </is>
      </c>
      <c r="J916" s="56" t="n">
        <v>44910</v>
      </c>
    </row>
    <row r="917">
      <c r="B917" s="2" t="inlineStr">
        <is>
          <t>C3D3A10A9E9B</t>
        </is>
      </c>
      <c r="D917" s="25" t="inlineStr">
        <is>
          <t>PR2206-411</t>
        </is>
      </c>
      <c r="E917" t="inlineStr">
        <is>
          <t>RIOTINTO</t>
        </is>
      </c>
      <c r="F917" t="inlineStr">
        <is>
          <t>R</t>
        </is>
      </c>
      <c r="G917" t="inlineStr">
        <is>
          <t>ner ubidotse</t>
        </is>
      </c>
      <c r="J917" s="56" t="n">
        <v>44953</v>
      </c>
    </row>
    <row r="918">
      <c r="B918" s="2" t="inlineStr">
        <is>
          <t>EE4CD8993A29</t>
        </is>
      </c>
      <c r="D918" s="64" t="inlineStr">
        <is>
          <t>PR2203-185</t>
        </is>
      </c>
      <c r="E918" t="inlineStr">
        <is>
          <t>FERTAGUS</t>
        </is>
      </c>
      <c r="F918" t="inlineStr">
        <is>
          <t>R</t>
        </is>
      </c>
      <c r="G918" t="inlineStr">
        <is>
          <t>M3555</t>
        </is>
      </c>
      <c r="J918" t="inlineStr">
        <is>
          <t>2022/12</t>
        </is>
      </c>
    </row>
    <row r="919">
      <c r="B919" s="2" t="inlineStr">
        <is>
          <t>DCE99A586080</t>
        </is>
      </c>
      <c r="D919" s="64" t="inlineStr">
        <is>
          <t>PR2201-054</t>
        </is>
      </c>
      <c r="E919" t="inlineStr">
        <is>
          <t>FERTAGUS</t>
        </is>
      </c>
      <c r="F919" t="inlineStr">
        <is>
          <t>R</t>
        </is>
      </c>
      <c r="G919" t="inlineStr">
        <is>
          <t>M3505</t>
        </is>
      </c>
      <c r="J919" t="inlineStr">
        <is>
          <t>2022/12</t>
        </is>
      </c>
    </row>
    <row r="920">
      <c r="B920" s="2" t="inlineStr">
        <is>
          <t>D06E5B3AB7F7</t>
        </is>
      </c>
      <c r="D920" t="inlineStr">
        <is>
          <t>PR2203-115</t>
        </is>
      </c>
      <c r="E920" t="inlineStr">
        <is>
          <t>RIOTINTO</t>
        </is>
      </c>
      <c r="F920" t="inlineStr">
        <is>
          <t>R</t>
        </is>
      </c>
      <c r="J920" s="56" t="n">
        <v>44953</v>
      </c>
    </row>
    <row r="921">
      <c r="B921" s="2" t="inlineStr">
        <is>
          <t>FA2F2CC8CA8A</t>
        </is>
      </c>
      <c r="D921" t="inlineStr">
        <is>
          <t>PR2203-317</t>
        </is>
      </c>
      <c r="E921" t="inlineStr">
        <is>
          <t>RIOTINTO</t>
        </is>
      </c>
      <c r="F921" t="inlineStr">
        <is>
          <t>R</t>
        </is>
      </c>
      <c r="J921" s="56" t="n">
        <v>44953</v>
      </c>
    </row>
    <row r="922">
      <c r="B922" s="2" t="inlineStr">
        <is>
          <t>D738117799A4</t>
        </is>
      </c>
      <c r="D922" s="64" t="inlineStr">
        <is>
          <t>PR2211-017</t>
        </is>
      </c>
      <c r="E922" t="inlineStr">
        <is>
          <t>FERTAGUS</t>
        </is>
      </c>
      <c r="F922" t="inlineStr">
        <is>
          <t>R</t>
        </is>
      </c>
      <c r="G922" t="inlineStr">
        <is>
          <t>M3505</t>
        </is>
      </c>
      <c r="J922" t="inlineStr">
        <is>
          <t>2022/12</t>
        </is>
      </c>
    </row>
    <row r="923">
      <c r="B923" s="2" t="inlineStr">
        <is>
          <t>D9A3CC514029</t>
        </is>
      </c>
      <c r="D923" t="inlineStr">
        <is>
          <t>PR2203-221</t>
        </is>
      </c>
      <c r="E923" t="inlineStr">
        <is>
          <t>RIOTINTO</t>
        </is>
      </c>
      <c r="F923" t="inlineStr">
        <is>
          <t>R</t>
        </is>
      </c>
      <c r="J923" s="56" t="n">
        <v>44953</v>
      </c>
    </row>
    <row r="924">
      <c r="B924" s="2" t="inlineStr">
        <is>
          <t>E33D0DF829D4</t>
        </is>
      </c>
      <c r="D924" s="64" t="inlineStr">
        <is>
          <t>PR2206-525</t>
        </is>
      </c>
      <c r="E924" t="inlineStr">
        <is>
          <t>FERTAGUS</t>
        </is>
      </c>
      <c r="F924" t="inlineStr">
        <is>
          <t>R</t>
        </is>
      </c>
      <c r="G924" t="inlineStr">
        <is>
          <t>M3555</t>
        </is>
      </c>
      <c r="J924" t="inlineStr">
        <is>
          <t>2022/12</t>
        </is>
      </c>
    </row>
    <row r="925">
      <c r="B925" s="2" t="inlineStr">
        <is>
          <t>EEBDD52BEEEE</t>
        </is>
      </c>
      <c r="D925" s="64" t="inlineStr">
        <is>
          <t>PR2206-418</t>
        </is>
      </c>
      <c r="E925" t="inlineStr">
        <is>
          <t>FERTAGUS</t>
        </is>
      </c>
      <c r="F925" t="inlineStr">
        <is>
          <t>R</t>
        </is>
      </c>
      <c r="G925" t="inlineStr">
        <is>
          <t>R3555</t>
        </is>
      </c>
      <c r="J925" t="inlineStr">
        <is>
          <t>2022/12</t>
        </is>
      </c>
    </row>
    <row r="926">
      <c r="B926" s="2" t="inlineStr">
        <is>
          <t>C7A3930AA5FA</t>
        </is>
      </c>
      <c r="D926" s="64" t="inlineStr">
        <is>
          <t>PR2211-016</t>
        </is>
      </c>
      <c r="E926" t="inlineStr">
        <is>
          <t>FERTAGUS</t>
        </is>
      </c>
      <c r="F926" t="inlineStr">
        <is>
          <t>R</t>
        </is>
      </c>
      <c r="G926" t="inlineStr">
        <is>
          <t>R3505</t>
        </is>
      </c>
      <c r="J926" t="inlineStr">
        <is>
          <t>2022/12</t>
        </is>
      </c>
    </row>
    <row r="927">
      <c r="B927" s="2" t="inlineStr">
        <is>
          <t>C521A9816032</t>
        </is>
      </c>
      <c r="D927" s="64" t="inlineStr">
        <is>
          <t>PR2203-318</t>
        </is>
      </c>
      <c r="E927" t="inlineStr">
        <is>
          <t>FERTAGUS</t>
        </is>
      </c>
      <c r="F927" t="inlineStr">
        <is>
          <t>R</t>
        </is>
      </c>
      <c r="G927" t="inlineStr">
        <is>
          <t>M3555</t>
        </is>
      </c>
      <c r="J927" t="inlineStr">
        <is>
          <t>2022/12</t>
        </is>
      </c>
    </row>
    <row r="928">
      <c r="B928" s="2" t="inlineStr">
        <is>
          <t>C991723DFECD</t>
        </is>
      </c>
      <c r="D928" s="64" t="inlineStr">
        <is>
          <t>PR2203-415</t>
        </is>
      </c>
      <c r="E928" t="inlineStr">
        <is>
          <t>FERTAGUS</t>
        </is>
      </c>
      <c r="F928" t="inlineStr">
        <is>
          <t>R</t>
        </is>
      </c>
      <c r="G928" t="inlineStr">
        <is>
          <t>R3555</t>
        </is>
      </c>
      <c r="J928" t="inlineStr">
        <is>
          <t>2022/12</t>
        </is>
      </c>
    </row>
    <row r="929">
      <c r="B929" s="2" t="inlineStr">
        <is>
          <t>E57788FBA153</t>
        </is>
      </c>
      <c r="D929" t="inlineStr">
        <is>
          <t>PR2206-438</t>
        </is>
      </c>
      <c r="E929" t="inlineStr">
        <is>
          <t>RIOTINTO</t>
        </is>
      </c>
      <c r="F929" t="inlineStr">
        <is>
          <t>R</t>
        </is>
      </c>
      <c r="J929" s="56" t="n">
        <v>44953</v>
      </c>
    </row>
    <row r="930">
      <c r="B930" s="2" t="inlineStr">
        <is>
          <t>D63E5D44BA8E</t>
        </is>
      </c>
      <c r="D930" s="64" t="inlineStr">
        <is>
          <t>PR2206-427</t>
        </is>
      </c>
      <c r="E930" t="inlineStr">
        <is>
          <t>FERTAGUS</t>
        </is>
      </c>
      <c r="F930" t="inlineStr">
        <is>
          <t>R</t>
        </is>
      </c>
      <c r="G930" t="inlineStr">
        <is>
          <t>R3555</t>
        </is>
      </c>
      <c r="J930" t="inlineStr">
        <is>
          <t>2022/12</t>
        </is>
      </c>
    </row>
    <row r="931">
      <c r="B931" s="2" t="inlineStr">
        <is>
          <t>DF5C83C0107F</t>
        </is>
      </c>
      <c r="D931" t="inlineStr">
        <is>
          <t>PR2211-012</t>
        </is>
      </c>
      <c r="E931" t="inlineStr">
        <is>
          <t>RIOTINTO</t>
        </is>
      </c>
      <c r="F931" t="inlineStr">
        <is>
          <t>R</t>
        </is>
      </c>
      <c r="J931" s="56" t="n">
        <v>44953</v>
      </c>
    </row>
    <row r="932">
      <c r="B932" s="2" t="inlineStr">
        <is>
          <t>FE53BDE4F741</t>
        </is>
      </c>
      <c r="D932" t="inlineStr">
        <is>
          <t>PR2203-345</t>
        </is>
      </c>
      <c r="E932" t="inlineStr">
        <is>
          <t>RIOTINTO</t>
        </is>
      </c>
      <c r="F932" t="inlineStr">
        <is>
          <t>R</t>
        </is>
      </c>
      <c r="J932" s="56" t="n">
        <v>44953</v>
      </c>
    </row>
    <row r="933">
      <c r="B933" s="2" t="inlineStr">
        <is>
          <t>E23733BE9036</t>
        </is>
      </c>
      <c r="D933" s="64" t="inlineStr">
        <is>
          <t>PR2203-230</t>
        </is>
      </c>
      <c r="E933" t="inlineStr">
        <is>
          <t>FERTAGUS</t>
        </is>
      </c>
      <c r="F933" t="inlineStr">
        <is>
          <t>R</t>
        </is>
      </c>
      <c r="G933" t="inlineStr">
        <is>
          <t>R3505</t>
        </is>
      </c>
      <c r="J933" t="inlineStr">
        <is>
          <t>2022/12</t>
        </is>
      </c>
    </row>
    <row r="934">
      <c r="B934" s="2" t="inlineStr">
        <is>
          <t>C380CC5B9377</t>
        </is>
      </c>
      <c r="D934" s="64" t="inlineStr">
        <is>
          <t>PR2203-167</t>
        </is>
      </c>
      <c r="E934" t="inlineStr">
        <is>
          <t>FERTAGUS</t>
        </is>
      </c>
      <c r="F934" t="inlineStr">
        <is>
          <t>R</t>
        </is>
      </c>
      <c r="G934" t="inlineStr">
        <is>
          <t>M3555</t>
        </is>
      </c>
      <c r="J934" t="inlineStr">
        <is>
          <t>2022/12</t>
        </is>
      </c>
    </row>
    <row r="935">
      <c r="B935" s="2" t="inlineStr">
        <is>
          <t>E973D00C518B</t>
        </is>
      </c>
      <c r="D935" s="64" t="inlineStr">
        <is>
          <t>PR2206-398</t>
        </is>
      </c>
      <c r="E935" t="inlineStr">
        <is>
          <t>FERTAGUS</t>
        </is>
      </c>
      <c r="F935" t="inlineStr">
        <is>
          <t>R</t>
        </is>
      </c>
      <c r="G935" t="inlineStr">
        <is>
          <t>R3555</t>
        </is>
      </c>
      <c r="J935" t="inlineStr">
        <is>
          <t>2022/12</t>
        </is>
      </c>
    </row>
    <row r="936">
      <c r="B936" s="2" t="inlineStr">
        <is>
          <t>D3B26480B027</t>
        </is>
      </c>
      <c r="D936" s="64" t="inlineStr">
        <is>
          <t>PR2206-400</t>
        </is>
      </c>
      <c r="E936" t="inlineStr">
        <is>
          <t>FERTAGUS</t>
        </is>
      </c>
      <c r="F936" t="inlineStr">
        <is>
          <t>L</t>
        </is>
      </c>
      <c r="G936" t="inlineStr">
        <is>
          <t>R3555</t>
        </is>
      </c>
      <c r="J936" t="inlineStr">
        <is>
          <t>2022/12</t>
        </is>
      </c>
    </row>
    <row r="937">
      <c r="B937" s="2" t="inlineStr">
        <is>
          <t>E180C6F0A4A1</t>
        </is>
      </c>
      <c r="D937" s="64" t="inlineStr">
        <is>
          <t>PR2206-570</t>
        </is>
      </c>
      <c r="E937" t="inlineStr">
        <is>
          <t>FERTAGUS</t>
        </is>
      </c>
      <c r="F937" t="inlineStr">
        <is>
          <t>L</t>
        </is>
      </c>
      <c r="G937" t="inlineStr">
        <is>
          <t>R3555</t>
        </is>
      </c>
      <c r="J937" t="inlineStr">
        <is>
          <t>2022/12</t>
        </is>
      </c>
    </row>
    <row r="938">
      <c r="B938" s="2" t="inlineStr">
        <is>
          <t>E5A01B4B7AB0</t>
        </is>
      </c>
      <c r="D938" s="64" t="inlineStr">
        <is>
          <t>PR2203-401</t>
        </is>
      </c>
      <c r="E938" t="inlineStr">
        <is>
          <t>FERTAGUS</t>
        </is>
      </c>
      <c r="F938" t="inlineStr">
        <is>
          <t>L</t>
        </is>
      </c>
      <c r="G938" t="inlineStr">
        <is>
          <t>R3505</t>
        </is>
      </c>
      <c r="J938" t="inlineStr">
        <is>
          <t>2022/12</t>
        </is>
      </c>
    </row>
    <row r="939">
      <c r="B939" s="2" t="inlineStr">
        <is>
          <t>FC6A3C6B9EF8</t>
        </is>
      </c>
      <c r="D939" s="64" t="inlineStr">
        <is>
          <t>PR2206-442</t>
        </is>
      </c>
      <c r="E939" t="inlineStr">
        <is>
          <t>FERTAGUS</t>
        </is>
      </c>
      <c r="F939" t="inlineStr">
        <is>
          <t>L</t>
        </is>
      </c>
      <c r="G939" t="inlineStr">
        <is>
          <t>M3555</t>
        </is>
      </c>
      <c r="J939" t="inlineStr">
        <is>
          <t>2022/12</t>
        </is>
      </c>
    </row>
    <row r="940">
      <c r="B940" s="2" t="inlineStr">
        <is>
          <t>C6F6BFC82FDD</t>
        </is>
      </c>
      <c r="D940" s="64" t="inlineStr">
        <is>
          <t>PR2206-531</t>
        </is>
      </c>
      <c r="E940" t="inlineStr">
        <is>
          <t>FERTAGUS</t>
        </is>
      </c>
      <c r="F940" t="inlineStr">
        <is>
          <t>L</t>
        </is>
      </c>
      <c r="G940" t="inlineStr">
        <is>
          <t>M3555</t>
        </is>
      </c>
      <c r="J940" t="inlineStr">
        <is>
          <t>2022/12</t>
        </is>
      </c>
    </row>
    <row r="941">
      <c r="B941" s="2" t="inlineStr">
        <is>
          <t>C7F75F56C496</t>
        </is>
      </c>
      <c r="D941" s="64" t="inlineStr">
        <is>
          <t>PR2203-361</t>
        </is>
      </c>
      <c r="E941" t="inlineStr">
        <is>
          <t>FERTAGUS</t>
        </is>
      </c>
      <c r="F941" t="inlineStr">
        <is>
          <t>L</t>
        </is>
      </c>
      <c r="G941" t="inlineStr">
        <is>
          <t>M3505</t>
        </is>
      </c>
      <c r="J941" t="inlineStr">
        <is>
          <t>2022/12</t>
        </is>
      </c>
    </row>
    <row r="942">
      <c r="B942" s="2" t="inlineStr">
        <is>
          <t>EE9604A72CC8</t>
        </is>
      </c>
      <c r="D942" s="64" t="inlineStr">
        <is>
          <t>PR2203-033</t>
        </is>
      </c>
      <c r="E942" t="inlineStr">
        <is>
          <t>FERTAGUS</t>
        </is>
      </c>
      <c r="F942" t="inlineStr">
        <is>
          <t>L</t>
        </is>
      </c>
      <c r="G942" t="inlineStr">
        <is>
          <t>M3505</t>
        </is>
      </c>
      <c r="J942" t="inlineStr">
        <is>
          <t>2022/12</t>
        </is>
      </c>
    </row>
    <row r="943">
      <c r="B943" s="2" t="inlineStr">
        <is>
          <t>EFE67569A6C7</t>
        </is>
      </c>
      <c r="D943" s="64" t="inlineStr">
        <is>
          <t>PR2206-493</t>
        </is>
      </c>
      <c r="E943" t="inlineStr">
        <is>
          <t>FERTAGUS</t>
        </is>
      </c>
      <c r="F943" t="inlineStr">
        <is>
          <t>L</t>
        </is>
      </c>
      <c r="G943" t="inlineStr">
        <is>
          <t>R3505</t>
        </is>
      </c>
      <c r="J943" t="inlineStr">
        <is>
          <t>2022/12</t>
        </is>
      </c>
    </row>
    <row r="944">
      <c r="B944" s="2" t="inlineStr">
        <is>
          <t>DF7B077B976F</t>
        </is>
      </c>
      <c r="D944" s="64" t="inlineStr">
        <is>
          <t>PR2211-009</t>
        </is>
      </c>
      <c r="E944" t="inlineStr">
        <is>
          <t>FERTAGUS</t>
        </is>
      </c>
      <c r="F944" t="inlineStr">
        <is>
          <t>L</t>
        </is>
      </c>
      <c r="G944" t="inlineStr">
        <is>
          <t>R3555</t>
        </is>
      </c>
      <c r="J944" t="inlineStr">
        <is>
          <t>2022/12</t>
        </is>
      </c>
    </row>
    <row r="945">
      <c r="B945" s="2" t="inlineStr">
        <is>
          <t>D1EE6787A5D5</t>
        </is>
      </c>
      <c r="D945" s="64" t="inlineStr">
        <is>
          <t>PR2206-489</t>
        </is>
      </c>
      <c r="E945" t="inlineStr">
        <is>
          <t>FERTAGUS</t>
        </is>
      </c>
      <c r="F945" t="inlineStr">
        <is>
          <t>L</t>
        </is>
      </c>
      <c r="G945" t="inlineStr">
        <is>
          <t>R3505</t>
        </is>
      </c>
      <c r="J945" t="inlineStr">
        <is>
          <t>2022/12</t>
        </is>
      </c>
    </row>
    <row r="946">
      <c r="B946" s="2" t="inlineStr">
        <is>
          <t>F2C74C43CE11</t>
        </is>
      </c>
      <c r="D946" s="64" t="inlineStr">
        <is>
          <t>PR2211-025</t>
        </is>
      </c>
      <c r="E946" t="inlineStr">
        <is>
          <t>FERTAGUS</t>
        </is>
      </c>
      <c r="F946" t="inlineStr">
        <is>
          <t>L</t>
        </is>
      </c>
      <c r="G946" t="inlineStr">
        <is>
          <t>R3505</t>
        </is>
      </c>
      <c r="J946" t="inlineStr">
        <is>
          <t>2022/12</t>
        </is>
      </c>
    </row>
    <row r="947">
      <c r="B947" s="2" t="inlineStr">
        <is>
          <t>CA9C77375F6E</t>
        </is>
      </c>
      <c r="D947" s="64" t="inlineStr">
        <is>
          <t>PR2203-310</t>
        </is>
      </c>
      <c r="E947" t="inlineStr">
        <is>
          <t>FERTAGUS</t>
        </is>
      </c>
      <c r="F947" t="inlineStr">
        <is>
          <t>L</t>
        </is>
      </c>
      <c r="G947" t="inlineStr">
        <is>
          <t>M3505</t>
        </is>
      </c>
      <c r="J947" t="inlineStr">
        <is>
          <t>2022/12</t>
        </is>
      </c>
    </row>
    <row r="948">
      <c r="B948" s="2" t="inlineStr">
        <is>
          <t>EAA16AAC7801</t>
        </is>
      </c>
      <c r="D948" s="64" t="inlineStr">
        <is>
          <t>PR2206-564</t>
        </is>
      </c>
      <c r="E948" t="inlineStr">
        <is>
          <t>FERTAGUS</t>
        </is>
      </c>
      <c r="F948" t="inlineStr">
        <is>
          <t>L</t>
        </is>
      </c>
      <c r="G948" t="inlineStr">
        <is>
          <t>M3505</t>
        </is>
      </c>
      <c r="J948" t="inlineStr">
        <is>
          <t>2022/12</t>
        </is>
      </c>
    </row>
    <row r="949">
      <c r="B949" s="2" t="inlineStr">
        <is>
          <t>CAC518F4F81D</t>
        </is>
      </c>
      <c r="D949" s="64" t="inlineStr">
        <is>
          <t>PR2206-503</t>
        </is>
      </c>
      <c r="E949" t="inlineStr">
        <is>
          <t>FERTAGUS</t>
        </is>
      </c>
      <c r="F949" t="inlineStr">
        <is>
          <t>L</t>
        </is>
      </c>
      <c r="G949" t="inlineStr">
        <is>
          <t>M3505</t>
        </is>
      </c>
      <c r="J949" t="inlineStr">
        <is>
          <t>2022/12</t>
        </is>
      </c>
    </row>
    <row r="950">
      <c r="B950" s="2" t="inlineStr">
        <is>
          <t>C52F5E4AE9F6</t>
        </is>
      </c>
      <c r="D950" s="64" t="inlineStr">
        <is>
          <t>PR2211-007</t>
        </is>
      </c>
      <c r="E950" t="inlineStr">
        <is>
          <t>FERTAGUS</t>
        </is>
      </c>
      <c r="F950" t="inlineStr">
        <is>
          <t>L</t>
        </is>
      </c>
      <c r="G950" t="inlineStr">
        <is>
          <t>M3555</t>
        </is>
      </c>
      <c r="J950" t="inlineStr">
        <is>
          <t>2022/12</t>
        </is>
      </c>
    </row>
    <row r="951">
      <c r="B951" s="2" t="inlineStr">
        <is>
          <t>F31133663539</t>
        </is>
      </c>
      <c r="D951" s="64" t="inlineStr">
        <is>
          <t>PR2206-585</t>
        </is>
      </c>
      <c r="E951" t="inlineStr">
        <is>
          <t>FERTAGUS</t>
        </is>
      </c>
      <c r="F951" t="inlineStr">
        <is>
          <t>L</t>
        </is>
      </c>
      <c r="G951" t="inlineStr">
        <is>
          <t>M3555</t>
        </is>
      </c>
      <c r="J951" t="inlineStr">
        <is>
          <t>2022/12</t>
        </is>
      </c>
    </row>
    <row r="952">
      <c r="B952" s="2" t="inlineStr">
        <is>
          <t>F4AD18404344</t>
        </is>
      </c>
      <c r="D952" s="64" t="inlineStr">
        <is>
          <t>PR2203-414</t>
        </is>
      </c>
      <c r="E952" t="inlineStr">
        <is>
          <t>FERTAGUS</t>
        </is>
      </c>
      <c r="F952" t="inlineStr">
        <is>
          <t>L</t>
        </is>
      </c>
      <c r="G952" t="inlineStr">
        <is>
          <t>R3505</t>
        </is>
      </c>
      <c r="J952" t="inlineStr">
        <is>
          <t>2022/12</t>
        </is>
      </c>
    </row>
    <row r="953">
      <c r="B953" s="2" t="inlineStr">
        <is>
          <t>DAC47CDDC874</t>
        </is>
      </c>
      <c r="D953" s="64" t="inlineStr">
        <is>
          <t>PR2206-416</t>
        </is>
      </c>
      <c r="E953" t="inlineStr">
        <is>
          <t>FERTAGUS</t>
        </is>
      </c>
      <c r="F953" t="inlineStr">
        <is>
          <t>L</t>
        </is>
      </c>
      <c r="G953" t="inlineStr">
        <is>
          <t>M3505</t>
        </is>
      </c>
      <c r="J953" t="inlineStr">
        <is>
          <t>2022/12</t>
        </is>
      </c>
    </row>
    <row r="954">
      <c r="B954" s="2" t="inlineStr">
        <is>
          <t>EFE40A8C2BA8</t>
        </is>
      </c>
      <c r="D954" s="64" t="inlineStr">
        <is>
          <t>PR2206-443</t>
        </is>
      </c>
      <c r="E954" t="inlineStr">
        <is>
          <t>FERTAGUS</t>
        </is>
      </c>
      <c r="F954" t="inlineStr">
        <is>
          <t>L</t>
        </is>
      </c>
      <c r="G954" t="inlineStr">
        <is>
          <t>R3505</t>
        </is>
      </c>
      <c r="J954" t="inlineStr">
        <is>
          <t>2022/12</t>
        </is>
      </c>
    </row>
    <row r="955">
      <c r="B955" s="2" t="inlineStr">
        <is>
          <t>C64033A968CD</t>
        </is>
      </c>
      <c r="D955" s="64" t="inlineStr">
        <is>
          <t>PR2206-464</t>
        </is>
      </c>
      <c r="E955" t="inlineStr">
        <is>
          <t>FERTAGUS</t>
        </is>
      </c>
      <c r="F955" t="inlineStr">
        <is>
          <t>L</t>
        </is>
      </c>
      <c r="G955" t="inlineStr">
        <is>
          <t>R3555</t>
        </is>
      </c>
      <c r="J955" t="inlineStr">
        <is>
          <t>2022/12</t>
        </is>
      </c>
    </row>
    <row r="956">
      <c r="B956" s="2" t="inlineStr">
        <is>
          <t>E36D6628F3D6</t>
        </is>
      </c>
      <c r="D956" t="inlineStr">
        <is>
          <t>PR2203-358</t>
        </is>
      </c>
      <c r="E956" t="inlineStr">
        <is>
          <t>RIOTINTO</t>
        </is>
      </c>
      <c r="F956" t="inlineStr">
        <is>
          <t>CARGO</t>
        </is>
      </c>
      <c r="J956" s="56" t="n">
        <v>44953</v>
      </c>
    </row>
    <row r="957">
      <c r="B957" s="2" t="inlineStr">
        <is>
          <t>CA7733FE6F86</t>
        </is>
      </c>
      <c r="D957" t="inlineStr">
        <is>
          <t>PR2206-485</t>
        </is>
      </c>
      <c r="E957" t="inlineStr">
        <is>
          <t>RIOTINTO</t>
        </is>
      </c>
      <c r="F957" t="inlineStr">
        <is>
          <t>CARGO</t>
        </is>
      </c>
      <c r="J957" s="56" t="n">
        <v>44953</v>
      </c>
    </row>
    <row r="958">
      <c r="B958" s="2" t="inlineStr">
        <is>
          <t>F51A0607DF34</t>
        </is>
      </c>
      <c r="D958" t="inlineStr">
        <is>
          <t>PR2211-029</t>
        </is>
      </c>
      <c r="E958" t="inlineStr">
        <is>
          <t>RIOTINTO</t>
        </is>
      </c>
      <c r="F958" t="inlineStr">
        <is>
          <t>CARGO</t>
        </is>
      </c>
      <c r="J958" s="56" t="n">
        <v>44953</v>
      </c>
    </row>
    <row r="959">
      <c r="B959" s="2" t="inlineStr">
        <is>
          <t>EB9E86D599B3</t>
        </is>
      </c>
      <c r="D959" t="inlineStr">
        <is>
          <t>PR2211-001</t>
        </is>
      </c>
      <c r="E959" t="inlineStr">
        <is>
          <t>RIOTINTO</t>
        </is>
      </c>
      <c r="F959" t="inlineStr">
        <is>
          <t>CARGO</t>
        </is>
      </c>
      <c r="J959" s="56" t="n">
        <v>44953</v>
      </c>
    </row>
    <row r="960">
      <c r="B960" s="2" t="inlineStr">
        <is>
          <t>DCB6CC870AC3</t>
        </is>
      </c>
      <c r="D960" t="inlineStr">
        <is>
          <t>PR2203-484</t>
        </is>
      </c>
      <c r="E960" t="inlineStr">
        <is>
          <t>RIOTINTO</t>
        </is>
      </c>
      <c r="F960" t="inlineStr">
        <is>
          <t>CARGO</t>
        </is>
      </c>
      <c r="J960" s="56" t="n">
        <v>44953</v>
      </c>
    </row>
    <row r="961">
      <c r="B961" s="2" t="inlineStr">
        <is>
          <t>FC568A42C2EA</t>
        </is>
      </c>
      <c r="D961" t="inlineStr">
        <is>
          <t>PR2206-488</t>
        </is>
      </c>
      <c r="E961" t="inlineStr">
        <is>
          <t>RIOTINTO</t>
        </is>
      </c>
      <c r="F961" t="inlineStr">
        <is>
          <t>CARGO</t>
        </is>
      </c>
      <c r="J961" s="56" t="n">
        <v>44953</v>
      </c>
    </row>
    <row r="962">
      <c r="B962" s="2" t="inlineStr">
        <is>
          <t>E92B0B73675D</t>
        </is>
      </c>
      <c r="D962" t="inlineStr">
        <is>
          <t>PR2206-530</t>
        </is>
      </c>
      <c r="E962" t="inlineStr">
        <is>
          <t>RIOTINTO</t>
        </is>
      </c>
      <c r="F962" t="inlineStr">
        <is>
          <t>CARGO</t>
        </is>
      </c>
      <c r="J962" s="56" t="n">
        <v>44953</v>
      </c>
    </row>
    <row r="963">
      <c r="B963" s="2" t="inlineStr">
        <is>
          <t>DC6339D53C1B</t>
        </is>
      </c>
      <c r="D963" t="inlineStr">
        <is>
          <t>PR2206-396</t>
        </is>
      </c>
      <c r="E963" t="inlineStr">
        <is>
          <t>RIOTINTO</t>
        </is>
      </c>
      <c r="F963" t="inlineStr">
        <is>
          <t>CARGO</t>
        </is>
      </c>
      <c r="J963" s="56" t="n">
        <v>44953</v>
      </c>
    </row>
    <row r="964">
      <c r="B964" s="2" t="inlineStr">
        <is>
          <t>EF3BCD9FA283</t>
        </is>
      </c>
      <c r="D964" t="inlineStr">
        <is>
          <t>PR2203-400</t>
        </is>
      </c>
      <c r="E964" t="inlineStr">
        <is>
          <t>RIOTINTO</t>
        </is>
      </c>
      <c r="F964" t="inlineStr">
        <is>
          <t>CARGO</t>
        </is>
      </c>
      <c r="J964" s="56" t="n">
        <v>44953</v>
      </c>
    </row>
    <row r="965">
      <c r="B965" s="2" t="inlineStr">
        <is>
          <t>DFD7091C337F</t>
        </is>
      </c>
      <c r="D965" t="inlineStr">
        <is>
          <t>PR2206-556</t>
        </is>
      </c>
      <c r="E965" t="inlineStr">
        <is>
          <t>RIOTINTO</t>
        </is>
      </c>
      <c r="F965" t="inlineStr">
        <is>
          <t>CARGO</t>
        </is>
      </c>
      <c r="J965" s="56" t="n">
        <v>44953</v>
      </c>
    </row>
    <row r="966">
      <c r="B966" s="2" t="inlineStr">
        <is>
          <t>EB55961D2334</t>
        </is>
      </c>
      <c r="D966" t="inlineStr">
        <is>
          <t>PR2211-026</t>
        </is>
      </c>
      <c r="E966" t="inlineStr">
        <is>
          <t>RIOTINTO</t>
        </is>
      </c>
      <c r="F966" t="inlineStr">
        <is>
          <t>CARGO</t>
        </is>
      </c>
      <c r="J966" s="56" t="n">
        <v>44953</v>
      </c>
    </row>
    <row r="967">
      <c r="B967" s="2" t="inlineStr">
        <is>
          <t>FA2EDB2A18A2</t>
        </is>
      </c>
      <c r="D967" t="inlineStr">
        <is>
          <t>PR2206-521</t>
        </is>
      </c>
      <c r="E967" t="inlineStr">
        <is>
          <t>RIOTINTO</t>
        </is>
      </c>
      <c r="F967" t="inlineStr">
        <is>
          <t>CARGO</t>
        </is>
      </c>
      <c r="J967" s="56" t="n">
        <v>44953</v>
      </c>
    </row>
    <row r="968">
      <c r="B968" s="2" t="inlineStr">
        <is>
          <t>E6B4D0C25D63</t>
        </is>
      </c>
      <c r="D968" t="inlineStr">
        <is>
          <t>PR2203-409</t>
        </is>
      </c>
      <c r="E968" t="inlineStr">
        <is>
          <t>RIOTINTO</t>
        </is>
      </c>
      <c r="F968" t="inlineStr">
        <is>
          <t>CARGO</t>
        </is>
      </c>
      <c r="J968" s="56" t="n">
        <v>44953</v>
      </c>
    </row>
    <row r="969">
      <c r="B969" s="2" t="inlineStr">
        <is>
          <t>CAD10ECC6DE7</t>
        </is>
      </c>
      <c r="D969" t="inlineStr">
        <is>
          <t>PR2206-560</t>
        </is>
      </c>
      <c r="E969" t="inlineStr">
        <is>
          <t>RIOTINTO</t>
        </is>
      </c>
      <c r="F969" t="inlineStr">
        <is>
          <t>CARGO</t>
        </is>
      </c>
      <c r="J969" s="56" t="n">
        <v>44953</v>
      </c>
    </row>
    <row r="970">
      <c r="B970" s="2" t="inlineStr">
        <is>
          <t>C0550F60EBD8</t>
        </is>
      </c>
      <c r="D970" t="inlineStr">
        <is>
          <t>PR2203-469</t>
        </is>
      </c>
      <c r="E970" t="inlineStr">
        <is>
          <t>RIOTINTO</t>
        </is>
      </c>
      <c r="F970" t="inlineStr">
        <is>
          <t>CARGO</t>
        </is>
      </c>
      <c r="J970" s="56" t="n">
        <v>44953</v>
      </c>
    </row>
    <row r="971">
      <c r="B971" s="2" t="inlineStr">
        <is>
          <t>D40276AD32E5</t>
        </is>
      </c>
      <c r="D971" t="inlineStr">
        <is>
          <t>PR2203-387</t>
        </is>
      </c>
      <c r="E971" t="inlineStr">
        <is>
          <t>RIOTINTO</t>
        </is>
      </c>
      <c r="F971" t="inlineStr">
        <is>
          <t>CARGO</t>
        </is>
      </c>
      <c r="J971" s="56" t="n">
        <v>44953</v>
      </c>
    </row>
    <row r="972">
      <c r="B972" s="2" t="inlineStr">
        <is>
          <t>E871F29433F1</t>
        </is>
      </c>
      <c r="D972" t="inlineStr">
        <is>
          <t>PR2203-148</t>
        </is>
      </c>
      <c r="E972" t="inlineStr">
        <is>
          <t>RIOTINTO</t>
        </is>
      </c>
      <c r="F972" t="inlineStr">
        <is>
          <t>L</t>
        </is>
      </c>
      <c r="J972" s="56" t="n">
        <v>44953</v>
      </c>
    </row>
    <row r="973">
      <c r="B973" s="2" t="inlineStr">
        <is>
          <t>D8415EC1FA95</t>
        </is>
      </c>
      <c r="D973" t="inlineStr">
        <is>
          <t>PR2203-267</t>
        </is>
      </c>
      <c r="E973" t="inlineStr">
        <is>
          <t>SCHAEFFLER</t>
        </is>
      </c>
      <c r="F973" t="inlineStr">
        <is>
          <t>CARGO</t>
        </is>
      </c>
      <c r="J973" s="56" t="n">
        <v>44953</v>
      </c>
    </row>
    <row r="974">
      <c r="B974" s="2" t="inlineStr">
        <is>
          <t>DA19AAE88081</t>
        </is>
      </c>
      <c r="D974" t="inlineStr">
        <is>
          <t>PR2203-305</t>
        </is>
      </c>
      <c r="E974" t="inlineStr">
        <is>
          <t>SCHAEFFLER</t>
        </is>
      </c>
      <c r="F974" t="inlineStr">
        <is>
          <t>CARGO</t>
        </is>
      </c>
      <c r="J974" s="56" t="n">
        <v>44953</v>
      </c>
    </row>
    <row r="975">
      <c r="B975" s="2" t="inlineStr">
        <is>
          <t>E9B11154B728</t>
        </is>
      </c>
      <c r="D975" t="inlineStr">
        <is>
          <t>PR2203-312</t>
        </is>
      </c>
      <c r="E975" t="inlineStr">
        <is>
          <t>SCHAEFFLER</t>
        </is>
      </c>
      <c r="F975" t="inlineStr">
        <is>
          <t>CARGO</t>
        </is>
      </c>
      <c r="J975" s="56" t="n">
        <v>44953</v>
      </c>
    </row>
    <row r="976">
      <c r="B976" s="2" t="inlineStr">
        <is>
          <t>F2765BDB7305</t>
        </is>
      </c>
      <c r="D976" t="inlineStr">
        <is>
          <t>PR2203-293</t>
        </is>
      </c>
      <c r="E976" t="inlineStr">
        <is>
          <t>SCHAEFFLER</t>
        </is>
      </c>
      <c r="F976" t="inlineStr">
        <is>
          <t>CARGO</t>
        </is>
      </c>
      <c r="J976" s="56" t="n">
        <v>44953</v>
      </c>
    </row>
    <row r="977">
      <c r="B977" s="2" t="inlineStr">
        <is>
          <t>CCF6BBC9758F</t>
        </is>
      </c>
      <c r="D977" t="inlineStr">
        <is>
          <t>PR2203-286</t>
        </is>
      </c>
      <c r="E977" t="inlineStr">
        <is>
          <t>SCHAEFFLER</t>
        </is>
      </c>
      <c r="F977" t="inlineStr">
        <is>
          <t>CARGO</t>
        </is>
      </c>
      <c r="J977" s="56" t="n">
        <v>44953</v>
      </c>
    </row>
    <row r="978">
      <c r="B978" s="2" t="inlineStr">
        <is>
          <t>C56A57A9D669</t>
        </is>
      </c>
      <c r="D978" t="inlineStr">
        <is>
          <t>PR2203-272</t>
        </is>
      </c>
      <c r="E978" t="inlineStr">
        <is>
          <t>SCHAEFFLER</t>
        </is>
      </c>
      <c r="F978" t="inlineStr">
        <is>
          <t>CARGO</t>
        </is>
      </c>
      <c r="J978" s="56" t="n">
        <v>44953</v>
      </c>
    </row>
    <row r="979">
      <c r="B979" s="2" t="inlineStr">
        <is>
          <t>D1201BCD3C96</t>
        </is>
      </c>
      <c r="D979" t="inlineStr">
        <is>
          <t>PR2203-203</t>
        </is>
      </c>
      <c r="E979" t="inlineStr">
        <is>
          <t>SCHAEFFLER</t>
        </is>
      </c>
      <c r="F979" t="inlineStr">
        <is>
          <t>CARGO</t>
        </is>
      </c>
      <c r="J979" s="56" t="n">
        <v>44953</v>
      </c>
    </row>
    <row r="980">
      <c r="B980" s="2" t="inlineStr">
        <is>
          <t>E4AB1A511B9F</t>
        </is>
      </c>
      <c r="D980" t="inlineStr">
        <is>
          <t>PR2203-184</t>
        </is>
      </c>
      <c r="E980" t="inlineStr">
        <is>
          <t>SCHAEFFLER</t>
        </is>
      </c>
      <c r="F980" t="inlineStr">
        <is>
          <t>CARGO</t>
        </is>
      </c>
      <c r="J980" s="56" t="n">
        <v>44953</v>
      </c>
    </row>
    <row r="981">
      <c r="B981" s="2" t="inlineStr">
        <is>
          <t>EF57446F2566</t>
        </is>
      </c>
      <c r="D981" t="inlineStr">
        <is>
          <t>PR_V2_2301-001</t>
        </is>
      </c>
      <c r="E981" t="inlineStr">
        <is>
          <t>LTG</t>
        </is>
      </c>
      <c r="F981" t="inlineStr">
        <is>
          <t>LINK</t>
        </is>
      </c>
    </row>
    <row r="982">
      <c r="B982" s="2" t="inlineStr">
        <is>
          <t>C551CFDCA74D</t>
        </is>
      </c>
      <c r="D982" t="inlineStr">
        <is>
          <t>PR_V2_2301-002</t>
        </is>
      </c>
      <c r="E982" t="inlineStr">
        <is>
          <t>LTG</t>
        </is>
      </c>
      <c r="F982" t="inlineStr">
        <is>
          <t>LINK</t>
        </is>
      </c>
    </row>
    <row r="983">
      <c r="B983" s="2" t="inlineStr">
        <is>
          <t>CB92EACADE12</t>
        </is>
      </c>
      <c r="D983" t="inlineStr">
        <is>
          <t>PR_V2_2301-003</t>
        </is>
      </c>
      <c r="E983" t="inlineStr">
        <is>
          <t>LTG</t>
        </is>
      </c>
      <c r="F983" t="inlineStr">
        <is>
          <t>LINK</t>
        </is>
      </c>
    </row>
    <row r="984">
      <c r="B984" s="2" t="inlineStr">
        <is>
          <t>E3E9AA62E7AF</t>
        </is>
      </c>
      <c r="D984" t="inlineStr">
        <is>
          <t>PR_V2_2301-004</t>
        </is>
      </c>
      <c r="E984" t="inlineStr">
        <is>
          <t>LTG</t>
        </is>
      </c>
      <c r="F984" t="inlineStr">
        <is>
          <t>LINK</t>
        </is>
      </c>
    </row>
    <row r="985">
      <c r="B985" s="2" t="inlineStr">
        <is>
          <t>D3A2615CD07A</t>
        </is>
      </c>
      <c r="D985" t="inlineStr">
        <is>
          <t>PR2203-297</t>
        </is>
      </c>
      <c r="E985" t="inlineStr">
        <is>
          <t>RENFE</t>
        </is>
      </c>
      <c r="F985" t="inlineStr">
        <is>
          <t>Magnets</t>
        </is>
      </c>
      <c r="J985" s="56" t="n">
        <v>44951</v>
      </c>
    </row>
    <row r="986">
      <c r="B986" s="2" t="inlineStr">
        <is>
          <t>EA646F2B40BE</t>
        </is>
      </c>
      <c r="D986" t="inlineStr">
        <is>
          <t>PR2203-263</t>
        </is>
      </c>
      <c r="E986" t="inlineStr">
        <is>
          <t>SUJAN</t>
        </is>
      </c>
      <c r="F986" t="inlineStr">
        <is>
          <t>CARGO</t>
        </is>
      </c>
      <c r="J986" s="56" t="n">
        <v>44971</v>
      </c>
    </row>
    <row r="987">
      <c r="B987" s="2" t="inlineStr">
        <is>
          <t>CB8DB1B93011</t>
        </is>
      </c>
      <c r="D987" t="inlineStr">
        <is>
          <t>PR2203-281</t>
        </is>
      </c>
      <c r="E987" t="inlineStr">
        <is>
          <t>SUJAN</t>
        </is>
      </c>
      <c r="F987" t="inlineStr">
        <is>
          <t>CARGO</t>
        </is>
      </c>
      <c r="J987" s="56" t="n">
        <v>44971</v>
      </c>
    </row>
    <row r="988">
      <c r="B988" s="2" t="inlineStr">
        <is>
          <t>D91F7BC5C583</t>
        </is>
      </c>
      <c r="D988" t="inlineStr">
        <is>
          <t>PR2203-270</t>
        </is>
      </c>
      <c r="E988" t="inlineStr">
        <is>
          <t>SUJAN</t>
        </is>
      </c>
      <c r="F988" t="inlineStr">
        <is>
          <t>CARGO</t>
        </is>
      </c>
      <c r="J988" s="56" t="n">
        <v>44971</v>
      </c>
    </row>
    <row r="989">
      <c r="B989" s="2" t="inlineStr">
        <is>
          <t>ECC02018A581</t>
        </is>
      </c>
      <c r="D989" t="inlineStr">
        <is>
          <t>PR2206-041</t>
        </is>
      </c>
      <c r="E989" t="inlineStr">
        <is>
          <t>TRANSWAGGON</t>
        </is>
      </c>
      <c r="F989" t="inlineStr">
        <is>
          <t>CARGO</t>
        </is>
      </c>
      <c r="J989" s="56" t="n">
        <v>45083</v>
      </c>
    </row>
    <row r="990">
      <c r="B990" s="2" t="inlineStr">
        <is>
          <t>C5259E1F2352</t>
        </is>
      </c>
      <c r="D990" t="inlineStr">
        <is>
          <t>PR2206-474</t>
        </is>
      </c>
      <c r="E990" t="inlineStr">
        <is>
          <t>TRANSWAGGON</t>
        </is>
      </c>
      <c r="F990" t="inlineStr">
        <is>
          <t>CARGO</t>
        </is>
      </c>
      <c r="J990" s="56" t="n">
        <v>45083</v>
      </c>
    </row>
    <row r="991">
      <c r="B991" s="2" t="inlineStr">
        <is>
          <t>D6C5E064636A</t>
        </is>
      </c>
      <c r="D991" t="inlineStr">
        <is>
          <t>PR2206-195</t>
        </is>
      </c>
      <c r="E991" t="inlineStr">
        <is>
          <t>TRANSWAGGON</t>
        </is>
      </c>
      <c r="F991" t="inlineStr">
        <is>
          <t>CARGO</t>
        </is>
      </c>
      <c r="J991" s="56" t="n">
        <v>45083</v>
      </c>
    </row>
    <row r="992">
      <c r="B992" s="2" t="inlineStr">
        <is>
          <t>CB929D3BD75E</t>
        </is>
      </c>
      <c r="D992" t="inlineStr">
        <is>
          <t>PR2203-307</t>
        </is>
      </c>
      <c r="E992" t="inlineStr">
        <is>
          <t>TRANSWAGGON</t>
        </is>
      </c>
      <c r="F992" t="inlineStr">
        <is>
          <t>CARGO</t>
        </is>
      </c>
      <c r="J992" s="56" t="n">
        <v>45083</v>
      </c>
    </row>
    <row r="993">
      <c r="B993" s="2" t="inlineStr">
        <is>
          <t>CA5F0E3D5205</t>
        </is>
      </c>
      <c r="D993" t="inlineStr">
        <is>
          <t>PR2206-545</t>
        </is>
      </c>
      <c r="E993" t="inlineStr">
        <is>
          <t>TRANSWAGGON</t>
        </is>
      </c>
      <c r="F993" t="inlineStr">
        <is>
          <t>CARGO</t>
        </is>
      </c>
      <c r="J993" s="56" t="n">
        <v>45083</v>
      </c>
    </row>
    <row r="994">
      <c r="B994" s="2" t="inlineStr">
        <is>
          <t>FE3307BEAB3E</t>
        </is>
      </c>
      <c r="D994" t="inlineStr">
        <is>
          <t>PR2203-379</t>
        </is>
      </c>
      <c r="E994" t="inlineStr">
        <is>
          <t>TRANSWAGGON</t>
        </is>
      </c>
      <c r="F994" t="inlineStr">
        <is>
          <t>CARGO</t>
        </is>
      </c>
      <c r="J994" s="56" t="n">
        <v>45083</v>
      </c>
    </row>
    <row r="995">
      <c r="B995" s="2" t="inlineStr">
        <is>
          <t>D4D0DDA7EEE3</t>
        </is>
      </c>
      <c r="D995" t="inlineStr">
        <is>
          <t>PR2203-250</t>
        </is>
      </c>
      <c r="E995" t="inlineStr">
        <is>
          <t>TRANSWAGGON</t>
        </is>
      </c>
      <c r="F995" t="inlineStr">
        <is>
          <t>CARGO</t>
        </is>
      </c>
      <c r="J995" s="56" t="n">
        <v>45083</v>
      </c>
    </row>
    <row r="996">
      <c r="B996" s="2" t="inlineStr">
        <is>
          <t>EA9081526027</t>
        </is>
      </c>
      <c r="D996" t="inlineStr">
        <is>
          <t>PR2203-378</t>
        </is>
      </c>
      <c r="E996" t="inlineStr">
        <is>
          <t>TRANSWAGGON</t>
        </is>
      </c>
      <c r="F996" t="inlineStr">
        <is>
          <t>CARGO</t>
        </is>
      </c>
      <c r="J996" s="56" t="n">
        <v>45083</v>
      </c>
    </row>
    <row r="997">
      <c r="B997" s="2" t="inlineStr">
        <is>
          <t>EFC519DC2BC3</t>
        </is>
      </c>
      <c r="D997" t="inlineStr">
        <is>
          <t>PR2206-202</t>
        </is>
      </c>
      <c r="E997" t="inlineStr">
        <is>
          <t>TRANSWAGGON</t>
        </is>
      </c>
      <c r="F997" t="inlineStr">
        <is>
          <t>CARGO</t>
        </is>
      </c>
      <c r="J997" s="56" t="n">
        <v>45083</v>
      </c>
    </row>
    <row r="998">
      <c r="B998" s="2" t="inlineStr">
        <is>
          <t>CDF0CDF294D9</t>
        </is>
      </c>
      <c r="D998" t="inlineStr">
        <is>
          <t>PR2206-388</t>
        </is>
      </c>
      <c r="E998" t="inlineStr">
        <is>
          <t>TRANSWAGGON</t>
        </is>
      </c>
      <c r="F998" t="inlineStr">
        <is>
          <t>CARGO</t>
        </is>
      </c>
      <c r="J998" s="56" t="n">
        <v>45083</v>
      </c>
    </row>
    <row r="999">
      <c r="B999" s="2" t="inlineStr">
        <is>
          <t>EFD751FC2A8C</t>
        </is>
      </c>
      <c r="D999" t="inlineStr">
        <is>
          <t>PR2203-406</t>
        </is>
      </c>
      <c r="E999" t="inlineStr">
        <is>
          <t>TRANSWAGGON</t>
        </is>
      </c>
      <c r="F999" t="inlineStr">
        <is>
          <t>CARGO</t>
        </is>
      </c>
      <c r="J999" s="56" t="n">
        <v>45083</v>
      </c>
    </row>
    <row r="1000">
      <c r="B1000" s="2" t="inlineStr">
        <is>
          <t>C5C78BD5F85D</t>
        </is>
      </c>
      <c r="D1000" t="inlineStr">
        <is>
          <t>PR2206-544</t>
        </is>
      </c>
      <c r="E1000" t="inlineStr">
        <is>
          <t>TRANSWAGGON</t>
        </is>
      </c>
      <c r="F1000" t="inlineStr">
        <is>
          <t>CARGO</t>
        </is>
      </c>
      <c r="J1000" s="56" t="n">
        <v>45083</v>
      </c>
    </row>
    <row r="1001">
      <c r="B1001" s="2" t="inlineStr">
        <is>
          <t>D134B9045A27</t>
        </is>
      </c>
      <c r="D1001" t="inlineStr">
        <is>
          <t>PR2201-053</t>
        </is>
      </c>
      <c r="E1001" t="inlineStr">
        <is>
          <t>TRANSWAGGON</t>
        </is>
      </c>
      <c r="F1001" t="inlineStr">
        <is>
          <t>CARGO</t>
        </is>
      </c>
      <c r="J1001" s="56" t="n">
        <v>45083</v>
      </c>
    </row>
    <row r="1002">
      <c r="B1002" s="2" t="inlineStr">
        <is>
          <t>F2E33EABFD51</t>
        </is>
      </c>
      <c r="D1002" t="inlineStr">
        <is>
          <t>PR2203-202</t>
        </is>
      </c>
      <c r="E1002" t="inlineStr">
        <is>
          <t>TRANSWAGGON</t>
        </is>
      </c>
      <c r="F1002" t="inlineStr">
        <is>
          <t>CARGO</t>
        </is>
      </c>
      <c r="J1002" s="56" t="n">
        <v>45083</v>
      </c>
    </row>
    <row r="1003">
      <c r="B1003" s="2" t="inlineStr">
        <is>
          <t>F622A312B251</t>
        </is>
      </c>
      <c r="D1003" t="inlineStr">
        <is>
          <t>PR2203-287</t>
        </is>
      </c>
      <c r="E1003" t="inlineStr">
        <is>
          <t>TRANSWAGGON</t>
        </is>
      </c>
      <c r="F1003" t="inlineStr">
        <is>
          <t>CARGO</t>
        </is>
      </c>
      <c r="J1003" s="56" t="n">
        <v>45083</v>
      </c>
    </row>
    <row r="1004">
      <c r="B1004" s="2" t="inlineStr">
        <is>
          <t>F6CF4EE0B874</t>
        </is>
      </c>
      <c r="D1004" t="inlineStr">
        <is>
          <t>PR2206-080</t>
        </is>
      </c>
      <c r="E1004" t="inlineStr">
        <is>
          <t>TRANSWAGGON</t>
        </is>
      </c>
      <c r="F1004" t="inlineStr">
        <is>
          <t>CARGO</t>
        </is>
      </c>
      <c r="J1004" s="56" t="n">
        <v>45083</v>
      </c>
    </row>
    <row r="1005">
      <c r="B1005" s="2" t="inlineStr">
        <is>
          <t>DE4D0FF04247</t>
        </is>
      </c>
      <c r="D1005" t="inlineStr">
        <is>
          <t>PR2206-565</t>
        </is>
      </c>
      <c r="E1005" t="inlineStr">
        <is>
          <t>TRANSWAGGON</t>
        </is>
      </c>
      <c r="F1005" t="inlineStr">
        <is>
          <t>CARGO</t>
        </is>
      </c>
      <c r="J1005" s="56" t="n">
        <v>45083</v>
      </c>
    </row>
    <row r="1006">
      <c r="B1006" s="2" t="inlineStr">
        <is>
          <t>C5E4549B551C</t>
        </is>
      </c>
      <c r="D1006" t="inlineStr">
        <is>
          <t>PR2206-573</t>
        </is>
      </c>
      <c r="E1006" t="inlineStr">
        <is>
          <t>TRANSWAGGON</t>
        </is>
      </c>
      <c r="F1006" t="inlineStr">
        <is>
          <t>CARGO</t>
        </is>
      </c>
      <c r="J1006" s="56" t="n">
        <v>45083</v>
      </c>
    </row>
    <row r="1007">
      <c r="B1007" s="2" t="inlineStr">
        <is>
          <t>CAC5CD50F698</t>
        </is>
      </c>
      <c r="D1007" t="inlineStr">
        <is>
          <t>PR2206-077</t>
        </is>
      </c>
      <c r="E1007" t="inlineStr">
        <is>
          <t>TRANSWAGGON</t>
        </is>
      </c>
      <c r="F1007" t="inlineStr">
        <is>
          <t>CARGO</t>
        </is>
      </c>
      <c r="J1007" s="56" t="n">
        <v>45083</v>
      </c>
    </row>
    <row r="1008">
      <c r="B1008" s="2" t="inlineStr">
        <is>
          <t>F07AD46DDC48</t>
        </is>
      </c>
      <c r="D1008" t="inlineStr">
        <is>
          <t>PR2206-178</t>
        </is>
      </c>
      <c r="E1008" t="inlineStr">
        <is>
          <t>TRANSWAGGON</t>
        </is>
      </c>
      <c r="F1008" t="inlineStr">
        <is>
          <t>CARGO</t>
        </is>
      </c>
      <c r="J1008" s="56" t="n">
        <v>45083</v>
      </c>
    </row>
    <row r="1009">
      <c r="B1009" s="2" t="inlineStr">
        <is>
          <t>E97A46EF9C99</t>
        </is>
      </c>
      <c r="D1009" t="inlineStr">
        <is>
          <t>PR2206-058</t>
        </is>
      </c>
      <c r="E1009" t="inlineStr">
        <is>
          <t>TRANSWAGGON</t>
        </is>
      </c>
      <c r="F1009" t="inlineStr">
        <is>
          <t>CARGO</t>
        </is>
      </c>
      <c r="J1009" s="56" t="n">
        <v>45083</v>
      </c>
    </row>
    <row r="1010">
      <c r="B1010" s="2" t="inlineStr">
        <is>
          <t>E6D0F0A1EF42</t>
        </is>
      </c>
      <c r="D1010" t="inlineStr">
        <is>
          <t>PR2206-177</t>
        </is>
      </c>
      <c r="E1010" t="inlineStr">
        <is>
          <t>TRANSWAGGON</t>
        </is>
      </c>
      <c r="F1010" t="inlineStr">
        <is>
          <t>CARGO</t>
        </is>
      </c>
      <c r="J1010" s="56" t="n">
        <v>45083</v>
      </c>
    </row>
    <row r="1011">
      <c r="B1011" s="2" t="inlineStr">
        <is>
          <t>F6F8A72F761E</t>
        </is>
      </c>
      <c r="D1011" t="inlineStr">
        <is>
          <t>PR2206-428</t>
        </is>
      </c>
      <c r="E1011" t="inlineStr">
        <is>
          <t>TRANSWAGGON</t>
        </is>
      </c>
      <c r="F1011" t="inlineStr">
        <is>
          <t>CARGO</t>
        </is>
      </c>
      <c r="J1011" s="56" t="n">
        <v>45083</v>
      </c>
    </row>
    <row r="1012">
      <c r="B1012" s="2" t="inlineStr">
        <is>
          <t>FD21631EDDF4</t>
        </is>
      </c>
      <c r="D1012" t="inlineStr">
        <is>
          <t>PR2206-154</t>
        </is>
      </c>
      <c r="E1012" t="inlineStr">
        <is>
          <t>TRANSWAGGON</t>
        </is>
      </c>
      <c r="F1012" t="inlineStr">
        <is>
          <t>CARGO</t>
        </is>
      </c>
      <c r="J1012" s="56" t="n">
        <v>45083</v>
      </c>
    </row>
    <row r="1013">
      <c r="B1013" s="2" t="inlineStr">
        <is>
          <t>FEC76645C67E</t>
        </is>
      </c>
      <c r="D1013" t="inlineStr">
        <is>
          <t>PR2206-596</t>
        </is>
      </c>
      <c r="E1013" t="inlineStr">
        <is>
          <t>TRANSWAGGON</t>
        </is>
      </c>
      <c r="F1013" t="inlineStr">
        <is>
          <t>CARGO</t>
        </is>
      </c>
      <c r="J1013" s="56" t="n">
        <v>45083</v>
      </c>
    </row>
    <row r="1014">
      <c r="B1014" s="2" t="inlineStr">
        <is>
          <t>EB223CF1366C</t>
        </is>
      </c>
      <c r="D1014" t="inlineStr">
        <is>
          <t>PR2206-196</t>
        </is>
      </c>
      <c r="E1014" t="inlineStr">
        <is>
          <t>TRANSWAGGON</t>
        </is>
      </c>
      <c r="F1014" t="inlineStr">
        <is>
          <t>CARGO</t>
        </is>
      </c>
      <c r="J1014" s="56" t="n">
        <v>45083</v>
      </c>
    </row>
    <row r="1015">
      <c r="B1015" s="2" t="inlineStr">
        <is>
          <t>D0FDF83E1532</t>
        </is>
      </c>
      <c r="D1015" t="inlineStr">
        <is>
          <t>PR2206-213</t>
        </is>
      </c>
      <c r="E1015" t="inlineStr">
        <is>
          <t>TRANSWAGGON</t>
        </is>
      </c>
      <c r="F1015" t="inlineStr">
        <is>
          <t>CARGO</t>
        </is>
      </c>
      <c r="J1015" s="56" t="n">
        <v>45083</v>
      </c>
    </row>
    <row r="1016">
      <c r="B1016" s="2" t="inlineStr">
        <is>
          <t>CDE1A25DB6D4</t>
        </is>
      </c>
      <c r="D1016" t="inlineStr">
        <is>
          <t>PR2203-363</t>
        </is>
      </c>
      <c r="E1016" t="inlineStr">
        <is>
          <t>TRANSWAGGON</t>
        </is>
      </c>
      <c r="F1016" t="inlineStr">
        <is>
          <t>CARGO</t>
        </is>
      </c>
      <c r="J1016" s="56" t="n">
        <v>45083</v>
      </c>
    </row>
    <row r="1017">
      <c r="B1017" s="2" t="inlineStr">
        <is>
          <t>F75D7A13F249</t>
        </is>
      </c>
      <c r="D1017" t="inlineStr">
        <is>
          <t>PR2206-470</t>
        </is>
      </c>
      <c r="E1017" t="inlineStr">
        <is>
          <t>TRANSWAGGON</t>
        </is>
      </c>
      <c r="F1017" t="inlineStr">
        <is>
          <t>CARGO</t>
        </is>
      </c>
      <c r="J1017" s="56" t="n">
        <v>45083</v>
      </c>
    </row>
    <row r="1018">
      <c r="B1018" s="2" t="inlineStr">
        <is>
          <t>C8D7349FD7FC</t>
        </is>
      </c>
      <c r="D1018" t="inlineStr">
        <is>
          <t>PR2203-357</t>
        </is>
      </c>
      <c r="E1018" t="inlineStr">
        <is>
          <t>TRANSWAGGON</t>
        </is>
      </c>
      <c r="F1018" t="inlineStr">
        <is>
          <t>CARGO</t>
        </is>
      </c>
      <c r="J1018" s="56" t="n">
        <v>45083</v>
      </c>
    </row>
    <row r="1019">
      <c r="B1019" s="2" t="inlineStr">
        <is>
          <t>FF1ED14C6B53</t>
        </is>
      </c>
      <c r="D1019" t="inlineStr">
        <is>
          <t>PR2203-064</t>
        </is>
      </c>
      <c r="E1019" t="inlineStr">
        <is>
          <t>TRANSWAGGON</t>
        </is>
      </c>
      <c r="F1019" t="inlineStr">
        <is>
          <t>CARGO</t>
        </is>
      </c>
      <c r="J1019" s="56" t="n">
        <v>45083</v>
      </c>
    </row>
    <row r="1020">
      <c r="B1020" s="2" t="inlineStr">
        <is>
          <t>C1235A9292ED</t>
        </is>
      </c>
      <c r="D1020" t="inlineStr">
        <is>
          <t>PR2206-153</t>
        </is>
      </c>
      <c r="E1020" t="inlineStr">
        <is>
          <t>TRANSWAGGON</t>
        </is>
      </c>
      <c r="F1020" t="inlineStr">
        <is>
          <t>CARGO</t>
        </is>
      </c>
      <c r="J1020" s="56" t="n">
        <v>45083</v>
      </c>
    </row>
    <row r="1021">
      <c r="B1021" s="2" t="inlineStr">
        <is>
          <t>D82A2D4894EF</t>
        </is>
      </c>
      <c r="D1021" t="inlineStr">
        <is>
          <t>PR2206-500</t>
        </is>
      </c>
      <c r="E1021" t="inlineStr">
        <is>
          <t>TRANSWAGGON</t>
        </is>
      </c>
      <c r="F1021" t="inlineStr">
        <is>
          <t>CARGO</t>
        </is>
      </c>
      <c r="J1021" s="56" t="n">
        <v>45083</v>
      </c>
    </row>
    <row r="1022">
      <c r="B1022" s="2" t="inlineStr">
        <is>
          <t>CD8507758575</t>
        </is>
      </c>
      <c r="D1022" t="inlineStr">
        <is>
          <t>PR2203-328</t>
        </is>
      </c>
      <c r="E1022" t="inlineStr">
        <is>
          <t>TRANSWAGGON</t>
        </is>
      </c>
      <c r="F1022" t="inlineStr">
        <is>
          <t>CARGO</t>
        </is>
      </c>
      <c r="J1022" s="56" t="n">
        <v>45083</v>
      </c>
    </row>
    <row r="1023">
      <c r="B1023" s="2" t="inlineStr">
        <is>
          <t>D4B625CEAB13</t>
        </is>
      </c>
      <c r="D1023" t="inlineStr">
        <is>
          <t>PR2203-124</t>
        </is>
      </c>
      <c r="E1023" t="inlineStr">
        <is>
          <t>TRANSWAGGON</t>
        </is>
      </c>
      <c r="F1023" t="inlineStr">
        <is>
          <t>CARGO</t>
        </is>
      </c>
      <c r="J1023" s="56" t="n">
        <v>45083</v>
      </c>
    </row>
    <row r="1024">
      <c r="B1024" s="2" t="inlineStr">
        <is>
          <t>E45A9785D170</t>
        </is>
      </c>
      <c r="D1024" t="inlineStr">
        <is>
          <t>PR2206-208</t>
        </is>
      </c>
      <c r="E1024" t="inlineStr">
        <is>
          <t>TRANSWAGGON</t>
        </is>
      </c>
      <c r="F1024" t="inlineStr">
        <is>
          <t>CARGO</t>
        </is>
      </c>
      <c r="J1024" s="56" t="n">
        <v>45083</v>
      </c>
    </row>
    <row r="1025">
      <c r="B1025" s="2" t="inlineStr">
        <is>
          <t>D1DBD6A65D2B</t>
        </is>
      </c>
      <c r="D1025" t="inlineStr">
        <is>
          <t>PR2206-164</t>
        </is>
      </c>
      <c r="E1025" t="inlineStr">
        <is>
          <t>TRANSWAGGON</t>
        </is>
      </c>
      <c r="F1025" t="inlineStr">
        <is>
          <t>CARGO</t>
        </is>
      </c>
      <c r="J1025" s="56" t="n">
        <v>45083</v>
      </c>
    </row>
    <row r="1026">
      <c r="B1026" s="2" t="inlineStr">
        <is>
          <t>EFA82F88CB5B</t>
        </is>
      </c>
      <c r="D1026" t="inlineStr">
        <is>
          <t>PR2203-398</t>
        </is>
      </c>
      <c r="E1026" t="inlineStr">
        <is>
          <t>TRANSWAGGON</t>
        </is>
      </c>
      <c r="F1026" t="inlineStr">
        <is>
          <t>CARGO</t>
        </is>
      </c>
      <c r="J1026" s="56" t="n">
        <v>45083</v>
      </c>
    </row>
    <row r="1027">
      <c r="B1027" s="2" t="inlineStr">
        <is>
          <t>C823E2D34CD1</t>
        </is>
      </c>
      <c r="D1027" t="inlineStr">
        <is>
          <t>PR2203-314</t>
        </is>
      </c>
      <c r="E1027" t="inlineStr">
        <is>
          <t>TRANSWAGGON</t>
        </is>
      </c>
      <c r="F1027" t="inlineStr">
        <is>
          <t>CARGO</t>
        </is>
      </c>
      <c r="J1027" s="56" t="n">
        <v>45083</v>
      </c>
    </row>
    <row r="1028">
      <c r="B1028" s="2" t="inlineStr">
        <is>
          <t>FE6C7958A87E</t>
        </is>
      </c>
      <c r="D1028" t="inlineStr">
        <is>
          <t>PR2206-501</t>
        </is>
      </c>
      <c r="E1028" t="inlineStr">
        <is>
          <t>TRANSWAGGON</t>
        </is>
      </c>
      <c r="F1028" t="inlineStr">
        <is>
          <t>CARGO</t>
        </is>
      </c>
      <c r="J1028" s="56" t="n">
        <v>45083</v>
      </c>
    </row>
    <row r="1029">
      <c r="B1029" s="2" t="inlineStr">
        <is>
          <t>D591B9C32C3E</t>
        </is>
      </c>
      <c r="D1029" t="inlineStr">
        <is>
          <t>PR2203-411</t>
        </is>
      </c>
      <c r="F1029" t="inlineStr">
        <is>
          <t>CARGO</t>
        </is>
      </c>
      <c r="J1029" s="56" t="n"/>
    </row>
    <row r="1030">
      <c r="B1030" s="2" t="inlineStr">
        <is>
          <t>E491095B795A</t>
        </is>
      </c>
      <c r="D1030" t="inlineStr">
        <is>
          <t>PR2203-232</t>
        </is>
      </c>
      <c r="F1030" t="inlineStr">
        <is>
          <t>CARGO</t>
        </is>
      </c>
      <c r="J1030" s="56" t="n"/>
    </row>
    <row r="1031">
      <c r="B1031" s="2" t="inlineStr">
        <is>
          <t>D1DFDEE4F255</t>
        </is>
      </c>
      <c r="D1031" t="inlineStr">
        <is>
          <t>PR2203-072</t>
        </is>
      </c>
      <c r="F1031" t="inlineStr">
        <is>
          <t>CARGO</t>
        </is>
      </c>
    </row>
    <row r="1032">
      <c r="B1032" s="2" t="inlineStr">
        <is>
          <t>DC7DF73A85EA</t>
        </is>
      </c>
      <c r="D1032" t="inlineStr">
        <is>
          <t>PR2203-227</t>
        </is>
      </c>
      <c r="F1032" t="inlineStr">
        <is>
          <t>CARGO</t>
        </is>
      </c>
      <c r="J1032" s="56" t="n"/>
    </row>
    <row r="1033">
      <c r="B1033" s="2" t="inlineStr">
        <is>
          <t>C6C6F5D56247</t>
        </is>
      </c>
      <c r="D1033" t="inlineStr">
        <is>
          <t>PR2203-176</t>
        </is>
      </c>
      <c r="F1033" t="inlineStr">
        <is>
          <t>CARGO</t>
        </is>
      </c>
      <c r="J1033" s="56" t="n"/>
    </row>
    <row r="1034">
      <c r="B1034" s="2" t="inlineStr">
        <is>
          <t>FC788743CBA7</t>
        </is>
      </c>
      <c r="D1034" t="inlineStr">
        <is>
          <t>PR2203-291</t>
        </is>
      </c>
      <c r="F1034" t="inlineStr">
        <is>
          <t>CARGO</t>
        </is>
      </c>
      <c r="J1034" s="56" t="n"/>
    </row>
    <row r="1035">
      <c r="B1035" s="2" t="inlineStr">
        <is>
          <t>E15B72970F21</t>
        </is>
      </c>
      <c r="D1035" t="inlineStr">
        <is>
          <t>PR2203-223</t>
        </is>
      </c>
      <c r="F1035" t="inlineStr">
        <is>
          <t>CARGO</t>
        </is>
      </c>
      <c r="J1035" s="56" t="n"/>
    </row>
    <row r="1036">
      <c r="B1036" s="2" t="inlineStr">
        <is>
          <t>EC5ACF1684CC</t>
        </is>
      </c>
      <c r="D1036" t="inlineStr">
        <is>
          <t>PR2203-360</t>
        </is>
      </c>
      <c r="F1036" t="inlineStr">
        <is>
          <t>CARGO</t>
        </is>
      </c>
      <c r="J1036" s="56" t="n"/>
    </row>
    <row r="1037">
      <c r="B1037" s="2" t="inlineStr">
        <is>
          <t>F23835A8342B</t>
        </is>
      </c>
      <c r="D1037" t="inlineStr">
        <is>
          <t>PR2203-284</t>
        </is>
      </c>
      <c r="F1037" t="inlineStr">
        <is>
          <t>CARGO</t>
        </is>
      </c>
      <c r="J1037" s="56" t="n"/>
    </row>
    <row r="1038">
      <c r="B1038" s="2" t="inlineStr">
        <is>
          <t>E00DE53DDB23</t>
        </is>
      </c>
      <c r="D1038" t="inlineStr">
        <is>
          <t>PR2203-052</t>
        </is>
      </c>
      <c r="F1038" t="inlineStr">
        <is>
          <t>CARGO</t>
        </is>
      </c>
      <c r="J1038" s="56" t="n"/>
    </row>
    <row r="1039">
      <c r="B1039" s="2" t="inlineStr">
        <is>
          <t>EFE3CA090981</t>
        </is>
      </c>
      <c r="D1039" t="inlineStr">
        <is>
          <t>PR2203-350</t>
        </is>
      </c>
      <c r="F1039" t="inlineStr">
        <is>
          <t>CARGO</t>
        </is>
      </c>
      <c r="J1039" s="56" t="n"/>
    </row>
    <row r="1040">
      <c r="B1040" s="2" t="inlineStr">
        <is>
          <t>F6DF9D668BCD</t>
        </is>
      </c>
      <c r="D1040" t="inlineStr">
        <is>
          <t>PR2203-128</t>
        </is>
      </c>
      <c r="F1040" t="inlineStr">
        <is>
          <t>CARGO</t>
        </is>
      </c>
      <c r="J1040" s="56" t="n"/>
    </row>
    <row r="1041">
      <c r="B1041" s="2" t="inlineStr">
        <is>
          <t>ECDAF363EB1B</t>
        </is>
      </c>
      <c r="D1041" t="inlineStr">
        <is>
          <t>PR2203-XXX</t>
        </is>
      </c>
      <c r="F1041" t="inlineStr">
        <is>
          <t>CARGO</t>
        </is>
      </c>
      <c r="J1041" s="56" t="n"/>
    </row>
    <row r="1042">
      <c r="B1042" s="2" t="inlineStr">
        <is>
          <t>C3EDC556F03C</t>
        </is>
      </c>
      <c r="D1042" t="inlineStr">
        <is>
          <t>PR2203-251</t>
        </is>
      </c>
      <c r="F1042" t="inlineStr">
        <is>
          <t>CARGO</t>
        </is>
      </c>
      <c r="J1042" s="56" t="n"/>
    </row>
    <row r="1043">
      <c r="B1043" s="2" t="inlineStr">
        <is>
          <t>C6CD3D10A46A</t>
        </is>
      </c>
      <c r="D1043" t="inlineStr">
        <is>
          <t>PR2203-294</t>
        </is>
      </c>
      <c r="F1043" t="inlineStr">
        <is>
          <t>CARGO</t>
        </is>
      </c>
      <c r="J1043" s="56" t="n"/>
    </row>
    <row r="1044">
      <c r="B1044" s="2" t="inlineStr">
        <is>
          <t>D245F390B6AD</t>
        </is>
      </c>
      <c r="D1044" t="inlineStr">
        <is>
          <t>PR2203-063</t>
        </is>
      </c>
      <c r="F1044" t="inlineStr">
        <is>
          <t>CARGO</t>
        </is>
      </c>
      <c r="J1044" s="56" t="n"/>
    </row>
    <row r="1045">
      <c r="B1045" s="2" t="inlineStr">
        <is>
          <t>F14E8ED622F4</t>
        </is>
      </c>
      <c r="D1045" t="inlineStr">
        <is>
          <t>PR2203-182</t>
        </is>
      </c>
      <c r="E1045" t="inlineStr">
        <is>
          <t>CARGONET</t>
        </is>
      </c>
      <c r="F1045" t="inlineStr">
        <is>
          <t>CARGO</t>
        </is>
      </c>
      <c r="J1045" s="56" t="n">
        <v>45119</v>
      </c>
    </row>
    <row r="1046">
      <c r="B1046" s="2" t="inlineStr">
        <is>
          <t>E686C4C34056</t>
        </is>
      </c>
      <c r="D1046" t="inlineStr">
        <is>
          <t>PR2203-389</t>
        </is>
      </c>
      <c r="E1046" t="inlineStr">
        <is>
          <t>CARGONET</t>
        </is>
      </c>
      <c r="F1046" t="inlineStr">
        <is>
          <t>CARGO</t>
        </is>
      </c>
      <c r="J1046" s="56" t="n">
        <v>45119</v>
      </c>
    </row>
    <row r="1047">
      <c r="B1047" s="2" t="inlineStr">
        <is>
          <t>FB3D354C891E</t>
        </is>
      </c>
      <c r="D1047" t="inlineStr">
        <is>
          <t>PR2203-215</t>
        </is>
      </c>
      <c r="E1047" t="inlineStr">
        <is>
          <t>CARGONET</t>
        </is>
      </c>
      <c r="F1047" t="inlineStr">
        <is>
          <t>CARGO</t>
        </is>
      </c>
      <c r="J1047" s="56" t="n">
        <v>45119</v>
      </c>
    </row>
    <row r="1048">
      <c r="B1048" s="2" t="inlineStr">
        <is>
          <t>D89FB219A610</t>
        </is>
      </c>
      <c r="D1048" t="inlineStr">
        <is>
          <t>PR2203-346</t>
        </is>
      </c>
      <c r="E1048" t="inlineStr">
        <is>
          <t>CARGONET</t>
        </is>
      </c>
      <c r="F1048" t="inlineStr">
        <is>
          <t>CARGO</t>
        </is>
      </c>
      <c r="J1048" s="56" t="n">
        <v>45119</v>
      </c>
    </row>
    <row r="1049">
      <c r="B1049" s="2" t="inlineStr">
        <is>
          <t>C4D3C72A278A</t>
        </is>
      </c>
      <c r="D1049" t="inlineStr">
        <is>
          <t>PR2203-211</t>
        </is>
      </c>
      <c r="E1049" t="inlineStr">
        <is>
          <t>CARGONET</t>
        </is>
      </c>
      <c r="F1049" t="inlineStr">
        <is>
          <t>CARGO</t>
        </is>
      </c>
      <c r="J1049" s="56" t="n">
        <v>45119</v>
      </c>
    </row>
    <row r="1050">
      <c r="B1050" s="2" t="inlineStr">
        <is>
          <t>F13F8EF5CBF0</t>
        </is>
      </c>
      <c r="D1050" t="inlineStr">
        <is>
          <t>PR2203-057</t>
        </is>
      </c>
      <c r="E1050" t="inlineStr">
        <is>
          <t>CARGONET</t>
        </is>
      </c>
      <c r="F1050" t="inlineStr">
        <is>
          <t>CARGO</t>
        </is>
      </c>
      <c r="J1050" s="56" t="n">
        <v>45119</v>
      </c>
    </row>
    <row r="1051">
      <c r="B1051" s="2" t="inlineStr">
        <is>
          <t>E6FE974E133A</t>
        </is>
      </c>
      <c r="D1051" t="inlineStr">
        <is>
          <t>PR2203-327</t>
        </is>
      </c>
      <c r="E1051" t="inlineStr">
        <is>
          <t>CARGONET</t>
        </is>
      </c>
      <c r="F1051" t="inlineStr">
        <is>
          <t>CARGO</t>
        </is>
      </c>
      <c r="J1051" s="56" t="n">
        <v>45119</v>
      </c>
    </row>
    <row r="1052">
      <c r="B1052" s="2" t="inlineStr">
        <is>
          <t>CD3474556FE2</t>
        </is>
      </c>
      <c r="D1052" t="inlineStr">
        <is>
          <t>PR2203-151</t>
        </is>
      </c>
      <c r="E1052" t="inlineStr">
        <is>
          <t>CARGONET</t>
        </is>
      </c>
      <c r="F1052" t="inlineStr">
        <is>
          <t>CARGO</t>
        </is>
      </c>
      <c r="J1052" s="56" t="n">
        <v>45119</v>
      </c>
    </row>
    <row r="1053">
      <c r="B1053" s="2" t="inlineStr">
        <is>
          <t>CA706494AF54</t>
        </is>
      </c>
      <c r="D1053" t="inlineStr">
        <is>
          <t>PR2203-163</t>
        </is>
      </c>
      <c r="E1053" t="inlineStr">
        <is>
          <t>CARGONET</t>
        </is>
      </c>
      <c r="F1053" t="inlineStr">
        <is>
          <t>CARGO</t>
        </is>
      </c>
      <c r="J1053" s="56" t="n">
        <v>45119</v>
      </c>
    </row>
    <row r="1054">
      <c r="B1054" s="2" t="inlineStr">
        <is>
          <t>DD2BB9F3C8DF</t>
        </is>
      </c>
      <c r="D1054" t="inlineStr">
        <is>
          <t>PR2203-371</t>
        </is>
      </c>
      <c r="E1054" t="inlineStr">
        <is>
          <t>CARGONET</t>
        </is>
      </c>
      <c r="F1054" t="inlineStr">
        <is>
          <t>CARGO</t>
        </is>
      </c>
      <c r="J1054" s="56" t="n">
        <v>45119</v>
      </c>
    </row>
    <row r="1055">
      <c r="B1055" s="2" t="inlineStr">
        <is>
          <t>F97CD8503D12</t>
        </is>
      </c>
      <c r="D1055" t="inlineStr">
        <is>
          <t>PR2203-273</t>
        </is>
      </c>
      <c r="E1055" t="inlineStr">
        <is>
          <t>CARGONET</t>
        </is>
      </c>
      <c r="F1055" t="inlineStr">
        <is>
          <t>CARGO</t>
        </is>
      </c>
      <c r="J1055" s="56" t="n">
        <v>45119</v>
      </c>
    </row>
    <row r="1056">
      <c r="B1056" s="2" t="inlineStr">
        <is>
          <t>DEB0590EFAB9</t>
        </is>
      </c>
      <c r="D1056" t="inlineStr">
        <is>
          <t>PR2203-324</t>
        </is>
      </c>
      <c r="E1056" t="inlineStr">
        <is>
          <t>CARGONET</t>
        </is>
      </c>
      <c r="F1056" t="inlineStr">
        <is>
          <t>CARGO</t>
        </is>
      </c>
      <c r="J1056" s="56" t="n">
        <v>45119</v>
      </c>
    </row>
    <row r="1057">
      <c r="B1057" s="2" t="inlineStr">
        <is>
          <t>C48958A3DF38</t>
        </is>
      </c>
      <c r="D1057" t="inlineStr">
        <is>
          <t>PR2203-410</t>
        </is>
      </c>
      <c r="E1057" t="inlineStr">
        <is>
          <t>CARGONET</t>
        </is>
      </c>
      <c r="F1057" t="inlineStr">
        <is>
          <t>CARGO</t>
        </is>
      </c>
      <c r="J1057" s="56" t="n">
        <v>45119</v>
      </c>
    </row>
    <row r="1058">
      <c r="B1058" s="2" t="inlineStr">
        <is>
          <t>F0DB09968AF9</t>
        </is>
      </c>
      <c r="D1058" t="inlineStr">
        <is>
          <t>PR2203-224</t>
        </is>
      </c>
      <c r="E1058" t="inlineStr">
        <is>
          <t>CARGONET</t>
        </is>
      </c>
      <c r="F1058" t="inlineStr">
        <is>
          <t>CARGO</t>
        </is>
      </c>
      <c r="J1058" s="56" t="n">
        <v>45119</v>
      </c>
    </row>
    <row r="1059">
      <c r="B1059" s="2" t="inlineStr">
        <is>
          <t>D5364F4A15DA</t>
        </is>
      </c>
      <c r="D1059" t="inlineStr">
        <is>
          <t>PR2203-269</t>
        </is>
      </c>
      <c r="E1059" t="inlineStr">
        <is>
          <t>CARGONET</t>
        </is>
      </c>
      <c r="F1059" t="inlineStr">
        <is>
          <t>CARGO</t>
        </is>
      </c>
      <c r="J1059" s="56" t="n">
        <v>45119</v>
      </c>
    </row>
    <row r="1060">
      <c r="B1060" s="2" t="inlineStr">
        <is>
          <t>C5FCE51F43E0</t>
        </is>
      </c>
      <c r="D1060" t="inlineStr">
        <is>
          <t>PR2203-359</t>
        </is>
      </c>
      <c r="E1060" t="inlineStr">
        <is>
          <t>CARGONET</t>
        </is>
      </c>
      <c r="F1060" t="inlineStr">
        <is>
          <t>CARGO</t>
        </is>
      </c>
      <c r="J1060" s="56" t="n">
        <v>45119</v>
      </c>
    </row>
    <row r="1061">
      <c r="B1061" s="2" t="inlineStr">
        <is>
          <t>F202F0EA8E21</t>
        </is>
      </c>
      <c r="D1061" t="inlineStr">
        <is>
          <t>PR2203-158</t>
        </is>
      </c>
      <c r="E1061" t="inlineStr">
        <is>
          <t>CARGONET</t>
        </is>
      </c>
      <c r="F1061" t="inlineStr">
        <is>
          <t>CARGO</t>
        </is>
      </c>
      <c r="J1061" s="56" t="n">
        <v>45119</v>
      </c>
    </row>
    <row r="1062">
      <c r="B1062" s="2" t="inlineStr">
        <is>
          <t>EBAEAD8F68E5</t>
        </is>
      </c>
      <c r="D1062" t="inlineStr">
        <is>
          <t>PR2203-343</t>
        </is>
      </c>
      <c r="E1062" t="inlineStr">
        <is>
          <t>CARGONET</t>
        </is>
      </c>
      <c r="F1062" t="inlineStr">
        <is>
          <t>CARGO</t>
        </is>
      </c>
      <c r="J1062" s="56" t="n">
        <v>45119</v>
      </c>
    </row>
    <row r="1063">
      <c r="B1063" s="2" t="inlineStr">
        <is>
          <t>C2737DDFDC30</t>
        </is>
      </c>
      <c r="D1063" t="inlineStr">
        <is>
          <t>PR2203-325</t>
        </is>
      </c>
      <c r="E1063" t="inlineStr">
        <is>
          <t>CARGONET</t>
        </is>
      </c>
      <c r="F1063" t="inlineStr">
        <is>
          <t>CARGO</t>
        </is>
      </c>
      <c r="J1063" s="56" t="n">
        <v>45119</v>
      </c>
    </row>
    <row r="1064">
      <c r="B1064" s="2" t="inlineStr">
        <is>
          <t>C75EAD69669C</t>
        </is>
      </c>
      <c r="D1064" t="inlineStr">
        <is>
          <t>PR2203-367</t>
        </is>
      </c>
      <c r="E1064" t="inlineStr">
        <is>
          <t>CARGONET</t>
        </is>
      </c>
      <c r="F1064" t="inlineStr">
        <is>
          <t>CARGO</t>
        </is>
      </c>
      <c r="J1064" s="56" t="n">
        <v>45119</v>
      </c>
    </row>
    <row r="1065">
      <c r="B1065" s="2" t="inlineStr">
        <is>
          <t>D17350EDC925</t>
        </is>
      </c>
      <c r="D1065" t="inlineStr">
        <is>
          <t>PR2203-288</t>
        </is>
      </c>
      <c r="E1065" t="inlineStr">
        <is>
          <t>CARGONET</t>
        </is>
      </c>
      <c r="F1065" t="inlineStr">
        <is>
          <t>CARGO</t>
        </is>
      </c>
      <c r="J1065" s="56" t="n">
        <v>45119</v>
      </c>
    </row>
    <row r="1066">
      <c r="B1066" s="2" t="inlineStr">
        <is>
          <t>C279E37ABBD2</t>
        </is>
      </c>
      <c r="D1066" t="inlineStr">
        <is>
          <t>PR2203-067</t>
        </is>
      </c>
      <c r="E1066" t="inlineStr">
        <is>
          <t>CARGONET</t>
        </is>
      </c>
      <c r="F1066" t="inlineStr">
        <is>
          <t>CARGO</t>
        </is>
      </c>
      <c r="J1066" s="56" t="n">
        <v>45119</v>
      </c>
    </row>
    <row r="1067">
      <c r="B1067" s="2" t="inlineStr">
        <is>
          <t>C2D3807BBC32</t>
        </is>
      </c>
      <c r="D1067" t="inlineStr">
        <is>
          <t>PR2203-323</t>
        </is>
      </c>
      <c r="E1067" t="inlineStr">
        <is>
          <t>CARGONET</t>
        </is>
      </c>
      <c r="F1067" t="inlineStr">
        <is>
          <t>CARGO</t>
        </is>
      </c>
      <c r="J1067" s="56" t="n">
        <v>45119</v>
      </c>
    </row>
    <row r="1068">
      <c r="B1068" s="2" t="inlineStr">
        <is>
          <t>D4CE56768682</t>
        </is>
      </c>
      <c r="D1068" t="inlineStr">
        <is>
          <t>PR2203-459</t>
        </is>
      </c>
      <c r="E1068" t="inlineStr">
        <is>
          <t>CARGONET</t>
        </is>
      </c>
      <c r="F1068" t="inlineStr">
        <is>
          <t>CARGO</t>
        </is>
      </c>
      <c r="J1068" s="56" t="n">
        <v>45119</v>
      </c>
    </row>
    <row r="1069">
      <c r="B1069" s="2" t="inlineStr">
        <is>
          <t>D75A8588F893</t>
        </is>
      </c>
      <c r="D1069" t="inlineStr">
        <is>
          <t>PR2310-001</t>
        </is>
      </c>
      <c r="E1069" t="inlineStr">
        <is>
          <t>CFLCARGO</t>
        </is>
      </c>
      <c r="F1069" t="inlineStr">
        <is>
          <t>CARGO</t>
        </is>
      </c>
    </row>
    <row r="1070">
      <c r="B1070" s="2" t="inlineStr">
        <is>
          <t>D5E6AC2041B2</t>
        </is>
      </c>
      <c r="D1070" t="inlineStr">
        <is>
          <t>PR2310-002</t>
        </is>
      </c>
      <c r="E1070" t="inlineStr">
        <is>
          <t>CFLCARGO</t>
        </is>
      </c>
      <c r="F1070" t="inlineStr">
        <is>
          <t>CARGO</t>
        </is>
      </c>
    </row>
    <row r="1071">
      <c r="B1071" s="2" t="inlineStr">
        <is>
          <t>E68E54F96C0F</t>
        </is>
      </c>
      <c r="D1071" t="inlineStr">
        <is>
          <t>PR2310-003</t>
        </is>
      </c>
      <c r="E1071" t="inlineStr">
        <is>
          <t>CFLCARGO</t>
        </is>
      </c>
      <c r="F1071" t="inlineStr">
        <is>
          <t>CARGO</t>
        </is>
      </c>
    </row>
    <row r="1072">
      <c r="B1072" s="2" t="inlineStr">
        <is>
          <t>EA03AC5B9E36</t>
        </is>
      </c>
      <c r="D1072" t="inlineStr">
        <is>
          <t>PR2310-004</t>
        </is>
      </c>
      <c r="E1072" t="inlineStr">
        <is>
          <t>CFLCARGO</t>
        </is>
      </c>
      <c r="F1072" t="inlineStr">
        <is>
          <t>CARGO</t>
        </is>
      </c>
    </row>
    <row r="1073">
      <c r="B1073" s="2" t="inlineStr">
        <is>
          <t>CF8AEE2B1A97</t>
        </is>
      </c>
      <c r="D1073" t="inlineStr">
        <is>
          <t>PR2310-005</t>
        </is>
      </c>
      <c r="E1073" t="inlineStr">
        <is>
          <t>CFLCARGO</t>
        </is>
      </c>
      <c r="F1073" t="inlineStr">
        <is>
          <t>CARGO</t>
        </is>
      </c>
    </row>
    <row r="1074">
      <c r="B1074" s="2" t="inlineStr">
        <is>
          <t>D1143B74964C</t>
        </is>
      </c>
      <c r="D1074" t="inlineStr">
        <is>
          <t>PR2310-006</t>
        </is>
      </c>
      <c r="E1074" t="inlineStr">
        <is>
          <t>CFLCARGO</t>
        </is>
      </c>
      <c r="F1074" t="inlineStr">
        <is>
          <t>CARGO</t>
        </is>
      </c>
    </row>
    <row r="1075">
      <c r="B1075" s="2" t="inlineStr">
        <is>
          <t>FA1FCDDFE447</t>
        </is>
      </c>
      <c r="D1075" t="inlineStr">
        <is>
          <t>PR2310-007</t>
        </is>
      </c>
      <c r="E1075" t="inlineStr">
        <is>
          <t>CFLCARGO</t>
        </is>
      </c>
      <c r="F1075" t="inlineStr">
        <is>
          <t>CARGO</t>
        </is>
      </c>
    </row>
    <row r="1076">
      <c r="B1076" s="2" t="inlineStr">
        <is>
          <t>F980B1C668B2</t>
        </is>
      </c>
      <c r="D1076" t="inlineStr">
        <is>
          <t>PR2310-008</t>
        </is>
      </c>
      <c r="E1076" t="inlineStr">
        <is>
          <t>CFLCARGO</t>
        </is>
      </c>
      <c r="F1076" t="inlineStr">
        <is>
          <t>CARGO</t>
        </is>
      </c>
    </row>
    <row r="1077">
      <c r="B1077" s="2" t="inlineStr">
        <is>
          <t>E9AD1EBB6533</t>
        </is>
      </c>
      <c r="D1077" t="inlineStr">
        <is>
          <t>PR2310-009</t>
        </is>
      </c>
      <c r="E1077" t="inlineStr">
        <is>
          <t>CFLCARGO</t>
        </is>
      </c>
      <c r="F1077" t="inlineStr">
        <is>
          <t>CARGO</t>
        </is>
      </c>
    </row>
    <row r="1078">
      <c r="B1078" s="2" t="inlineStr">
        <is>
          <t>CAF64542DC6F</t>
        </is>
      </c>
      <c r="D1078" t="inlineStr">
        <is>
          <t>PR2310-010</t>
        </is>
      </c>
      <c r="E1078" t="inlineStr">
        <is>
          <t>CFLCARGO</t>
        </is>
      </c>
      <c r="F1078" t="inlineStr">
        <is>
          <t>CARGO</t>
        </is>
      </c>
    </row>
    <row r="1079">
      <c r="B1079" s="2" t="inlineStr">
        <is>
          <t>E94F35B0651F</t>
        </is>
      </c>
      <c r="D1079" t="inlineStr">
        <is>
          <t>PR2310-011</t>
        </is>
      </c>
      <c r="E1079" t="inlineStr">
        <is>
          <t>CFLCARGO</t>
        </is>
      </c>
      <c r="F1079" t="inlineStr">
        <is>
          <t>CARGO</t>
        </is>
      </c>
    </row>
    <row r="1080">
      <c r="B1080" s="2" t="inlineStr">
        <is>
          <t>FE350B769F5B</t>
        </is>
      </c>
      <c r="D1080" t="inlineStr">
        <is>
          <t>PR2310-012</t>
        </is>
      </c>
      <c r="E1080" t="inlineStr">
        <is>
          <t>CFLCARGO</t>
        </is>
      </c>
      <c r="F1080" t="inlineStr">
        <is>
          <t>CARGO</t>
        </is>
      </c>
    </row>
    <row r="1081">
      <c r="B1081" s="2" t="inlineStr">
        <is>
          <t>F7FDEADA1030</t>
        </is>
      </c>
      <c r="D1081" t="inlineStr">
        <is>
          <t>PR2310-013</t>
        </is>
      </c>
      <c r="E1081" t="inlineStr">
        <is>
          <t>CFLCARGO</t>
        </is>
      </c>
      <c r="F1081" t="inlineStr">
        <is>
          <t>CARGO</t>
        </is>
      </c>
    </row>
    <row r="1082">
      <c r="B1082" s="2" t="inlineStr">
        <is>
          <t>D4D550BE7AC3</t>
        </is>
      </c>
      <c r="D1082" t="inlineStr">
        <is>
          <t>PR2310-014</t>
        </is>
      </c>
      <c r="E1082" t="inlineStr">
        <is>
          <t>CFLCARGO</t>
        </is>
      </c>
      <c r="F1082" t="inlineStr">
        <is>
          <t>CARGO</t>
        </is>
      </c>
    </row>
    <row r="1083">
      <c r="B1083" s="2" t="inlineStr">
        <is>
          <t>D49F297A2C55</t>
        </is>
      </c>
      <c r="D1083" t="inlineStr">
        <is>
          <t>PR2310-015</t>
        </is>
      </c>
      <c r="E1083" t="inlineStr">
        <is>
          <t>CFLCARGO</t>
        </is>
      </c>
      <c r="F1083" t="inlineStr">
        <is>
          <t>CARGO</t>
        </is>
      </c>
    </row>
    <row r="1084">
      <c r="B1084" s="2" t="inlineStr">
        <is>
          <t>E4EABBA760E4</t>
        </is>
      </c>
      <c r="D1084" t="inlineStr">
        <is>
          <t>PR2310-016</t>
        </is>
      </c>
      <c r="E1084" t="inlineStr">
        <is>
          <t>CFLCARGO</t>
        </is>
      </c>
      <c r="F1084" t="inlineStr">
        <is>
          <t>CARGO</t>
        </is>
      </c>
    </row>
    <row r="1085">
      <c r="B1085" s="2" t="inlineStr">
        <is>
          <t>ECE954691081</t>
        </is>
      </c>
      <c r="D1085" t="inlineStr">
        <is>
          <t>PR2310-017</t>
        </is>
      </c>
      <c r="F1085" t="inlineStr">
        <is>
          <t>CARGO</t>
        </is>
      </c>
    </row>
    <row r="1086">
      <c r="B1086" s="2" t="inlineStr">
        <is>
          <t>CB40CFBFED08</t>
        </is>
      </c>
      <c r="D1086" t="inlineStr">
        <is>
          <t>PR2310-018</t>
        </is>
      </c>
      <c r="F1086" t="inlineStr">
        <is>
          <t>CARGO</t>
        </is>
      </c>
    </row>
  </sheetData>
  <autoFilter ref="A1:G1028"/>
  <conditionalFormatting sqref="A1:A1048576">
    <cfRule type="duplicateValues" priority="80" dxfId="16"/>
  </conditionalFormatting>
  <conditionalFormatting sqref="B1:B1048576">
    <cfRule type="duplicateValues" priority="89" dxfId="16"/>
  </conditionalFormatting>
  <conditionalFormatting sqref="C1:C411 C578:C1048576">
    <cfRule type="duplicateValues" priority="98" dxfId="16"/>
    <cfRule type="duplicateValues" priority="99" dxfId="16"/>
  </conditionalFormatting>
  <conditionalFormatting sqref="D1:D1048576">
    <cfRule type="duplicateValues" priority="118" dxfId="16"/>
  </conditionalFormatting>
  <conditionalFormatting sqref="I1:I1048576">
    <cfRule type="duplicateValues" priority="127" dxfId="16"/>
  </conditionalFormatting>
  <pageMargins left="0.7" right="0.7" top="0.75" bottom="0.75" header="0.3" footer="0.3"/>
  <pageSetup orientation="landscape" paperSize="261" horizontalDpi="180" verticalDpi="180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F24"/>
  <sheetViews>
    <sheetView workbookViewId="0">
      <pane xSplit="2" topLeftCell="C1" activePane="topRight" state="frozen"/>
      <selection pane="topRight" activeCell="A19" sqref="A19:XFD19"/>
    </sheetView>
  </sheetViews>
  <sheetFormatPr baseColWidth="8" defaultColWidth="8.88671875" defaultRowHeight="14.4"/>
  <cols>
    <col width="7.5546875" customWidth="1" min="1" max="1"/>
    <col width="18.5546875" bestFit="1" customWidth="1" style="14" min="2" max="2"/>
    <col width="29.33203125" bestFit="1" customWidth="1" min="3" max="3"/>
    <col width="7.5546875" bestFit="1" customWidth="1" style="43" min="4" max="4"/>
    <col width="8" bestFit="1" customWidth="1" style="44" min="5" max="5"/>
    <col width="6.88671875" bestFit="1" customWidth="1" style="45" min="6" max="6"/>
    <col width="3" bestFit="1" customWidth="1" style="43" min="7" max="7"/>
    <col width="4" bestFit="1" customWidth="1" style="44" min="8" max="8"/>
    <col width="7.5546875" bestFit="1" customWidth="1" style="44" min="9" max="9"/>
    <col width="4.33203125" bestFit="1" customWidth="1" style="44" min="10" max="10"/>
    <col width="5.5546875" bestFit="1" customWidth="1" style="44" min="11" max="11"/>
    <col width="4.5546875" bestFit="1" customWidth="1" style="45" min="12" max="12"/>
    <col width="3" bestFit="1" customWidth="1" style="43" min="13" max="13"/>
    <col width="5.5546875" bestFit="1" customWidth="1" style="44" min="14" max="14"/>
    <col width="6.109375" bestFit="1" customWidth="1" style="45" min="15" max="15"/>
    <col width="7" bestFit="1" customWidth="1" style="43" min="16" max="16"/>
    <col width="7.44140625" bestFit="1" customWidth="1" style="44" min="17" max="17"/>
    <col width="5.5546875" bestFit="1" customWidth="1" style="45" min="18" max="18"/>
    <col width="6.109375" bestFit="1" customWidth="1" style="43" min="19" max="19"/>
    <col width="8.5546875" bestFit="1" customWidth="1" style="44" min="20" max="20"/>
    <col width="7.109375" bestFit="1" customWidth="1" style="44" min="21" max="21"/>
    <col width="9" bestFit="1" customWidth="1" style="44" min="22" max="22"/>
    <col width="7.5546875" bestFit="1" customWidth="1" style="44" min="23" max="23"/>
    <col width="6.5546875" bestFit="1" customWidth="1" style="45" min="24" max="24"/>
    <col width="24" bestFit="1" customWidth="1" style="43" min="25" max="25"/>
    <col width="21.6640625" bestFit="1" customWidth="1" style="43" min="26" max="26"/>
    <col width="15" bestFit="1" customWidth="1" style="43" min="27" max="27"/>
    <col width="82.109375" customWidth="1" style="43" min="28" max="28"/>
    <col width="232.5546875" bestFit="1" customWidth="1" style="95" min="29" max="29"/>
    <col width="27.109375" customWidth="1" min="30" max="30"/>
    <col width="25.33203125" customWidth="1" min="31" max="31"/>
    <col width="25.109375" customWidth="1" min="32" max="32"/>
    <col width="55.44140625" customWidth="1" min="33" max="33"/>
  </cols>
  <sheetData>
    <row r="1" customFormat="1" s="42">
      <c r="B1" s="16" t="n"/>
      <c r="D1" s="117" t="inlineStr">
        <is>
          <t>speed_filter</t>
        </is>
      </c>
      <c r="E1" s="118" t="n"/>
      <c r="F1" s="119" t="n"/>
      <c r="G1" s="120" t="inlineStr">
        <is>
          <t>processing_intervals</t>
        </is>
      </c>
      <c r="H1" s="118" t="n"/>
      <c r="I1" s="118" t="n"/>
      <c r="J1" s="118" t="n"/>
      <c r="K1" s="118" t="n"/>
      <c r="L1" s="114" t="n">
        <v>2</v>
      </c>
      <c r="M1" s="117" t="inlineStr">
        <is>
          <t>BLE_intervals</t>
        </is>
      </c>
      <c r="N1" s="118" t="n"/>
      <c r="O1" s="119" t="n"/>
      <c r="P1" s="117" t="inlineStr">
        <is>
          <t>low_voltage</t>
        </is>
      </c>
      <c r="Q1" s="118" t="n"/>
      <c r="R1" s="119" t="n"/>
      <c r="S1" s="117" t="inlineStr">
        <is>
          <t>accelerometer</t>
        </is>
      </c>
      <c r="T1" s="118" t="n"/>
      <c r="U1" s="118" t="n"/>
      <c r="V1" s="118" t="n"/>
      <c r="W1" s="118" t="n"/>
      <c r="X1" s="119" t="n"/>
      <c r="Y1" s="84" t="inlineStr">
        <is>
          <t>log_filters</t>
        </is>
      </c>
      <c r="Z1" s="84" t="inlineStr">
        <is>
          <t>sensor_config</t>
        </is>
      </c>
      <c r="AA1" s="84" t="inlineStr">
        <is>
          <t>processing_mode</t>
        </is>
      </c>
      <c r="AB1" s="84" t="inlineStr">
        <is>
          <t>FW_URL</t>
        </is>
      </c>
      <c r="AC1" s="93" t="inlineStr">
        <is>
          <t>Settings string</t>
        </is>
      </c>
    </row>
    <row r="2" ht="41.4" customFormat="1" customHeight="1" s="6">
      <c r="A2" s="15" t="inlineStr">
        <is>
          <t>Setting code</t>
        </is>
      </c>
      <c r="B2" s="15" t="inlineStr">
        <is>
          <t>Setting</t>
        </is>
      </c>
      <c r="C2" s="15" t="inlineStr">
        <is>
          <t>Description</t>
        </is>
      </c>
      <c r="D2" s="46" t="inlineStr">
        <is>
          <t>lower speed</t>
        </is>
      </c>
      <c r="E2" s="47" t="inlineStr">
        <is>
          <t>higher speed</t>
        </is>
      </c>
      <c r="F2" s="69" t="inlineStr">
        <is>
          <t>deviation</t>
        </is>
      </c>
      <c r="G2" s="46" t="inlineStr">
        <is>
          <t>long Slot</t>
        </is>
      </c>
      <c r="H2" s="47" t="inlineStr">
        <is>
          <t>scan slot</t>
        </is>
      </c>
      <c r="I2" s="47" t="inlineStr">
        <is>
          <t>short period</t>
        </is>
      </c>
      <c r="J2" s="47" t="inlineStr">
        <is>
          <t>long period</t>
        </is>
      </c>
      <c r="K2" s="47" t="inlineStr">
        <is>
          <t>measure delay</t>
        </is>
      </c>
      <c r="L2" s="47" t="inlineStr">
        <is>
          <t>sensor second wake</t>
        </is>
      </c>
      <c r="M2" s="46" t="inlineStr">
        <is>
          <t>split</t>
        </is>
      </c>
      <c r="N2" s="47" t="inlineStr">
        <is>
          <t>time-out</t>
        </is>
      </c>
      <c r="O2" s="47" t="inlineStr">
        <is>
          <t>watchdog</t>
        </is>
      </c>
      <c r="P2" s="46" t="inlineStr">
        <is>
          <t>low limit, V</t>
        </is>
      </c>
      <c r="Q2" s="47" t="inlineStr">
        <is>
          <t>high limit, V</t>
        </is>
      </c>
      <c r="R2" s="47" t="inlineStr">
        <is>
          <t>test period, s</t>
        </is>
      </c>
      <c r="S2" s="46" t="inlineStr">
        <is>
          <t>ODR, Hz</t>
        </is>
      </c>
      <c r="T2" s="47" t="inlineStr">
        <is>
          <t>low g sense, g</t>
        </is>
      </c>
      <c r="U2" s="47" t="inlineStr">
        <is>
          <t>low g dur, s</t>
        </is>
      </c>
      <c r="V2" s="47" t="inlineStr">
        <is>
          <t>high g sense, g</t>
        </is>
      </c>
      <c r="W2" s="47" t="inlineStr">
        <is>
          <t>high g dur, s</t>
        </is>
      </c>
      <c r="X2" s="47" t="inlineStr">
        <is>
          <t>init (active / failed)</t>
        </is>
      </c>
      <c r="Y2" s="92" t="inlineStr">
        <is>
          <t>=30,sensors.process=1,sensors.comm=1</t>
        </is>
      </c>
      <c r="Z2" s="46" t="inlineStr">
        <is>
          <t>{\"RAIL_ACCEL_REC_RANGE_G\":16}</t>
        </is>
      </c>
      <c r="AA2" s="46" t="inlineStr">
        <is>
          <t>0(normal):1(test)</t>
        </is>
      </c>
      <c r="AB2" s="106" t="inlineStr">
        <is>
          <t>http://ec2-35-157-185-34.eu-central-1.compute.amazonaws.com:8090/sensor?2.1/0.22/</t>
        </is>
      </c>
      <c r="AC2" s="94" t="inlineStr">
        <is>
          <t>JSON</t>
        </is>
      </c>
    </row>
    <row r="3">
      <c r="A3" t="n">
        <v>1</v>
      </c>
      <c r="B3" s="14" t="inlineStr">
        <is>
          <t>Shipping</t>
        </is>
      </c>
      <c r="C3" t="inlineStr">
        <is>
          <t>Mode for shipping devices</t>
        </is>
      </c>
      <c r="D3" s="85" t="inlineStr">
        <is>
          <t>15.000000</t>
        </is>
      </c>
      <c r="E3" s="86" t="inlineStr">
        <is>
          <t>25.000000</t>
        </is>
      </c>
      <c r="F3" s="87" t="inlineStr">
        <is>
          <t>10.000000</t>
        </is>
      </c>
      <c r="G3" s="88" t="n">
        <v>40</v>
      </c>
      <c r="H3" s="89" t="n">
        <v>600</v>
      </c>
      <c r="I3" s="89">
        <f>3600*12</f>
        <v/>
      </c>
      <c r="J3" s="89">
        <f>3600*12</f>
        <v/>
      </c>
      <c r="K3" s="89" t="n">
        <v>10</v>
      </c>
      <c r="L3" s="90">
        <f>600*L$1</f>
        <v/>
      </c>
      <c r="M3" s="88" t="n">
        <v>1</v>
      </c>
      <c r="N3" s="89" t="n">
        <v>60</v>
      </c>
      <c r="O3" s="90" t="n">
        <v>300</v>
      </c>
      <c r="P3" s="85" t="inlineStr">
        <is>
          <t>2.500000</t>
        </is>
      </c>
      <c r="Q3" s="86" t="inlineStr">
        <is>
          <t>3.000000</t>
        </is>
      </c>
      <c r="R3" s="87" t="n">
        <v>3600</v>
      </c>
      <c r="S3" s="85" t="inlineStr">
        <is>
          <t>0.000000</t>
        </is>
      </c>
      <c r="T3" s="89" t="inlineStr">
        <is>
          <t>1.500000</t>
        </is>
      </c>
      <c r="U3" s="86" t="inlineStr">
        <is>
          <t>0.200000</t>
        </is>
      </c>
      <c r="V3" s="86" t="inlineStr">
        <is>
          <t>2.000000</t>
        </is>
      </c>
      <c r="W3" s="86" t="inlineStr">
        <is>
          <t>0.200000</t>
        </is>
      </c>
      <c r="X3" s="90" t="inlineStr">
        <is>
          <t>active</t>
        </is>
      </c>
      <c r="Y3" s="85" t="inlineStr">
        <is>
          <t>=30</t>
        </is>
      </c>
      <c r="Z3" s="85" t="inlineStr">
        <is>
          <t>{\"RAIL_ACCEL_REC_RANGE_G\":16}</t>
        </is>
      </c>
      <c r="AA3" s="85" t="inlineStr">
        <is>
          <t>0</t>
        </is>
      </c>
      <c r="AB3" s="85" t="n"/>
      <c r="AC3" s="96">
        <f>"{""" &amp; $D$1 &amp; """:""" &amp; $D3 &amp; "," &amp; $E3 &amp; "," &amp; $F3 &amp; """,""" &amp; $G$1 &amp; """:""" &amp; $G3 &amp; "," &amp; $H3 &amp; "," &amp; $I3 &amp; "," &amp; $J3 &amp; "," &amp; $K3 &amp; "," &amp; $L3 &amp; """,""" &amp; $M$1 &amp; """:""" &amp; $M3 &amp; "," &amp; $N3 &amp; "," &amp; $O3 &amp; """,""" &amp; $P$1 &amp; """:""" &amp; $P3 &amp; "," &amp; $Q3 &amp; "," &amp; $R3 &amp; """,""" &amp; $S$1 &amp; """:""" &amp; $S3 &amp; "," &amp; $T3 &amp; "," &amp; $U3 &amp; "," &amp; $V3 &amp; "," &amp; $W3 &amp; "," &amp; $X3 &amp; """,""" &amp; $AB$1 &amp; """:""" &amp; $AB3 &amp; """,""" &amp; $Y$1 &amp; """:""" &amp; $Y3 &amp; """,""" &amp; $Z$1 &amp; """:""" &amp; $Z3 &amp; """,""" &amp; $AA$1 &amp; """:""" &amp; $AA3 &amp; """}"</f>
        <v/>
      </c>
      <c r="AD3" s="91" t="n"/>
      <c r="AE3" s="91" t="n"/>
      <c r="AF3" s="91" t="n"/>
    </row>
    <row r="4">
      <c r="A4">
        <f>A3+1</f>
        <v/>
      </c>
      <c r="B4" s="14" t="inlineStr">
        <is>
          <t>Slow-5-12h</t>
        </is>
      </c>
      <c r="C4" t="inlineStr">
        <is>
          <t>Slow mode for low power operation</t>
        </is>
      </c>
      <c r="D4" s="88">
        <f>D3</f>
        <v/>
      </c>
      <c r="E4" s="86">
        <f>E3</f>
        <v/>
      </c>
      <c r="F4" s="90">
        <f>F3</f>
        <v/>
      </c>
      <c r="G4" s="88">
        <f>G3</f>
        <v/>
      </c>
      <c r="H4" s="89" t="n">
        <v>150</v>
      </c>
      <c r="I4" s="89">
        <f>3600*5</f>
        <v/>
      </c>
      <c r="J4" s="89">
        <f>3600*12</f>
        <v/>
      </c>
      <c r="K4" s="89">
        <f>K3</f>
        <v/>
      </c>
      <c r="L4" s="90">
        <f>200*L$1</f>
        <v/>
      </c>
      <c r="M4" s="88">
        <f>M3</f>
        <v/>
      </c>
      <c r="N4" s="89">
        <f>N3</f>
        <v/>
      </c>
      <c r="O4" s="90">
        <f>O3</f>
        <v/>
      </c>
      <c r="P4" s="85">
        <f>P3</f>
        <v/>
      </c>
      <c r="Q4" s="86">
        <f>Q3</f>
        <v/>
      </c>
      <c r="R4" s="87">
        <f>R3</f>
        <v/>
      </c>
      <c r="S4" s="85">
        <f>S3</f>
        <v/>
      </c>
      <c r="T4" s="86">
        <f>T3</f>
        <v/>
      </c>
      <c r="U4" s="86">
        <f>U3</f>
        <v/>
      </c>
      <c r="V4" s="86">
        <f>V3</f>
        <v/>
      </c>
      <c r="W4" s="86">
        <f>W3</f>
        <v/>
      </c>
      <c r="X4" s="90">
        <f>X3</f>
        <v/>
      </c>
      <c r="Y4" s="85" t="inlineStr">
        <is>
          <t>=30</t>
        </is>
      </c>
      <c r="Z4" s="85" t="inlineStr">
        <is>
          <t>{\"RAIL_ACCEL_REC_RANGE_G\":16}</t>
        </is>
      </c>
      <c r="AA4" s="85" t="inlineStr">
        <is>
          <t>0</t>
        </is>
      </c>
      <c r="AB4" s="85" t="n"/>
      <c r="AC4" s="96">
        <f>"{""" &amp; $D$1 &amp; """:""" &amp; $D4 &amp; "," &amp; $E4 &amp; "," &amp; $F4 &amp; """,""" &amp; $G$1 &amp; """:""" &amp; $G4 &amp; "," &amp; $H4 &amp; "," &amp; $I4 &amp; "," &amp; $J4 &amp; "," &amp; $K4 &amp; "," &amp; $L4 &amp; """,""" &amp; $M$1 &amp; """:""" &amp; $M4 &amp; "," &amp; $N4 &amp; "," &amp; $O4 &amp; """,""" &amp; $P$1 &amp; """:""" &amp; $P4 &amp; "," &amp; $Q4 &amp; "," &amp; $R4 &amp; """,""" &amp; $S$1 &amp; """:""" &amp; $S4 &amp; "," &amp; $T4 &amp; "," &amp; $U4 &amp; "," &amp; $V4 &amp; "," &amp; $W4 &amp; "," &amp; $X4 &amp; """,""" &amp; $AB$1 &amp; """:""" &amp; $AB4 &amp; """,""" &amp; $Y$1 &amp; """:""" &amp; $Y4 &amp; """,""" &amp; $Z$1 &amp; """:""" &amp; $Z4 &amp; """,""" &amp; $AA$1 &amp; """:""" &amp; $AA4 &amp; """}"</f>
        <v/>
      </c>
      <c r="AD4" s="91" t="n"/>
      <c r="AE4" s="91" t="n"/>
      <c r="AF4" s="91" t="n"/>
    </row>
    <row r="5">
      <c r="A5">
        <f>A4+1</f>
        <v/>
      </c>
      <c r="B5" s="14" t="inlineStr">
        <is>
          <t>Normal-4-12h</t>
        </is>
      </c>
      <c r="C5" t="inlineStr">
        <is>
          <t>Normal operation mode</t>
        </is>
      </c>
      <c r="D5" s="88">
        <f>D4</f>
        <v/>
      </c>
      <c r="E5" s="86">
        <f>E4</f>
        <v/>
      </c>
      <c r="F5" s="90">
        <f>F4</f>
        <v/>
      </c>
      <c r="G5" s="88">
        <f>G4</f>
        <v/>
      </c>
      <c r="H5" s="89" t="n">
        <v>150</v>
      </c>
      <c r="I5" s="89">
        <f>3600*4</f>
        <v/>
      </c>
      <c r="J5" s="89">
        <f>3600*12</f>
        <v/>
      </c>
      <c r="K5" s="89">
        <f>K4</f>
        <v/>
      </c>
      <c r="L5" s="90">
        <f>60*L$1</f>
        <v/>
      </c>
      <c r="M5" s="88">
        <f>M4</f>
        <v/>
      </c>
      <c r="N5" s="89">
        <f>N4</f>
        <v/>
      </c>
      <c r="O5" s="90">
        <f>O4</f>
        <v/>
      </c>
      <c r="P5" s="85">
        <f>P4</f>
        <v/>
      </c>
      <c r="Q5" s="86">
        <f>Q4</f>
        <v/>
      </c>
      <c r="R5" s="87">
        <f>R4</f>
        <v/>
      </c>
      <c r="S5" s="85">
        <f>S4</f>
        <v/>
      </c>
      <c r="T5" s="86">
        <f>T4</f>
        <v/>
      </c>
      <c r="U5" s="86">
        <f>U4</f>
        <v/>
      </c>
      <c r="V5" s="86">
        <f>V4</f>
        <v/>
      </c>
      <c r="W5" s="86">
        <f>W4</f>
        <v/>
      </c>
      <c r="X5" s="90">
        <f>X4</f>
        <v/>
      </c>
      <c r="Y5" s="85" t="inlineStr">
        <is>
          <t>=30</t>
        </is>
      </c>
      <c r="Z5" s="85" t="inlineStr">
        <is>
          <t>{\"RAIL_ACCEL_REC_RANGE_G\":16}</t>
        </is>
      </c>
      <c r="AA5" s="85" t="inlineStr">
        <is>
          <t>0</t>
        </is>
      </c>
      <c r="AB5" s="105" t="inlineStr">
        <is>
          <t>http://ec2-35-157-185-34.eu-central-1.compute.amazonaws.com:8090/sensor?2.2/0.31/</t>
        </is>
      </c>
      <c r="AC5" s="96">
        <f>"{""" &amp; $D$1 &amp; """:""" &amp; $D5 &amp; "," &amp; $E5 &amp; "," &amp; $F5 &amp; """,""" &amp; $G$1 &amp; """:""" &amp; $G5 &amp; "," &amp; $H5 &amp; "," &amp; $I5 &amp; "," &amp; $J5 &amp; "," &amp; $K5 &amp; "," &amp; $L5 &amp; """,""" &amp; $M$1 &amp; """:""" &amp; $M5 &amp; "," &amp; $N5 &amp; "," &amp; $O5 &amp; """,""" &amp; $P$1 &amp; """:""" &amp; $P5 &amp; "," &amp; $Q5 &amp; "," &amp; $R5 &amp; """,""" &amp; $S$1 &amp; """:""" &amp; $S5 &amp; "," &amp; $T5 &amp; "," &amp; $U5 &amp; "," &amp; $V5 &amp; "," &amp; $W5 &amp; "," &amp; $X5 &amp; """,""" &amp; $AB$1 &amp; """:""" &amp; $AB5 &amp; """,""" &amp; $Y$1 &amp; """:""" &amp; $Y5 &amp; """,""" &amp; $Z$1 &amp; """:""" &amp; $Z5 &amp; """,""" &amp; $AA$1 &amp; """:""" &amp; $AA5 &amp; """}"</f>
        <v/>
      </c>
      <c r="AD5" s="91" t="n"/>
      <c r="AE5" s="91" t="n"/>
      <c r="AF5" s="91" t="n"/>
    </row>
    <row r="6">
      <c r="A6">
        <f>A5+1</f>
        <v/>
      </c>
      <c r="B6" s="74" t="inlineStr">
        <is>
          <t>Fast-1-3h</t>
        </is>
      </c>
      <c r="C6" t="inlineStr">
        <is>
          <t>Fast mode for faster data collection</t>
        </is>
      </c>
      <c r="D6" s="88">
        <f>D5</f>
        <v/>
      </c>
      <c r="E6" s="86">
        <f>E5</f>
        <v/>
      </c>
      <c r="F6" s="90">
        <f>F5</f>
        <v/>
      </c>
      <c r="G6" s="88">
        <f>G5</f>
        <v/>
      </c>
      <c r="H6" s="89" t="n">
        <v>150</v>
      </c>
      <c r="I6" s="89">
        <f>3600*1</f>
        <v/>
      </c>
      <c r="J6" s="89">
        <f>3*3600</f>
        <v/>
      </c>
      <c r="K6" s="89">
        <f>K5</f>
        <v/>
      </c>
      <c r="L6" s="90">
        <f>60*L$1</f>
        <v/>
      </c>
      <c r="M6" s="88">
        <f>M5</f>
        <v/>
      </c>
      <c r="N6" s="89">
        <f>N5</f>
        <v/>
      </c>
      <c r="O6" s="90">
        <f>O5</f>
        <v/>
      </c>
      <c r="P6" s="85">
        <f>P5</f>
        <v/>
      </c>
      <c r="Q6" s="86">
        <f>Q5</f>
        <v/>
      </c>
      <c r="R6" s="87">
        <f>R5</f>
        <v/>
      </c>
      <c r="S6" s="85">
        <f>S5</f>
        <v/>
      </c>
      <c r="T6" s="86">
        <f>T5</f>
        <v/>
      </c>
      <c r="U6" s="86">
        <f>U5</f>
        <v/>
      </c>
      <c r="V6" s="86">
        <f>V5</f>
        <v/>
      </c>
      <c r="W6" s="86">
        <f>W5</f>
        <v/>
      </c>
      <c r="X6" s="90">
        <f>X5</f>
        <v/>
      </c>
      <c r="Y6" s="85" t="inlineStr">
        <is>
          <t>=30</t>
        </is>
      </c>
      <c r="Z6" s="85" t="inlineStr">
        <is>
          <t>{\"RAIL_ACCEL_REC_RANGE_G\":16}</t>
        </is>
      </c>
      <c r="AA6" s="85" t="inlineStr">
        <is>
          <t>0</t>
        </is>
      </c>
      <c r="AB6" s="105" t="n"/>
      <c r="AC6" s="96">
        <f>"{""" &amp; $D$1 &amp; """:""" &amp; $D6 &amp; "," &amp; $E6 &amp; "," &amp; $F6 &amp; """,""" &amp; $G$1 &amp; """:""" &amp; $G6 &amp; "," &amp; $H6 &amp; "," &amp; $I6 &amp; "," &amp; $J6 &amp; "," &amp; $K6 &amp; "," &amp; $L6 &amp; """,""" &amp; $M$1 &amp; """:""" &amp; $M6 &amp; "," &amp; $N6 &amp; "," &amp; $O6 &amp; """,""" &amp; $P$1 &amp; """:""" &amp; $P6 &amp; "," &amp; $Q6 &amp; "," &amp; $R6 &amp; """,""" &amp; $S$1 &amp; """:""" &amp; $S6 &amp; "," &amp; $T6 &amp; "," &amp; $U6 &amp; "," &amp; $V6 &amp; "," &amp; $W6 &amp; "," &amp; $X6 &amp; """,""" &amp; $AB$1 &amp; """:""" &amp; $AB6 &amp; """,""" &amp; $Y$1 &amp; """:""" &amp; $Y6 &amp; """,""" &amp; $Z$1 &amp; """:""" &amp; $Z6 &amp; """,""" &amp; $AA$1 &amp; """:""" &amp; $AA6 &amp; """}"</f>
        <v/>
      </c>
      <c r="AD6" s="91" t="n"/>
      <c r="AE6" s="91" t="n"/>
      <c r="AF6" s="91" t="n"/>
    </row>
    <row r="7">
      <c r="A7">
        <f>A6+1</f>
        <v/>
      </c>
      <c r="B7" s="73" t="inlineStr">
        <is>
          <t>Super Fast-20min-1h</t>
        </is>
      </c>
      <c r="C7" t="inlineStr">
        <is>
          <t>High energy consumption mode</t>
        </is>
      </c>
      <c r="D7" s="88">
        <f>D6</f>
        <v/>
      </c>
      <c r="E7" s="86">
        <f>E6</f>
        <v/>
      </c>
      <c r="F7" s="90">
        <f>F6</f>
        <v/>
      </c>
      <c r="G7" s="88">
        <f>G6</f>
        <v/>
      </c>
      <c r="H7" s="89" t="n">
        <v>150</v>
      </c>
      <c r="I7" s="89" t="n">
        <v>1200</v>
      </c>
      <c r="J7" s="89" t="n">
        <v>3600</v>
      </c>
      <c r="K7" s="89">
        <f>K6</f>
        <v/>
      </c>
      <c r="L7" s="90">
        <f>200*L$1</f>
        <v/>
      </c>
      <c r="M7" s="88">
        <f>M6</f>
        <v/>
      </c>
      <c r="N7" s="89">
        <f>N6</f>
        <v/>
      </c>
      <c r="O7" s="90">
        <f>O6</f>
        <v/>
      </c>
      <c r="P7" s="85">
        <f>P6</f>
        <v/>
      </c>
      <c r="Q7" s="86">
        <f>Q6</f>
        <v/>
      </c>
      <c r="R7" s="87">
        <f>R6</f>
        <v/>
      </c>
      <c r="S7" s="85">
        <f>S6</f>
        <v/>
      </c>
      <c r="T7" s="86">
        <f>T6</f>
        <v/>
      </c>
      <c r="U7" s="86">
        <f>U6</f>
        <v/>
      </c>
      <c r="V7" s="86">
        <f>V6</f>
        <v/>
      </c>
      <c r="W7" s="86">
        <f>W6</f>
        <v/>
      </c>
      <c r="X7" s="90">
        <f>X6</f>
        <v/>
      </c>
      <c r="Y7" s="85" t="inlineStr">
        <is>
          <t>=30</t>
        </is>
      </c>
      <c r="Z7" s="85" t="inlineStr">
        <is>
          <t>{\"RAIL_ACCEL_REC_RANGE_G\":16}</t>
        </is>
      </c>
      <c r="AA7" s="85" t="inlineStr">
        <is>
          <t>0</t>
        </is>
      </c>
      <c r="AB7" s="85" t="n"/>
      <c r="AC7" s="96">
        <f>"{""" &amp; $D$1 &amp; """:""" &amp; $D7 &amp; "," &amp; $E7 &amp; "," &amp; $F7 &amp; """,""" &amp; $G$1 &amp; """:""" &amp; $G7 &amp; "," &amp; $H7 &amp; "," &amp; $I7 &amp; "," &amp; $J7 &amp; "," &amp; $K7 &amp; "," &amp; $L7 &amp; """,""" &amp; $M$1 &amp; """:""" &amp; $M7 &amp; "," &amp; $N7 &amp; "," &amp; $O7 &amp; """,""" &amp; $P$1 &amp; """:""" &amp; $P7 &amp; "," &amp; $Q7 &amp; "," &amp; $R7 &amp; """,""" &amp; $S$1 &amp; """:""" &amp; $S7 &amp; "," &amp; $T7 &amp; "," &amp; $U7 &amp; "," &amp; $V7 &amp; "," &amp; $W7 &amp; "," &amp; $X7 &amp; """,""" &amp; $AB$1 &amp; """:""" &amp; $AB7 &amp; """,""" &amp; $Y$1 &amp; """:""" &amp; $Y7 &amp; """,""" &amp; $Z$1 &amp; """:""" &amp; $Z7 &amp; """,""" &amp; $AA$1 &amp; """:""" &amp; $AA7 &amp; """}"</f>
        <v/>
      </c>
      <c r="AD7" s="91" t="n"/>
      <c r="AE7" s="91" t="n"/>
      <c r="AF7" s="91" t="n"/>
    </row>
    <row r="8">
      <c r="A8">
        <f>A7+1</f>
        <v/>
      </c>
      <c r="B8" s="14" t="inlineStr">
        <is>
          <t>Assembly-20-20min</t>
        </is>
      </c>
      <c r="C8" t="inlineStr">
        <is>
          <t>For assembling sensors</t>
        </is>
      </c>
      <c r="D8" s="85" t="inlineStr">
        <is>
          <t>0.001000</t>
        </is>
      </c>
      <c r="E8" s="86" t="inlineStr">
        <is>
          <t>0.001000</t>
        </is>
      </c>
      <c r="F8" s="90">
        <f>F7</f>
        <v/>
      </c>
      <c r="G8" s="88">
        <f>G7</f>
        <v/>
      </c>
      <c r="H8" s="89" t="n">
        <v>800</v>
      </c>
      <c r="I8" s="89" t="n">
        <v>1200</v>
      </c>
      <c r="J8" s="89" t="n">
        <v>1200</v>
      </c>
      <c r="K8" s="89">
        <f>K7</f>
        <v/>
      </c>
      <c r="L8" s="90">
        <f>600*L$1</f>
        <v/>
      </c>
      <c r="M8" s="88">
        <f>M7</f>
        <v/>
      </c>
      <c r="N8" s="89">
        <f>N7</f>
        <v/>
      </c>
      <c r="O8" s="90">
        <f>O7</f>
        <v/>
      </c>
      <c r="P8" s="85">
        <f>P7</f>
        <v/>
      </c>
      <c r="Q8" s="86">
        <f>Q7</f>
        <v/>
      </c>
      <c r="R8" s="87">
        <f>R7</f>
        <v/>
      </c>
      <c r="S8" s="85" t="inlineStr">
        <is>
          <t>0.000000</t>
        </is>
      </c>
      <c r="T8" s="89" t="inlineStr">
        <is>
          <t>1.500000</t>
        </is>
      </c>
      <c r="U8" s="86" t="inlineStr">
        <is>
          <t>0.200000</t>
        </is>
      </c>
      <c r="V8" s="86" t="inlineStr">
        <is>
          <t>2.000000</t>
        </is>
      </c>
      <c r="W8" s="86" t="inlineStr">
        <is>
          <t>0.200000</t>
        </is>
      </c>
      <c r="X8" s="90" t="inlineStr">
        <is>
          <t>active</t>
        </is>
      </c>
      <c r="Y8" s="85" t="inlineStr">
        <is>
          <t>=30</t>
        </is>
      </c>
      <c r="Z8" s="85" t="inlineStr">
        <is>
          <t>{\"RAIL_ACCEL_REC_RANGE_G\":16}</t>
        </is>
      </c>
      <c r="AA8" s="85" t="inlineStr">
        <is>
          <t>0</t>
        </is>
      </c>
      <c r="AB8" s="85" t="n"/>
      <c r="AC8" s="96">
        <f>"{""" &amp; $D$1 &amp; """:""" &amp; $D8 &amp; "," &amp; $E8 &amp; "," &amp; $F8 &amp; """,""" &amp; $G$1 &amp; """:""" &amp; $G8 &amp; "," &amp; $H8 &amp; "," &amp; $I8 &amp; "," &amp; $J8 &amp; "," &amp; $K8 &amp; "," &amp; $L8 &amp; """,""" &amp; $M$1 &amp; """:""" &amp; $M8 &amp; "," &amp; $N8 &amp; "," &amp; $O8 &amp; """,""" &amp; $P$1 &amp; """:""" &amp; $P8 &amp; "," &amp; $Q8 &amp; "," &amp; $R8 &amp; """,""" &amp; $S$1 &amp; """:""" &amp; $S8 &amp; "," &amp; $T8 &amp; "," &amp; $U8 &amp; "," &amp; $V8 &amp; "," &amp; $W8 &amp; "," &amp; $X8 &amp; """,""" &amp; $AB$1 &amp; """:""" &amp; $AB8 &amp; """,""" &amp; $Y$1 &amp; """:""" &amp; $Y8 &amp; """,""" &amp; $Z$1 &amp; """:""" &amp; $Z8 &amp; """,""" &amp; $AA$1 &amp; """:""" &amp; $AA8 &amp; """}"</f>
        <v/>
      </c>
      <c r="AD8" s="91" t="n"/>
      <c r="AE8" s="91" t="n"/>
      <c r="AF8" s="91" t="n"/>
    </row>
    <row r="9" ht="20.4" customHeight="1">
      <c r="A9">
        <f>A8+1</f>
        <v/>
      </c>
      <c r="B9" s="14" t="inlineStr">
        <is>
          <t>New FW Test</t>
        </is>
      </c>
      <c r="C9" t="inlineStr">
        <is>
          <t>For LTG tests</t>
        </is>
      </c>
      <c r="D9" s="85" t="inlineStr">
        <is>
          <t>0.001000</t>
        </is>
      </c>
      <c r="E9" s="86" t="inlineStr">
        <is>
          <t>0.001000</t>
        </is>
      </c>
      <c r="F9" s="90">
        <f>F8</f>
        <v/>
      </c>
      <c r="G9" s="88">
        <f>G8</f>
        <v/>
      </c>
      <c r="H9" s="89" t="n">
        <v>600</v>
      </c>
      <c r="I9" s="89" t="n">
        <v>1200</v>
      </c>
      <c r="J9" s="89" t="n">
        <v>3600</v>
      </c>
      <c r="K9" s="89">
        <f>K8</f>
        <v/>
      </c>
      <c r="L9" s="90">
        <f>200*L$1</f>
        <v/>
      </c>
      <c r="M9" s="88">
        <f>M8</f>
        <v/>
      </c>
      <c r="N9" s="89">
        <f>N8</f>
        <v/>
      </c>
      <c r="O9" s="90">
        <f>O8</f>
        <v/>
      </c>
      <c r="P9" s="85">
        <f>P8</f>
        <v/>
      </c>
      <c r="Q9" s="86">
        <f>Q8</f>
        <v/>
      </c>
      <c r="R9" s="87">
        <f>R8</f>
        <v/>
      </c>
      <c r="S9" s="85">
        <f>S8</f>
        <v/>
      </c>
      <c r="T9" s="86">
        <f>T8</f>
        <v/>
      </c>
      <c r="U9" s="86">
        <f>U8</f>
        <v/>
      </c>
      <c r="V9" s="86">
        <f>V8</f>
        <v/>
      </c>
      <c r="W9" s="86">
        <f>W8</f>
        <v/>
      </c>
      <c r="X9" s="90">
        <f>X8</f>
        <v/>
      </c>
      <c r="Y9" s="92" t="inlineStr">
        <is>
          <t>=30,sensors.process=1,sensors.comm=1</t>
        </is>
      </c>
      <c r="Z9" s="85" t="inlineStr">
        <is>
          <t>{\"RAIL_ACCEL_REC_RANGE_G\":16}</t>
        </is>
      </c>
      <c r="AA9" s="85" t="inlineStr">
        <is>
          <t>0</t>
        </is>
      </c>
      <c r="AB9" s="105" t="inlineStr">
        <is>
          <t>http://ec2-35-157-185-34.eu-central-1.compute.amazonaws.com:8090/sensor?2.2/0.31/</t>
        </is>
      </c>
      <c r="AC9" s="96">
        <f>"{""" &amp; $D$1 &amp; """:""" &amp; $D9 &amp; "," &amp; $E9 &amp; "," &amp; $F9 &amp; """,""" &amp; $G$1 &amp; """:""" &amp; $G9 &amp; "," &amp; $H9 &amp; "," &amp; $I9 &amp; "," &amp; $J9 &amp; "," &amp; $K9 &amp; "," &amp; $L9 &amp; """,""" &amp; $M$1 &amp; """:""" &amp; $M9 &amp; "," &amp; $N9 &amp; "," &amp; $O9 &amp; """,""" &amp; $P$1 &amp; """:""" &amp; $P9 &amp; "," &amp; $Q9 &amp; "," &amp; $R9 &amp; """,""" &amp; $S$1 &amp; """:""" &amp; $S9 &amp; "," &amp; $T9 &amp; "," &amp; $U9 &amp; "," &amp; $V9 &amp; "," &amp; $W9 &amp; "," &amp; $X9 &amp; """,""" &amp; $AB$1 &amp; """:""" &amp; $AB9 &amp; """,""" &amp; $Y$1 &amp; """:""" &amp; $Y9 &amp; """,""" &amp; $Z$1 &amp; """:""" &amp; $Z9 &amp; """,""" &amp; $AA$1 &amp; """:""" &amp; $AA9 &amp; """}"</f>
        <v/>
      </c>
      <c r="AD9" s="91" t="n"/>
      <c r="AE9" s="91" t="n"/>
      <c r="AF9" s="91" t="n"/>
    </row>
    <row r="10">
      <c r="A10">
        <f>A9+1</f>
        <v/>
      </c>
      <c r="B10" s="14" t="inlineStr">
        <is>
          <t>TEST_F1-30min-4h</t>
        </is>
      </c>
      <c r="C10" t="inlineStr">
        <is>
          <t>Testing parameters 1</t>
        </is>
      </c>
      <c r="D10" s="85" t="inlineStr">
        <is>
          <t>0.000000</t>
        </is>
      </c>
      <c r="E10" s="86" t="inlineStr">
        <is>
          <t>0.000000</t>
        </is>
      </c>
      <c r="F10" s="90">
        <f>F9</f>
        <v/>
      </c>
      <c r="G10" s="88">
        <f>G9</f>
        <v/>
      </c>
      <c r="H10" s="89" t="n">
        <v>150</v>
      </c>
      <c r="I10" s="89" t="n">
        <v>1800</v>
      </c>
      <c r="J10" s="89">
        <f>3600*4</f>
        <v/>
      </c>
      <c r="K10" s="89" t="n">
        <v>10</v>
      </c>
      <c r="L10" s="90">
        <f>200*L$1</f>
        <v/>
      </c>
      <c r="M10" s="88">
        <f>M9</f>
        <v/>
      </c>
      <c r="N10" s="89">
        <f>N9</f>
        <v/>
      </c>
      <c r="O10" s="90">
        <f>O9</f>
        <v/>
      </c>
      <c r="P10" s="85">
        <f>P9</f>
        <v/>
      </c>
      <c r="Q10" s="86">
        <f>Q9</f>
        <v/>
      </c>
      <c r="R10" s="87">
        <f>R9</f>
        <v/>
      </c>
      <c r="S10" s="85">
        <f>S9</f>
        <v/>
      </c>
      <c r="T10" s="86">
        <f>T9</f>
        <v/>
      </c>
      <c r="U10" s="86">
        <f>U9</f>
        <v/>
      </c>
      <c r="V10" s="86">
        <f>V9</f>
        <v/>
      </c>
      <c r="W10" s="86">
        <f>W9</f>
        <v/>
      </c>
      <c r="X10" s="90">
        <f>X9</f>
        <v/>
      </c>
      <c r="Y10" s="85" t="inlineStr">
        <is>
          <t>=30</t>
        </is>
      </c>
      <c r="Z10" s="85" t="inlineStr">
        <is>
          <t>{\"RAIL_ACCEL_REC_RANGE_G\":16}</t>
        </is>
      </c>
      <c r="AA10" s="85" t="inlineStr">
        <is>
          <t>0</t>
        </is>
      </c>
      <c r="AB10" s="106" t="n"/>
      <c r="AC10" s="96">
        <f>"{""" &amp; $D$1 &amp; """:""" &amp; $D10 &amp; "," &amp; $E10 &amp; "," &amp; $F10 &amp; """,""" &amp; $G$1 &amp; """:""" &amp; $G10 &amp; "," &amp; $H10 &amp; "," &amp; $I10 &amp; "," &amp; $J10 &amp; "," &amp; $K10 &amp; "," &amp; $L10 &amp; """,""" &amp; $M$1 &amp; """:""" &amp; $M10 &amp; "," &amp; $N10 &amp; "," &amp; $O10 &amp; """,""" &amp; $P$1 &amp; """:""" &amp; $P10 &amp; "," &amp; $Q10 &amp; "," &amp; $R10 &amp; """,""" &amp; $S$1 &amp; """:""" &amp; $S10 &amp; "," &amp; $T10 &amp; "," &amp; $U10 &amp; "," &amp; $V10 &amp; "," &amp; $W10 &amp; "," &amp; $X10 &amp; """,""" &amp; $AB$1 &amp; """:""" &amp; $AB10 &amp; """,""" &amp; $Y$1 &amp; """:""" &amp; $Y10 &amp; """,""" &amp; $Z$1 &amp; """:""" &amp; $Z10 &amp; """,""" &amp; $AA$1 &amp; """:""" &amp; $AA10 &amp; """}"</f>
        <v/>
      </c>
      <c r="AD10" s="91" t="n"/>
      <c r="AE10" s="91" t="n"/>
      <c r="AF10" s="91" t="n"/>
    </row>
    <row r="11">
      <c r="A11">
        <f>A10+1</f>
        <v/>
      </c>
      <c r="B11" s="14" t="inlineStr">
        <is>
          <t>Recovery-6-6h</t>
        </is>
      </c>
      <c r="C11" t="inlineStr">
        <is>
          <t>Mode for GW recovery</t>
        </is>
      </c>
      <c r="D11" s="85" t="inlineStr">
        <is>
          <t>30.000000</t>
        </is>
      </c>
      <c r="E11" s="86" t="inlineStr">
        <is>
          <t>40.000000</t>
        </is>
      </c>
      <c r="F11" s="90">
        <f>F10</f>
        <v/>
      </c>
      <c r="G11" s="88">
        <f>G10</f>
        <v/>
      </c>
      <c r="H11" s="89" t="n">
        <v>10</v>
      </c>
      <c r="I11" s="89">
        <f>3600*6</f>
        <v/>
      </c>
      <c r="J11" s="89">
        <f>3600*6</f>
        <v/>
      </c>
      <c r="K11" s="89" t="n">
        <v>10</v>
      </c>
      <c r="L11" s="90">
        <f>300*L$1</f>
        <v/>
      </c>
      <c r="M11" s="88">
        <f>M10</f>
        <v/>
      </c>
      <c r="N11" s="89">
        <f>N10</f>
        <v/>
      </c>
      <c r="O11" s="90">
        <f>O10</f>
        <v/>
      </c>
      <c r="P11" s="85">
        <f>P10</f>
        <v/>
      </c>
      <c r="Q11" s="86">
        <f>Q10</f>
        <v/>
      </c>
      <c r="R11" s="87">
        <f>R10</f>
        <v/>
      </c>
      <c r="S11" s="85">
        <f>S10</f>
        <v/>
      </c>
      <c r="T11" s="86">
        <f>T10</f>
        <v/>
      </c>
      <c r="U11" s="86">
        <f>U10</f>
        <v/>
      </c>
      <c r="V11" s="86">
        <f>V10</f>
        <v/>
      </c>
      <c r="W11" s="86">
        <f>W10</f>
        <v/>
      </c>
      <c r="X11" s="90">
        <f>X10</f>
        <v/>
      </c>
      <c r="Y11" s="85" t="inlineStr">
        <is>
          <t>=30</t>
        </is>
      </c>
      <c r="Z11" s="85" t="inlineStr">
        <is>
          <t>{\"RAIL_ACCEL_REC_RANGE_G\":16}</t>
        </is>
      </c>
      <c r="AA11" s="85" t="inlineStr">
        <is>
          <t>0</t>
        </is>
      </c>
      <c r="AB11" s="85" t="n"/>
      <c r="AC11" s="96">
        <f>"{""" &amp; $D$1 &amp; """:""" &amp; $D11 &amp; "," &amp; $E11 &amp; "," &amp; $F11 &amp; """,""" &amp; $G$1 &amp; """:""" &amp; $G11 &amp; "," &amp; $H11 &amp; "," &amp; $I11 &amp; "," &amp; $J11 &amp; "," &amp; $K11 &amp; "," &amp; $L11 &amp; """,""" &amp; $M$1 &amp; """:""" &amp; $M11 &amp; "," &amp; $N11 &amp; "," &amp; $O11 &amp; """,""" &amp; $P$1 &amp; """:""" &amp; $P11 &amp; "," &amp; $Q11 &amp; "," &amp; $R11 &amp; """,""" &amp; $S$1 &amp; """:""" &amp; $S11 &amp; "," &amp; $T11 &amp; "," &amp; $U11 &amp; "," &amp; $V11 &amp; "," &amp; $W11 &amp; "," &amp; $X11 &amp; """,""" &amp; $AB$1 &amp; """:""" &amp; $AB11 &amp; """,""" &amp; $Y$1 &amp; """:""" &amp; $Y11 &amp; """,""" &amp; $Z$1 &amp; """:""" &amp; $Z11 &amp; """,""" &amp; $AA$1 &amp; """:""" &amp; $AA11 &amp; """}"</f>
        <v/>
      </c>
      <c r="AD11" s="91" t="n"/>
      <c r="AE11" s="91" t="n"/>
      <c r="AF11" s="91" t="n"/>
    </row>
    <row r="12">
      <c r="A12">
        <f>A11+1</f>
        <v/>
      </c>
      <c r="B12" s="14" t="inlineStr">
        <is>
          <t>Discovery</t>
        </is>
      </c>
      <c r="C12" t="inlineStr">
        <is>
          <t>Find all desynchronized sensors</t>
        </is>
      </c>
      <c r="D12" s="85" t="inlineStr">
        <is>
          <t>15.000000</t>
        </is>
      </c>
      <c r="E12" s="86" t="inlineStr">
        <is>
          <t>25.000000</t>
        </is>
      </c>
      <c r="F12" s="90">
        <f>F11</f>
        <v/>
      </c>
      <c r="G12" s="88">
        <f>G11</f>
        <v/>
      </c>
      <c r="H12" s="89" t="n">
        <v>600</v>
      </c>
      <c r="I12" s="89" t="n">
        <v>1200</v>
      </c>
      <c r="J12" s="89">
        <f>3600*1.5</f>
        <v/>
      </c>
      <c r="K12" s="89" t="n">
        <v>10</v>
      </c>
      <c r="L12" s="90">
        <f>300*L$1*24</f>
        <v/>
      </c>
      <c r="M12" s="88" t="n">
        <v>1</v>
      </c>
      <c r="N12" s="89" t="n">
        <v>60</v>
      </c>
      <c r="O12" s="90" t="n">
        <v>300</v>
      </c>
      <c r="P12" s="85" t="inlineStr">
        <is>
          <t>2.500000</t>
        </is>
      </c>
      <c r="Q12" s="86" t="inlineStr">
        <is>
          <t>3.000000</t>
        </is>
      </c>
      <c r="R12" s="87" t="n">
        <v>3600</v>
      </c>
      <c r="S12" s="85" t="inlineStr">
        <is>
          <t>0.000000</t>
        </is>
      </c>
      <c r="T12" s="89" t="inlineStr">
        <is>
          <t>1.500000</t>
        </is>
      </c>
      <c r="U12" s="86" t="inlineStr">
        <is>
          <t>0.200000</t>
        </is>
      </c>
      <c r="V12" s="86" t="inlineStr">
        <is>
          <t>2.000000</t>
        </is>
      </c>
      <c r="W12" s="86" t="inlineStr">
        <is>
          <t>0.200000</t>
        </is>
      </c>
      <c r="X12" s="90" t="inlineStr">
        <is>
          <t>active</t>
        </is>
      </c>
      <c r="Y12" s="85" t="inlineStr">
        <is>
          <t>=30</t>
        </is>
      </c>
      <c r="Z12" s="85" t="inlineStr">
        <is>
          <t>{\"RAIL_ACCEL_REC_RANGE_G\":16}</t>
        </is>
      </c>
      <c r="AA12" s="85" t="inlineStr">
        <is>
          <t>0</t>
        </is>
      </c>
      <c r="AB12" s="85" t="n"/>
      <c r="AC12" s="96">
        <f>"{""" &amp; $D$1 &amp; """:""" &amp; $D12 &amp; "," &amp; $E12 &amp; "," &amp; $F12 &amp; """,""" &amp; $G$1 &amp; """:""" &amp; $G12 &amp; "," &amp; $H12 &amp; "," &amp; $I12 &amp; "," &amp; $J12 &amp; "," &amp; $K12 &amp; "," &amp; $L12 &amp; """,""" &amp; $M$1 &amp; """:""" &amp; $M12 &amp; "," &amp; $N12 &amp; "," &amp; $O12 &amp; """,""" &amp; $P$1 &amp; """:""" &amp; $P12 &amp; "," &amp; $Q12 &amp; "," &amp; $R12 &amp; """,""" &amp; $S$1 &amp; """:""" &amp; $S12 &amp; "," &amp; $T12 &amp; "," &amp; $U12 &amp; "," &amp; $V12 &amp; "," &amp; $W12 &amp; "," &amp; $X12 &amp; """,""" &amp; $AB$1 &amp; """:""" &amp; $AB12 &amp; """,""" &amp; $Y$1 &amp; """:""" &amp; $Y12 &amp; """,""" &amp; $Z$1 &amp; """:""" &amp; $Z12 &amp; """,""" &amp; $AA$1 &amp; """:""" &amp; $AA12 &amp; """}"</f>
        <v/>
      </c>
      <c r="AD12" s="91" t="n"/>
      <c r="AE12" s="91" t="n"/>
      <c r="AF12" s="91" t="n"/>
    </row>
    <row r="13" ht="20.4" customHeight="1">
      <c r="A13">
        <f>A12+1</f>
        <v/>
      </c>
      <c r="B13" s="14" t="inlineStr">
        <is>
          <t>TEST_F2-30min-1h</t>
        </is>
      </c>
      <c r="C13" t="inlineStr">
        <is>
          <t>Testing parameters 2</t>
        </is>
      </c>
      <c r="D13" s="85" t="inlineStr">
        <is>
          <t>0.000000</t>
        </is>
      </c>
      <c r="E13" s="86" t="inlineStr">
        <is>
          <t>0.000000</t>
        </is>
      </c>
      <c r="F13" s="90">
        <f>F10</f>
        <v/>
      </c>
      <c r="G13" s="88">
        <f>G12</f>
        <v/>
      </c>
      <c r="H13" s="89" t="n">
        <v>600</v>
      </c>
      <c r="I13" s="89" t="n">
        <v>1800</v>
      </c>
      <c r="J13" s="89">
        <f>3600</f>
        <v/>
      </c>
      <c r="K13" s="89" t="n">
        <v>10</v>
      </c>
      <c r="L13" s="90">
        <f>200*L$1</f>
        <v/>
      </c>
      <c r="M13" s="88">
        <f>M11</f>
        <v/>
      </c>
      <c r="N13" s="89">
        <f>N11</f>
        <v/>
      </c>
      <c r="O13" s="90">
        <f>O11</f>
        <v/>
      </c>
      <c r="P13" s="85">
        <f>P11</f>
        <v/>
      </c>
      <c r="Q13" s="86">
        <f>Q11</f>
        <v/>
      </c>
      <c r="R13" s="87">
        <f>R11</f>
        <v/>
      </c>
      <c r="S13" s="85">
        <f>S11</f>
        <v/>
      </c>
      <c r="T13" s="86">
        <f>T11</f>
        <v/>
      </c>
      <c r="U13" s="86">
        <f>U11</f>
        <v/>
      </c>
      <c r="V13" s="86">
        <f>V11</f>
        <v/>
      </c>
      <c r="W13" s="86">
        <f>W11</f>
        <v/>
      </c>
      <c r="X13" s="90">
        <f>X11</f>
        <v/>
      </c>
      <c r="Y13" s="92" t="inlineStr">
        <is>
          <t>=30,sensors.process=1,sensors.comm=1</t>
        </is>
      </c>
      <c r="Z13" s="85" t="inlineStr">
        <is>
          <t>{\"RAIL_ACCEL_REC_RANGE_G\":16}</t>
        </is>
      </c>
      <c r="AA13" s="85" t="inlineStr">
        <is>
          <t>0</t>
        </is>
      </c>
      <c r="AB13" s="105" t="n"/>
      <c r="AC13" s="96">
        <f>"{""" &amp; $D$1 &amp; """:""" &amp; $D13 &amp; "," &amp; $E13 &amp; "," &amp; $F13 &amp; """,""" &amp; $G$1 &amp; """:""" &amp; $G13 &amp; "," &amp; $H13 &amp; "," &amp; $I13 &amp; "," &amp; $J13 &amp; "," &amp; $K13 &amp; "," &amp; $L13 &amp; """,""" &amp; $M$1 &amp; """:""" &amp; $M13 &amp; "," &amp; $N13 &amp; "," &amp; $O13 &amp; """,""" &amp; $P$1 &amp; """:""" &amp; $P13 &amp; "," &amp; $Q13 &amp; "," &amp; $R13 &amp; """,""" &amp; $S$1 &amp; """:""" &amp; $S13 &amp; "," &amp; $T13 &amp; "," &amp; $U13 &amp; "," &amp; $V13 &amp; "," &amp; $W13 &amp; "," &amp; $X13 &amp; """,""" &amp; $AB$1 &amp; """:""" &amp; $AB13 &amp; """,""" &amp; $Y$1 &amp; """:""" &amp; $Y13 &amp; """,""" &amp; $Z$1 &amp; """:""" &amp; $Z13 &amp; """,""" &amp; $AA$1 &amp; """:""" &amp; $AA13 &amp; """}"</f>
        <v/>
      </c>
      <c r="AD13" s="91" t="n"/>
      <c r="AE13" s="91" t="n"/>
      <c r="AF13" s="91" t="n"/>
    </row>
    <row r="14">
      <c r="A14">
        <f>A13+1</f>
        <v/>
      </c>
      <c r="B14" s="14" t="inlineStr">
        <is>
          <t>Normal-2-6h</t>
        </is>
      </c>
      <c r="C14" t="inlineStr">
        <is>
          <t>Normal mode with 2h+6h interval</t>
        </is>
      </c>
      <c r="D14" s="85">
        <f>D5</f>
        <v/>
      </c>
      <c r="E14" s="86">
        <f>E5</f>
        <v/>
      </c>
      <c r="F14" s="90">
        <f>F5</f>
        <v/>
      </c>
      <c r="G14" s="88">
        <f>G13</f>
        <v/>
      </c>
      <c r="H14" s="89" t="n">
        <v>150</v>
      </c>
      <c r="I14" s="89">
        <f>3600*2</f>
        <v/>
      </c>
      <c r="J14" s="89">
        <f>3600*6</f>
        <v/>
      </c>
      <c r="K14" s="89">
        <f>K5</f>
        <v/>
      </c>
      <c r="L14" s="90">
        <f>L5*L$1</f>
        <v/>
      </c>
      <c r="M14" s="88">
        <f>M5</f>
        <v/>
      </c>
      <c r="N14" s="89">
        <f>N5</f>
        <v/>
      </c>
      <c r="O14" s="90">
        <f>O5</f>
        <v/>
      </c>
      <c r="P14" s="85">
        <f>P5</f>
        <v/>
      </c>
      <c r="Q14" s="86">
        <f>Q5</f>
        <v/>
      </c>
      <c r="R14" s="87">
        <f>R5</f>
        <v/>
      </c>
      <c r="S14" s="85">
        <f>S5</f>
        <v/>
      </c>
      <c r="T14" s="86">
        <f>T5</f>
        <v/>
      </c>
      <c r="U14" s="86">
        <f>U5</f>
        <v/>
      </c>
      <c r="V14" s="86">
        <f>V5</f>
        <v/>
      </c>
      <c r="W14" s="86">
        <f>W5</f>
        <v/>
      </c>
      <c r="X14" s="90">
        <f>X5</f>
        <v/>
      </c>
      <c r="Y14" s="85" t="inlineStr">
        <is>
          <t>=30</t>
        </is>
      </c>
      <c r="Z14" s="85" t="inlineStr">
        <is>
          <t>{\"RAIL_ACCEL_REC_RANGE_G\":16}</t>
        </is>
      </c>
      <c r="AA14" s="85" t="inlineStr">
        <is>
          <t>0</t>
        </is>
      </c>
      <c r="AB14" s="85" t="n"/>
      <c r="AC14" s="96">
        <f>"{""" &amp; $D$1 &amp; """:""" &amp; $D14 &amp; "," &amp; $E14 &amp; "," &amp; $F14 &amp; """,""" &amp; $G$1 &amp; """:""" &amp; $G14 &amp; "," &amp; $H14 &amp; "," &amp; $I14 &amp; "," &amp; $J14 &amp; "," &amp; $K14 &amp; "," &amp; $L14 &amp; """,""" &amp; $M$1 &amp; """:""" &amp; $M14 &amp; "," &amp; $N14 &amp; "," &amp; $O14 &amp; """,""" &amp; $P$1 &amp; """:""" &amp; $P14 &amp; "," &amp; $Q14 &amp; "," &amp; $R14 &amp; """,""" &amp; $S$1 &amp; """:""" &amp; $S14 &amp; "," &amp; $T14 &amp; "," &amp; $U14 &amp; "," &amp; $V14 &amp; "," &amp; $W14 &amp; "," &amp; $X14 &amp; """,""" &amp; $AB$1 &amp; """:""" &amp; $AB14 &amp; """,""" &amp; $Y$1 &amp; """:""" &amp; $Y14 &amp; """,""" &amp; $Z$1 &amp; """:""" &amp; $Z14 &amp; """,""" &amp; $AA$1 &amp; """:""" &amp; $AA14 &amp; """}"</f>
        <v/>
      </c>
      <c r="AD14" s="91" t="n"/>
      <c r="AE14" s="91" t="n"/>
      <c r="AF14" s="91" t="n"/>
    </row>
    <row r="15">
      <c r="A15">
        <f>A14+1</f>
        <v/>
      </c>
      <c r="B15" s="14" t="inlineStr">
        <is>
          <t>Certification</t>
        </is>
      </c>
      <c r="C15" t="inlineStr">
        <is>
          <t>Mode for certification bodies</t>
        </is>
      </c>
      <c r="D15" s="85" t="inlineStr">
        <is>
          <t>15.000000</t>
        </is>
      </c>
      <c r="E15" s="86" t="inlineStr">
        <is>
          <t>25.000000</t>
        </is>
      </c>
      <c r="F15" s="90" t="inlineStr">
        <is>
          <t>10.000000</t>
        </is>
      </c>
      <c r="G15" s="88">
        <f>G14</f>
        <v/>
      </c>
      <c r="H15" s="89" t="n">
        <v>300</v>
      </c>
      <c r="I15" s="89" t="n">
        <v>14400</v>
      </c>
      <c r="J15" s="89" t="n">
        <v>43200</v>
      </c>
      <c r="K15" s="89" t="n">
        <v>10</v>
      </c>
      <c r="L15" s="90">
        <f>200*L$1</f>
        <v/>
      </c>
      <c r="M15" s="88" t="n">
        <v>1</v>
      </c>
      <c r="N15" s="89" t="n">
        <v>60</v>
      </c>
      <c r="O15" s="90" t="n">
        <v>300</v>
      </c>
      <c r="P15" s="85" t="inlineStr">
        <is>
          <t>2.500000</t>
        </is>
      </c>
      <c r="Q15" s="86" t="inlineStr">
        <is>
          <t>3.000000</t>
        </is>
      </c>
      <c r="R15" s="87" t="n">
        <v>3600</v>
      </c>
      <c r="S15" s="85" t="inlineStr">
        <is>
          <t>0.000000</t>
        </is>
      </c>
      <c r="T15" s="86" t="inlineStr">
        <is>
          <t>1.500000</t>
        </is>
      </c>
      <c r="U15" s="86" t="inlineStr">
        <is>
          <t>0.200000</t>
        </is>
      </c>
      <c r="V15" s="86" t="inlineStr">
        <is>
          <t>2.000000</t>
        </is>
      </c>
      <c r="W15" s="86" t="inlineStr">
        <is>
          <t>0.200000</t>
        </is>
      </c>
      <c r="X15" s="90" t="inlineStr">
        <is>
          <t>active</t>
        </is>
      </c>
      <c r="Y15" s="85" t="inlineStr">
        <is>
          <t>=30</t>
        </is>
      </c>
      <c r="Z15" s="85" t="inlineStr">
        <is>
          <t>{\"RAIL_ACCEL_REC_RANGE_G\":16}</t>
        </is>
      </c>
      <c r="AA15" s="85" t="inlineStr">
        <is>
          <t>1</t>
        </is>
      </c>
      <c r="AB15" s="85" t="n"/>
      <c r="AC15" s="96">
        <f>"{""" &amp; $D$1 &amp; """:""" &amp; $D15 &amp; "," &amp; $E15 &amp; "," &amp; $F15 &amp; """,""" &amp; $G$1 &amp; """:""" &amp; $G15 &amp; "," &amp; $H15 &amp; "," &amp; $I15 &amp; "," &amp; $J15 &amp; "," &amp; $K15 &amp; "," &amp; $L15 &amp; """,""" &amp; $M$1 &amp; """:""" &amp; $M15 &amp; "," &amp; $N15 &amp; "," &amp; $O15 &amp; """,""" &amp; $P$1 &amp; """:""" &amp; $P15 &amp; "," &amp; $Q15 &amp; "," &amp; $R15 &amp; """,""" &amp; $S$1 &amp; """:""" &amp; $S15 &amp; "," &amp; $T15 &amp; "," &amp; $U15 &amp; "," &amp; $V15 &amp; "," &amp; $W15 &amp; "," &amp; $X15 &amp; """,""" &amp; $AB$1 &amp; """:""" &amp; $AB15 &amp; """,""" &amp; $Y$1 &amp; """:""" &amp; $Y15 &amp; """,""" &amp; $Z$1 &amp; """:""" &amp; $Z15 &amp; """,""" &amp; $AA$1 &amp; """:""" &amp; $AA15 &amp; """}"</f>
        <v/>
      </c>
      <c r="AD15" s="91" t="n"/>
      <c r="AE15" s="91" t="n"/>
      <c r="AF15" s="91" t="n"/>
    </row>
    <row r="16">
      <c r="A16">
        <f>A15+1</f>
        <v/>
      </c>
      <c r="B16" s="14" t="inlineStr">
        <is>
          <t>Reserved-1</t>
        </is>
      </c>
      <c r="C16" t="inlineStr">
        <is>
          <t>Normal operation mode</t>
        </is>
      </c>
      <c r="D16" s="88">
        <f>D15</f>
        <v/>
      </c>
      <c r="E16" s="86">
        <f>E15</f>
        <v/>
      </c>
      <c r="F16" s="90">
        <f>F15</f>
        <v/>
      </c>
      <c r="G16" s="88">
        <f>G15</f>
        <v/>
      </c>
      <c r="H16" s="89" t="n">
        <v>400</v>
      </c>
      <c r="I16" s="89">
        <f>3600*4</f>
        <v/>
      </c>
      <c r="J16" s="89">
        <f>3600*12</f>
        <v/>
      </c>
      <c r="K16" s="89">
        <f>K15</f>
        <v/>
      </c>
      <c r="L16" s="90">
        <f>200*L$1</f>
        <v/>
      </c>
      <c r="M16" s="88">
        <f>M15</f>
        <v/>
      </c>
      <c r="N16" s="89">
        <f>N15</f>
        <v/>
      </c>
      <c r="O16" s="90">
        <f>O15</f>
        <v/>
      </c>
      <c r="P16" s="85">
        <f>P15</f>
        <v/>
      </c>
      <c r="Q16" s="86">
        <f>Q15</f>
        <v/>
      </c>
      <c r="R16" s="87">
        <f>R15</f>
        <v/>
      </c>
      <c r="S16" s="85">
        <f>S15</f>
        <v/>
      </c>
      <c r="T16" s="86">
        <f>T15</f>
        <v/>
      </c>
      <c r="U16" s="86">
        <f>U15</f>
        <v/>
      </c>
      <c r="V16" s="86">
        <f>V15</f>
        <v/>
      </c>
      <c r="W16" s="86">
        <f>W15</f>
        <v/>
      </c>
      <c r="X16" s="90">
        <f>X15</f>
        <v/>
      </c>
      <c r="Y16" s="85" t="inlineStr">
        <is>
          <t>=30</t>
        </is>
      </c>
      <c r="Z16" s="85" t="inlineStr">
        <is>
          <t>{\"RAIL_ACCEL_REC_RANGE_G\":16}</t>
        </is>
      </c>
      <c r="AA16" s="85" t="inlineStr">
        <is>
          <t>0</t>
        </is>
      </c>
      <c r="AB16" s="85" t="n"/>
      <c r="AC16" s="96">
        <f>"{""" &amp; $D$1 &amp; """:""" &amp; $D16 &amp; "," &amp; $E16 &amp; "," &amp; $F16 &amp; """,""" &amp; $G$1 &amp; """:""" &amp; $G16 &amp; "," &amp; $H16 &amp; "," &amp; $I16 &amp; "," &amp; $J16 &amp; "," &amp; $K16 &amp; "," &amp; $L16 &amp; """,""" &amp; $M$1 &amp; """:""" &amp; $M16 &amp; "," &amp; $N16 &amp; "," &amp; $O16 &amp; """,""" &amp; $P$1 &amp; """:""" &amp; $P16 &amp; "," &amp; $Q16 &amp; "," &amp; $R16 &amp; """,""" &amp; $S$1 &amp; """:""" &amp; $S16 &amp; "," &amp; $T16 &amp; "," &amp; $U16 &amp; "," &amp; $V16 &amp; "," &amp; $W16 &amp; "," &amp; $X16 &amp; """,""" &amp; $AB$1 &amp; """:""" &amp; $AB16 &amp; """,""" &amp; $Y$1 &amp; """:""" &amp; $Y16 &amp; """,""" &amp; $Z$1 &amp; """:""" &amp; $Z16 &amp; """,""" &amp; $AA$1 &amp; """:""" &amp; $AA16 &amp; """}"</f>
        <v/>
      </c>
      <c r="AD16" s="91" t="n"/>
      <c r="AE16" s="91" t="n"/>
      <c r="AF16" s="91" t="n"/>
    </row>
    <row r="17">
      <c r="A17">
        <f>A16+1</f>
        <v/>
      </c>
      <c r="B17" s="74" t="inlineStr">
        <is>
          <t>Reserved-2</t>
        </is>
      </c>
      <c r="C17" t="inlineStr">
        <is>
          <t>Fast mode for faster data collection</t>
        </is>
      </c>
      <c r="D17" s="88">
        <f>D16</f>
        <v/>
      </c>
      <c r="E17" s="86">
        <f>E16</f>
        <v/>
      </c>
      <c r="F17" s="90">
        <f>F16</f>
        <v/>
      </c>
      <c r="G17" s="88">
        <f>G16</f>
        <v/>
      </c>
      <c r="H17" s="89" t="n">
        <v>300</v>
      </c>
      <c r="I17" s="89">
        <f>3600*1</f>
        <v/>
      </c>
      <c r="J17" s="89">
        <f>3*3600</f>
        <v/>
      </c>
      <c r="K17" s="89">
        <f>K16</f>
        <v/>
      </c>
      <c r="L17" s="90">
        <f>200*L$1</f>
        <v/>
      </c>
      <c r="M17" s="88">
        <f>M16</f>
        <v/>
      </c>
      <c r="N17" s="89">
        <f>N16</f>
        <v/>
      </c>
      <c r="O17" s="90">
        <f>O16</f>
        <v/>
      </c>
      <c r="P17" s="85">
        <f>P16</f>
        <v/>
      </c>
      <c r="Q17" s="86">
        <f>Q16</f>
        <v/>
      </c>
      <c r="R17" s="87">
        <f>R16</f>
        <v/>
      </c>
      <c r="S17" s="85">
        <f>S16</f>
        <v/>
      </c>
      <c r="T17" s="86">
        <f>T16</f>
        <v/>
      </c>
      <c r="U17" s="86">
        <f>U16</f>
        <v/>
      </c>
      <c r="V17" s="86">
        <f>V16</f>
        <v/>
      </c>
      <c r="W17" s="86">
        <f>W16</f>
        <v/>
      </c>
      <c r="X17" s="90">
        <f>X16</f>
        <v/>
      </c>
      <c r="Y17" s="85" t="inlineStr">
        <is>
          <t>=30</t>
        </is>
      </c>
      <c r="Z17" s="85" t="inlineStr">
        <is>
          <t>{\"RAIL_ACCEL_REC_RANGE_G\":16}</t>
        </is>
      </c>
      <c r="AA17" s="85" t="inlineStr">
        <is>
          <t>0</t>
        </is>
      </c>
      <c r="AB17" s="85" t="n"/>
      <c r="AC17" s="96">
        <f>"{""" &amp; $D$1 &amp; """:""" &amp; $D17 &amp; "," &amp; $E17 &amp; "," &amp; $F17 &amp; """,""" &amp; $G$1 &amp; """:""" &amp; $G17 &amp; "," &amp; $H17 &amp; "," &amp; $I17 &amp; "," &amp; $J17 &amp; "," &amp; $K17 &amp; "," &amp; $L17 &amp; """,""" &amp; $M$1 &amp; """:""" &amp; $M17 &amp; "," &amp; $N17 &amp; "," &amp; $O17 &amp; """,""" &amp; $P$1 &amp; """:""" &amp; $P17 &amp; "," &amp; $Q17 &amp; "," &amp; $R17 &amp; """,""" &amp; $S$1 &amp; """:""" &amp; $S17 &amp; "," &amp; $T17 &amp; "," &amp; $U17 &amp; "," &amp; $V17 &amp; "," &amp; $W17 &amp; "," &amp; $X17 &amp; """,""" &amp; $AB$1 &amp; """:""" &amp; $AB17 &amp; """,""" &amp; $Y$1 &amp; """:""" &amp; $Y17 &amp; """,""" &amp; $Z$1 &amp; """:""" &amp; $Z17 &amp; """,""" &amp; $AA$1 &amp; """:""" &amp; $AA17 &amp; """}"</f>
        <v/>
      </c>
      <c r="AD17" s="91" t="n"/>
      <c r="AE17" s="91" t="n"/>
      <c r="AF17" s="91" t="n"/>
    </row>
    <row r="18">
      <c r="A18">
        <f>A17+1</f>
        <v/>
      </c>
      <c r="B18" s="14" t="inlineStr">
        <is>
          <t>TEST_F3-10min-10min</t>
        </is>
      </c>
      <c r="C18" t="inlineStr">
        <is>
          <t>Testing parameters 3</t>
        </is>
      </c>
      <c r="D18" s="85" t="inlineStr">
        <is>
          <t>15.000000</t>
        </is>
      </c>
      <c r="E18" s="86" t="inlineStr">
        <is>
          <t>25.000000</t>
        </is>
      </c>
      <c r="F18" s="90" t="inlineStr">
        <is>
          <t>10.000000</t>
        </is>
      </c>
      <c r="G18" s="88">
        <f>G17</f>
        <v/>
      </c>
      <c r="H18" s="89" t="n">
        <v>120</v>
      </c>
      <c r="I18" s="89" t="n">
        <v>600</v>
      </c>
      <c r="J18" s="89" t="n">
        <v>600</v>
      </c>
      <c r="K18" s="89" t="n">
        <v>10</v>
      </c>
      <c r="L18" s="90">
        <f>120*L$1</f>
        <v/>
      </c>
      <c r="M18" s="88">
        <f>M16</f>
        <v/>
      </c>
      <c r="N18" s="89">
        <f>N16</f>
        <v/>
      </c>
      <c r="O18" s="90">
        <f>O16</f>
        <v/>
      </c>
      <c r="P18" s="85">
        <f>P16</f>
        <v/>
      </c>
      <c r="Q18" s="86">
        <f>Q16</f>
        <v/>
      </c>
      <c r="R18" s="87">
        <f>R16</f>
        <v/>
      </c>
      <c r="S18" s="85">
        <f>S16</f>
        <v/>
      </c>
      <c r="T18" s="86">
        <f>T16</f>
        <v/>
      </c>
      <c r="U18" s="86">
        <f>U16</f>
        <v/>
      </c>
      <c r="V18" s="86">
        <f>V16</f>
        <v/>
      </c>
      <c r="W18" s="86">
        <f>W16</f>
        <v/>
      </c>
      <c r="X18" s="90">
        <f>X16</f>
        <v/>
      </c>
      <c r="Y18" s="92" t="inlineStr">
        <is>
          <t>=30,sensors.comm=1</t>
        </is>
      </c>
      <c r="Z18" s="85" t="inlineStr">
        <is>
          <t>{\"RAIL_ACCEL_REC_RANGE_G\":16}</t>
        </is>
      </c>
      <c r="AA18" s="85" t="inlineStr">
        <is>
          <t>0</t>
        </is>
      </c>
      <c r="AB18" s="105" t="inlineStr">
        <is>
          <t>http://ec2-35-157-185-34.eu-central-1.compute.amazonaws.com:8090/sensor?2.1/0.31/</t>
        </is>
      </c>
      <c r="AC18" s="96">
        <f>"{""" &amp; $D$1 &amp; """:""" &amp; $D18 &amp; "," &amp; $E18 &amp; "," &amp; $F18 &amp; """,""" &amp; $G$1 &amp; """:""" &amp; $G18 &amp; "," &amp; $H18 &amp; "," &amp; $I18 &amp; "," &amp; $J18 &amp; "," &amp; $K18 &amp; "," &amp; $L18 &amp; """,""" &amp; $M$1 &amp; """:""" &amp; $M18 &amp; "," &amp; $N18 &amp; "," &amp; $O18 &amp; """,""" &amp; $P$1 &amp; """:""" &amp; $P18 &amp; "," &amp; $Q18 &amp; "," &amp; $R18 &amp; """,""" &amp; $S$1 &amp; """:""" &amp; $S18 &amp; "," &amp; $T18 &amp; "," &amp; $U18 &amp; "," &amp; $V18 &amp; "," &amp; $W18 &amp; "," &amp; $X18 &amp; """,""" &amp; $AB$1 &amp; """:""" &amp; $AB18 &amp; """,""" &amp; $Y$1 &amp; """:""" &amp; $Y18 &amp; """,""" &amp; $Z$1 &amp; """:""" &amp; $Z18 &amp; """,""" &amp; $AA$1 &amp; """:""" &amp; $AA18 &amp; """}"</f>
        <v/>
      </c>
      <c r="AD18" s="91" t="n"/>
      <c r="AE18" s="91" t="n"/>
      <c r="AF18" s="91" t="n"/>
    </row>
    <row r="19">
      <c r="A19">
        <f>A18+1</f>
        <v/>
      </c>
      <c r="B19" s="14" t="inlineStr">
        <is>
          <t>TEST_F4-1h-1h</t>
        </is>
      </c>
      <c r="C19" t="inlineStr">
        <is>
          <t>Testing parameters 4</t>
        </is>
      </c>
      <c r="D19" s="85" t="inlineStr">
        <is>
          <t>0.000000</t>
        </is>
      </c>
      <c r="E19" s="86" t="inlineStr">
        <is>
          <t>0.000000</t>
        </is>
      </c>
      <c r="F19" s="90">
        <f>F16</f>
        <v/>
      </c>
      <c r="G19" s="88">
        <f>G18</f>
        <v/>
      </c>
      <c r="H19" s="89" t="n">
        <v>600</v>
      </c>
      <c r="I19" s="89" t="n">
        <v>3600</v>
      </c>
      <c r="J19" s="89" t="n">
        <v>3600</v>
      </c>
      <c r="K19" s="89" t="n">
        <v>10</v>
      </c>
      <c r="L19" s="90" t="n">
        <v>600</v>
      </c>
      <c r="M19" s="88">
        <f>M17</f>
        <v/>
      </c>
      <c r="N19" s="89">
        <f>N17</f>
        <v/>
      </c>
      <c r="O19" s="90">
        <f>O17</f>
        <v/>
      </c>
      <c r="P19" s="85">
        <f>P17</f>
        <v/>
      </c>
      <c r="Q19" s="86">
        <f>Q17</f>
        <v/>
      </c>
      <c r="R19" s="87">
        <f>R17</f>
        <v/>
      </c>
      <c r="S19" s="85">
        <f>S17</f>
        <v/>
      </c>
      <c r="T19" s="86">
        <f>T17</f>
        <v/>
      </c>
      <c r="U19" s="86">
        <f>U17</f>
        <v/>
      </c>
      <c r="V19" s="86">
        <f>V17</f>
        <v/>
      </c>
      <c r="W19" s="86">
        <f>W17</f>
        <v/>
      </c>
      <c r="X19" s="90">
        <f>X17</f>
        <v/>
      </c>
      <c r="Y19" s="85" t="inlineStr">
        <is>
          <t>=30</t>
        </is>
      </c>
      <c r="Z19" s="85" t="inlineStr">
        <is>
          <t>{\"RAIL_ACCEL_REC_RANGE_G\":16}</t>
        </is>
      </c>
      <c r="AA19" s="85" t="inlineStr">
        <is>
          <t>0</t>
        </is>
      </c>
      <c r="AB19" s="105" t="inlineStr">
        <is>
          <t>http://ec2-35-157-185-34.eu-central-1.compute.amazonaws.com:8090/sensor?2.1/0.31/</t>
        </is>
      </c>
      <c r="AC19" s="96">
        <f>"{""" &amp; $D$1 &amp; """:""" &amp; $D19 &amp; "," &amp; $E19 &amp; "," &amp; $F19 &amp; """,""" &amp; $G$1 &amp; """:""" &amp; $G19 &amp; "," &amp; $H19 &amp; "," &amp; $I19 &amp; "," &amp; $J19 &amp; "," &amp; $K19 &amp; "," &amp; $L19 &amp; """,""" &amp; $M$1 &amp; """:""" &amp; $M19 &amp; "," &amp; $N19 &amp; "," &amp; $O19 &amp; """,""" &amp; $P$1 &amp; """:""" &amp; $P19 &amp; "," &amp; $Q19 &amp; "," &amp; $R19 &amp; """,""" &amp; $S$1 &amp; """:""" &amp; $S19 &amp; "," &amp; $T19 &amp; "," &amp; $U19 &amp; "," &amp; $V19 &amp; "," &amp; $W19 &amp; "," &amp; $X19 &amp; """,""" &amp; $AB$1 &amp; """:""" &amp; $AB19 &amp; """,""" &amp; $Y$1 &amp; """:""" &amp; $Y19 &amp; """,""" &amp; $Z$1 &amp; """:""" &amp; $Z19 &amp; """,""" &amp; $AA$1 &amp; """:""" &amp; $AA19 &amp; """}"</f>
        <v/>
      </c>
      <c r="AD19" s="91" t="n"/>
      <c r="AE19" s="91" t="n"/>
      <c r="AF19" s="91" t="n"/>
    </row>
    <row r="20">
      <c r="A20">
        <f>A19+1</f>
        <v/>
      </c>
      <c r="B20" s="111" t="inlineStr">
        <is>
          <t>NO_SPEED_2h</t>
        </is>
      </c>
      <c r="C20" t="inlineStr">
        <is>
          <t>Speed filter off</t>
        </is>
      </c>
      <c r="D20" s="88" t="inlineStr">
        <is>
          <t>0.000000</t>
        </is>
      </c>
      <c r="E20" s="86" t="inlineStr">
        <is>
          <t>0.000000</t>
        </is>
      </c>
      <c r="F20" s="90" t="inlineStr">
        <is>
          <t>10.000000</t>
        </is>
      </c>
      <c r="G20" s="88">
        <f>G19</f>
        <v/>
      </c>
      <c r="H20" s="89" t="n">
        <v>150</v>
      </c>
      <c r="I20" s="89">
        <f>3600*2</f>
        <v/>
      </c>
      <c r="J20" s="89">
        <f>3600*2</f>
        <v/>
      </c>
      <c r="K20" s="89">
        <f>K19</f>
        <v/>
      </c>
      <c r="L20" s="90">
        <f>120*L$1</f>
        <v/>
      </c>
      <c r="M20" s="88">
        <f>M19</f>
        <v/>
      </c>
      <c r="N20" s="89">
        <f>N19</f>
        <v/>
      </c>
      <c r="O20" s="90">
        <f>O19</f>
        <v/>
      </c>
      <c r="P20" s="85">
        <f>P19</f>
        <v/>
      </c>
      <c r="Q20" s="86">
        <f>Q19</f>
        <v/>
      </c>
      <c r="R20" s="87">
        <f>R19</f>
        <v/>
      </c>
      <c r="S20" s="85">
        <f>S19</f>
        <v/>
      </c>
      <c r="T20" s="86">
        <f>T19</f>
        <v/>
      </c>
      <c r="U20" s="86">
        <f>U19</f>
        <v/>
      </c>
      <c r="V20" s="86">
        <f>V19</f>
        <v/>
      </c>
      <c r="W20" s="86">
        <f>W19</f>
        <v/>
      </c>
      <c r="X20" s="90">
        <f>X19</f>
        <v/>
      </c>
      <c r="Y20" s="85" t="inlineStr">
        <is>
          <t>=30</t>
        </is>
      </c>
      <c r="Z20" s="85" t="inlineStr">
        <is>
          <t>{\"RAIL_ACCEL_REC_RANGE_G\":16}</t>
        </is>
      </c>
      <c r="AA20" s="85" t="inlineStr">
        <is>
          <t>0</t>
        </is>
      </c>
      <c r="AB20" s="85" t="n"/>
      <c r="AC20" s="96">
        <f>"{""" &amp; $D$1 &amp; """:""" &amp; $D20 &amp; "," &amp; $E20 &amp; "," &amp; $F20 &amp; """,""" &amp; $G$1 &amp; """:""" &amp; $G20 &amp; "," &amp; $H20 &amp; "," &amp; $I20 &amp; "," &amp; $J20 &amp; "," &amp; $K20 &amp; "," &amp; $L20 &amp; """,""" &amp; $M$1 &amp; """:""" &amp; $M20 &amp; "," &amp; $N20 &amp; "," &amp; $O20 &amp; """,""" &amp; $P$1 &amp; """:""" &amp; $P20 &amp; "," &amp; $Q20 &amp; "," &amp; $R20 &amp; """,""" &amp; $S$1 &amp; """:""" &amp; $S20 &amp; "," &amp; $T20 &amp; "," &amp; $U20 &amp; "," &amp; $V20 &amp; "," &amp; $W20 &amp; "," &amp; $X20 &amp; """,""" &amp; $AB$1 &amp; """:""" &amp; $AB20 &amp; """,""" &amp; $Y$1 &amp; """:""" &amp; $Y20 &amp; """,""" &amp; $Z$1 &amp; """:""" &amp; $Z20 &amp; """,""" &amp; $AA$1 &amp; """:""" &amp; $AA20 &amp; """}"</f>
        <v/>
      </c>
      <c r="AD20" s="91" t="n"/>
    </row>
    <row r="21" ht="20.4" customHeight="1">
      <c r="A21" t="n">
        <v>19</v>
      </c>
      <c r="B21" s="14" t="inlineStr">
        <is>
          <t>One-sensor-fast-test</t>
        </is>
      </c>
      <c r="C21" t="inlineStr">
        <is>
          <t>Fast mode for one sensor</t>
        </is>
      </c>
      <c r="D21" s="88">
        <f>D20</f>
        <v/>
      </c>
      <c r="E21" s="86">
        <f>E20</f>
        <v/>
      </c>
      <c r="F21" s="90">
        <f>F20</f>
        <v/>
      </c>
      <c r="G21" s="88" t="n">
        <v>40</v>
      </c>
      <c r="H21" s="89" t="n">
        <v>60</v>
      </c>
      <c r="I21" s="89" t="n">
        <v>300</v>
      </c>
      <c r="J21" s="89" t="n">
        <v>300</v>
      </c>
      <c r="K21" s="89" t="n">
        <v>4</v>
      </c>
      <c r="L21" s="90">
        <f>60*L$1</f>
        <v/>
      </c>
      <c r="M21" s="88" t="n">
        <v>1</v>
      </c>
      <c r="N21" s="89" t="n">
        <v>60</v>
      </c>
      <c r="O21" s="90" t="n">
        <v>300</v>
      </c>
      <c r="P21" s="85" t="inlineStr">
        <is>
          <t>2.500000</t>
        </is>
      </c>
      <c r="Q21" s="86" t="inlineStr">
        <is>
          <t>3.000000</t>
        </is>
      </c>
      <c r="R21" s="87" t="n">
        <v>3600</v>
      </c>
      <c r="S21" s="85">
        <f>S20</f>
        <v/>
      </c>
      <c r="T21" s="86">
        <f>T20</f>
        <v/>
      </c>
      <c r="U21" s="86">
        <f>U20</f>
        <v/>
      </c>
      <c r="V21" s="86">
        <f>V20</f>
        <v/>
      </c>
      <c r="W21" s="86">
        <f>W20</f>
        <v/>
      </c>
      <c r="X21" s="90">
        <f>X20</f>
        <v/>
      </c>
      <c r="Y21" s="92" t="inlineStr">
        <is>
          <t>=30,sensors.process=1,sensors.comm=1</t>
        </is>
      </c>
      <c r="Z21" s="85" t="inlineStr">
        <is>
          <t>{\"RAIL_ACCEL_REC_RANGE_G\":16}</t>
        </is>
      </c>
      <c r="AA21" s="85" t="inlineStr">
        <is>
          <t>0</t>
        </is>
      </c>
      <c r="AC21" s="96">
        <f>"{""" &amp; $D$1 &amp; """:""" &amp; $D21 &amp; "," &amp; $E21 &amp; "," &amp; $F21 &amp; """,""" &amp; $G$1 &amp; """:""" &amp; $G21 &amp; "," &amp; $H21 &amp; "," &amp; $I21 &amp; "," &amp; $J21 &amp; "," &amp; $K21 &amp; "," &amp; $L21 &amp; """,""" &amp; $M$1 &amp; """:""" &amp; $M21 &amp; "," &amp; $N21 &amp; "," &amp; $O21 &amp; """,""" &amp; $P$1 &amp; """:""" &amp; $P21 &amp; "," &amp; $Q21 &amp; "," &amp; $R21 &amp; """,""" &amp; $S$1 &amp; """:""" &amp; $S21 &amp; "," &amp; $T21 &amp; "," &amp; $U21 &amp; "," &amp; $V21 &amp; "," &amp; $W21 &amp; "," &amp; $X21 &amp; """,""" &amp; $AB$1 &amp; """:""" &amp; $AB21 &amp; """,""" &amp; $Y$1 &amp; """:""" &amp; $Y21 &amp; """,""" &amp; $Z$1 &amp; """:""" &amp; $Z21 &amp; """,""" &amp; $AA$1 &amp; """:""" &amp; $AA21 &amp; """}"</f>
        <v/>
      </c>
    </row>
    <row r="22">
      <c r="A22">
        <f>A21+1</f>
        <v/>
      </c>
      <c r="B22" s="14" t="inlineStr">
        <is>
          <t>Shipping-no-GW</t>
        </is>
      </c>
      <c r="C22" t="inlineStr">
        <is>
          <t>Mode for shipping sensors only</t>
        </is>
      </c>
      <c r="D22" s="85" t="inlineStr">
        <is>
          <t>15.000000</t>
        </is>
      </c>
      <c r="E22" s="86" t="inlineStr">
        <is>
          <t>25.000000</t>
        </is>
      </c>
      <c r="F22" s="87" t="inlineStr">
        <is>
          <t>10.000000</t>
        </is>
      </c>
      <c r="G22" s="88" t="n">
        <v>40</v>
      </c>
      <c r="H22" s="89" t="n">
        <v>600</v>
      </c>
      <c r="I22" s="89" t="n">
        <v>3600</v>
      </c>
      <c r="J22" s="89" t="n">
        <v>3600</v>
      </c>
      <c r="K22" s="89" t="n">
        <v>10</v>
      </c>
      <c r="L22" s="90">
        <f>3600*4*L$1</f>
        <v/>
      </c>
      <c r="M22" s="88" t="n">
        <v>1</v>
      </c>
      <c r="N22" s="89" t="n">
        <v>60</v>
      </c>
      <c r="O22" s="90" t="n">
        <v>300</v>
      </c>
      <c r="P22" s="85" t="inlineStr">
        <is>
          <t>2.500000</t>
        </is>
      </c>
      <c r="Q22" s="86" t="inlineStr">
        <is>
          <t>3.000000</t>
        </is>
      </c>
      <c r="R22" s="87" t="n">
        <v>3600</v>
      </c>
      <c r="S22" s="85" t="inlineStr">
        <is>
          <t>0.000000</t>
        </is>
      </c>
      <c r="T22" s="89" t="inlineStr">
        <is>
          <t>1.500000</t>
        </is>
      </c>
      <c r="U22" s="86" t="inlineStr">
        <is>
          <t>0.200000</t>
        </is>
      </c>
      <c r="V22" s="86" t="inlineStr">
        <is>
          <t>2.000000</t>
        </is>
      </c>
      <c r="W22" s="86" t="inlineStr">
        <is>
          <t>0.200000</t>
        </is>
      </c>
      <c r="X22" s="90" t="inlineStr">
        <is>
          <t>active</t>
        </is>
      </c>
      <c r="Y22" s="85" t="inlineStr">
        <is>
          <t>=30</t>
        </is>
      </c>
      <c r="Z22" s="85" t="inlineStr">
        <is>
          <t>{\"RAIL_ACCEL_REC_RANGE_G\":16}</t>
        </is>
      </c>
      <c r="AA22" s="85" t="inlineStr">
        <is>
          <t>0</t>
        </is>
      </c>
      <c r="AB22" s="85" t="n"/>
      <c r="AC22" s="96">
        <f>"{""" &amp; $D$1 &amp; """:""" &amp; $D22 &amp; "," &amp; $E22 &amp; "," &amp; $F22 &amp; """,""" &amp; $G$1 &amp; """:""" &amp; $G22 &amp; "," &amp; $H22 &amp; "," &amp; $I22 &amp; "," &amp; $J22 &amp; "," &amp; $K22 &amp; "," &amp; $L22 &amp; """,""" &amp; $M$1 &amp; """:""" &amp; $M22 &amp; "," &amp; $N22 &amp; "," &amp; $O22 &amp; """,""" &amp; $P$1 &amp; """:""" &amp; $P22 &amp; "," &amp; $Q22 &amp; "," &amp; $R22 &amp; """,""" &amp; $S$1 &amp; """:""" &amp; $S22 &amp; "," &amp; $T22 &amp; "," &amp; $U22 &amp; "," &amp; $V22 &amp; "," &amp; $W22 &amp; "," &amp; $X22 &amp; """,""" &amp; $AB$1 &amp; """:""" &amp; $AB22 &amp; """,""" &amp; $Y$1 &amp; """:""" &amp; $Y22 &amp; """,""" &amp; $Z$1 &amp; """:""" &amp; $Z22 &amp; """,""" &amp; $AA$1 &amp; """:""" &amp; $AA22 &amp; """}"</f>
        <v/>
      </c>
    </row>
    <row r="23">
      <c r="A23">
        <f>A22+1</f>
        <v/>
      </c>
      <c r="B23" s="14" t="inlineStr">
        <is>
          <t>DD_ONLY_discovery</t>
        </is>
      </c>
      <c r="C23" t="inlineStr">
        <is>
          <t>Discovery mode for sensors in office</t>
        </is>
      </c>
      <c r="D23" s="85" t="inlineStr">
        <is>
          <t>0.000000</t>
        </is>
      </c>
      <c r="E23" s="86" t="inlineStr">
        <is>
          <t>0.000000</t>
        </is>
      </c>
      <c r="F23" s="87" t="inlineStr">
        <is>
          <t>10.000000</t>
        </is>
      </c>
      <c r="G23" s="88" t="n">
        <v>40</v>
      </c>
      <c r="H23" s="89">
        <f>3600*4</f>
        <v/>
      </c>
      <c r="I23" s="89">
        <f>H23*1.1</f>
        <v/>
      </c>
      <c r="J23" s="89">
        <f>I23</f>
        <v/>
      </c>
      <c r="K23" s="89" t="n">
        <v>10</v>
      </c>
      <c r="L23" s="90" t="n">
        <v>600</v>
      </c>
      <c r="M23" s="88" t="n">
        <v>1</v>
      </c>
      <c r="N23" s="89" t="n">
        <v>60</v>
      </c>
      <c r="O23" s="90" t="n">
        <v>300</v>
      </c>
      <c r="P23" s="85" t="inlineStr">
        <is>
          <t>2.500000</t>
        </is>
      </c>
      <c r="Q23" s="86" t="inlineStr">
        <is>
          <t>3.000000</t>
        </is>
      </c>
      <c r="R23" s="87" t="n">
        <v>3600</v>
      </c>
      <c r="S23" s="85" t="inlineStr">
        <is>
          <t>0.000000</t>
        </is>
      </c>
      <c r="T23" s="89" t="inlineStr">
        <is>
          <t>1.500000</t>
        </is>
      </c>
      <c r="U23" s="86" t="inlineStr">
        <is>
          <t>0.200000</t>
        </is>
      </c>
      <c r="V23" s="86" t="inlineStr">
        <is>
          <t>2.000000</t>
        </is>
      </c>
      <c r="W23" s="86" t="inlineStr">
        <is>
          <t>0.200000</t>
        </is>
      </c>
      <c r="X23" s="90" t="inlineStr">
        <is>
          <t>active</t>
        </is>
      </c>
      <c r="Y23" s="85" t="inlineStr">
        <is>
          <t>=30</t>
        </is>
      </c>
      <c r="Z23" s="85" t="inlineStr">
        <is>
          <t>{\"RAIL_ACCEL_REC_RANGE_G\":16}</t>
        </is>
      </c>
      <c r="AA23" s="85" t="inlineStr">
        <is>
          <t>0</t>
        </is>
      </c>
      <c r="AB23" s="105" t="n"/>
      <c r="AC23" s="96">
        <f>"{""" &amp; $D$1 &amp; """:""" &amp; $D23 &amp; "," &amp; $E23 &amp; "," &amp; $F23 &amp; """,""" &amp; $G$1 &amp; """:""" &amp; $G23 &amp; "," &amp; $H23 &amp; "," &amp; $I23 &amp; "," &amp; $J23 &amp; "," &amp; $K23 &amp; "," &amp; $L23 &amp; """,""" &amp; $M$1 &amp; """:""" &amp; $M23 &amp; "," &amp; $N23 &amp; "," &amp; $O23 &amp; """,""" &amp; $P$1 &amp; """:""" &amp; $P23 &amp; "," &amp; $Q23 &amp; "," &amp; $R23 &amp; """,""" &amp; $S$1 &amp; """:""" &amp; $S23 &amp; "," &amp; $T23 &amp; "," &amp; $U23 &amp; "," &amp; $V23 &amp; "," &amp; $W23 &amp; "," &amp; $X23 &amp; """,""" &amp; $AB$1 &amp; """:""" &amp; $AB23 &amp; """,""" &amp; $Y$1 &amp; """:""" &amp; $Y23 &amp; """,""" &amp; $Z$1 &amp; """:""" &amp; $Z23 &amp; """,""" &amp; $AA$1 &amp; """:""" &amp; $AA23 &amp; """}"</f>
        <v/>
      </c>
    </row>
    <row r="24">
      <c r="A24">
        <f>A23+1</f>
        <v/>
      </c>
      <c r="B24" s="14" t="inlineStr">
        <is>
          <t>Office_Standby</t>
        </is>
      </c>
      <c r="C24" t="inlineStr">
        <is>
          <t>Standby mode for office storage</t>
        </is>
      </c>
      <c r="D24" s="85" t="inlineStr">
        <is>
          <t>15.000000</t>
        </is>
      </c>
      <c r="E24" s="86" t="inlineStr">
        <is>
          <t>25.000000</t>
        </is>
      </c>
      <c r="F24" s="87" t="inlineStr">
        <is>
          <t>10.000000</t>
        </is>
      </c>
      <c r="G24" s="88" t="n">
        <v>40</v>
      </c>
      <c r="H24" s="89" t="n">
        <v>600</v>
      </c>
      <c r="I24" s="89" t="n">
        <v>43200</v>
      </c>
      <c r="J24" s="89" t="n">
        <v>43200</v>
      </c>
      <c r="K24" s="89" t="n">
        <v>10</v>
      </c>
      <c r="L24" s="90">
        <f>4*3600</f>
        <v/>
      </c>
      <c r="M24" s="88" t="n">
        <v>1</v>
      </c>
      <c r="N24" s="89" t="n">
        <v>60</v>
      </c>
      <c r="O24" s="90" t="n">
        <v>300</v>
      </c>
      <c r="P24" s="85" t="inlineStr">
        <is>
          <t>2.500000</t>
        </is>
      </c>
      <c r="Q24" s="86" t="inlineStr">
        <is>
          <t>3.000000</t>
        </is>
      </c>
      <c r="R24" s="87" t="n">
        <v>3600</v>
      </c>
      <c r="S24" s="85" t="inlineStr">
        <is>
          <t>0.000000</t>
        </is>
      </c>
      <c r="T24" s="89" t="inlineStr">
        <is>
          <t>1.500000</t>
        </is>
      </c>
      <c r="U24" s="86" t="inlineStr">
        <is>
          <t>0.200000</t>
        </is>
      </c>
      <c r="V24" s="86" t="inlineStr">
        <is>
          <t>2.000000</t>
        </is>
      </c>
      <c r="W24" s="86" t="inlineStr">
        <is>
          <t>0.200000</t>
        </is>
      </c>
      <c r="X24" s="90" t="inlineStr">
        <is>
          <t>active</t>
        </is>
      </c>
      <c r="Y24" s="85" t="inlineStr">
        <is>
          <t>=30</t>
        </is>
      </c>
      <c r="Z24" s="85" t="inlineStr">
        <is>
          <t>{\"RAIL_ACCEL_REC_RANGE_G\":16}</t>
        </is>
      </c>
      <c r="AA24" s="85" t="inlineStr">
        <is>
          <t>0</t>
        </is>
      </c>
      <c r="AB24" s="105" t="n"/>
      <c r="AC24" s="96" t="n"/>
    </row>
  </sheetData>
  <mergeCells count="5">
    <mergeCell ref="P1:R1"/>
    <mergeCell ref="S1:X1"/>
    <mergeCell ref="G1:K1"/>
    <mergeCell ref="M1:O1"/>
    <mergeCell ref="D1:F1"/>
  </mergeCells>
  <conditionalFormatting sqref="B1 B3:B1048576">
    <cfRule type="cellIs" priority="2" operator="equal" dxfId="15">
      <formula>"Normal-V33"</formula>
    </cfRule>
    <cfRule type="cellIs" priority="3" operator="equal" dxfId="14">
      <formula>"Discovery"</formula>
    </cfRule>
    <cfRule type="cellIs" priority="4" operator="equal" dxfId="13">
      <formula>"Normal-2-6h"</formula>
    </cfRule>
    <cfRule type="cellIs" priority="5" operator="equal" dxfId="12">
      <formula>"TEST_F2-30min-1h"</formula>
    </cfRule>
    <cfRule type="cellIs" priority="6" operator="equal" dxfId="11">
      <formula>"TEST_F1-30min-4h"</formula>
    </cfRule>
    <cfRule type="cellIs" priority="7" operator="equal" dxfId="4">
      <formula>"Normal-4-12h"</formula>
    </cfRule>
    <cfRule type="cellIs" priority="8" operator="equal" dxfId="3">
      <formula>"Super Fast-20min-1h"</formula>
    </cfRule>
    <cfRule type="cellIs" priority="9" operator="equal" dxfId="2">
      <formula>"Slow-5-12h"</formula>
    </cfRule>
    <cfRule type="cellIs" priority="10" operator="equal" dxfId="1">
      <formula>"Shipping"</formula>
    </cfRule>
    <cfRule type="cellIs" priority="11" operator="equal" dxfId="0">
      <formula>"Fast-1-3h"</formula>
    </cfRule>
  </conditionalFormatting>
  <conditionalFormatting sqref="H3:H100">
    <cfRule type="expression" priority="1" dxfId="5">
      <formula>$H3&gt;MIN($I3,$J3)</formula>
    </cfRule>
  </conditionalFormatting>
  <hyperlinks>
    <hyperlink ref="AB2" r:id="rId1"/>
    <hyperlink ref="AB18" r:id="rId2"/>
    <hyperlink ref="AB19" r:id="rId3"/>
  </hyperlinks>
  <pageMargins left="0.7" right="0.7" top="0.75" bottom="0.75" header="0.3" footer="0.3"/>
  <pageSetup orientation="landscape" paperSize="261" horizontalDpi="180" verticalDpi="18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C19" sqref="C19"/>
    </sheetView>
  </sheetViews>
  <sheetFormatPr baseColWidth="8" defaultColWidth="8.88671875" defaultRowHeight="14.4"/>
  <cols>
    <col width="11" bestFit="1" customWidth="1" min="2" max="2"/>
    <col width="29.109375" bestFit="1" customWidth="1" min="3" max="3"/>
  </cols>
  <sheetData>
    <row r="1" ht="28.65" customHeight="1">
      <c r="A1" s="15" t="inlineStr">
        <is>
          <t>Wagon Nr.</t>
        </is>
      </c>
      <c r="B1" s="14" t="inlineStr">
        <is>
          <t>Wagon type</t>
        </is>
      </c>
      <c r="C1" s="15" t="inlineStr">
        <is>
          <t>Description</t>
        </is>
      </c>
    </row>
    <row r="2">
      <c r="A2" t="n">
        <v>1</v>
      </c>
      <c r="B2" s="14" t="inlineStr">
        <is>
          <t>Shipping</t>
        </is>
      </c>
      <c r="C2" t="inlineStr">
        <is>
          <t>Mode for shipping devices</t>
        </is>
      </c>
    </row>
    <row r="3">
      <c r="A3">
        <f>A2+1</f>
        <v/>
      </c>
      <c r="B3" s="19" t="inlineStr">
        <is>
          <t>Slow</t>
        </is>
      </c>
      <c r="C3" t="inlineStr">
        <is>
          <t>Slow mode for low power operation</t>
        </is>
      </c>
    </row>
    <row r="4">
      <c r="A4">
        <f>A3+1</f>
        <v/>
      </c>
      <c r="B4" s="14" t="inlineStr">
        <is>
          <t>Normal</t>
        </is>
      </c>
      <c r="C4" t="inlineStr">
        <is>
          <t>Normal operation mode</t>
        </is>
      </c>
    </row>
    <row r="5">
      <c r="A5">
        <f>A4+1</f>
        <v/>
      </c>
      <c r="B5" s="55" t="inlineStr">
        <is>
          <t>Fast</t>
        </is>
      </c>
      <c r="C5" t="inlineStr">
        <is>
          <t>Fast mode for faster data collection</t>
        </is>
      </c>
    </row>
    <row r="6">
      <c r="A6">
        <f>A5+1</f>
        <v/>
      </c>
      <c r="B6" s="54" t="inlineStr">
        <is>
          <t>Super Fast</t>
        </is>
      </c>
      <c r="C6" t="inlineStr">
        <is>
          <t>High energy consumption mode</t>
        </is>
      </c>
    </row>
    <row r="7">
      <c r="A7" t="n">
        <v>6</v>
      </c>
      <c r="B7" s="14" t="inlineStr">
        <is>
          <t>Assembly</t>
        </is>
      </c>
      <c r="C7" t="inlineStr">
        <is>
          <t>For assembling sensors</t>
        </is>
      </c>
    </row>
    <row r="8">
      <c r="A8" t="n">
        <v>7</v>
      </c>
      <c r="B8" s="14" t="inlineStr">
        <is>
          <t>New FW Test</t>
        </is>
      </c>
      <c r="C8" t="inlineStr">
        <is>
          <t>For LTG tests</t>
        </is>
      </c>
    </row>
  </sheetData>
  <conditionalFormatting sqref="B1:B8">
    <cfRule type="cellIs" priority="1" operator="equal" dxfId="4">
      <formula>"Normal"</formula>
    </cfRule>
    <cfRule type="cellIs" priority="2" operator="equal" dxfId="3">
      <formula>"Super Fast"</formula>
    </cfRule>
    <cfRule type="cellIs" priority="3" operator="equal" dxfId="2">
      <formula>"Slow"</formula>
    </cfRule>
    <cfRule type="cellIs" priority="4" operator="equal" dxfId="1">
      <formula>"Shipping"</formula>
    </cfRule>
    <cfRule type="cellIs" priority="5" operator="equal" dxfId="0">
      <formula>"Fast"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L25" sqref="L25"/>
    </sheetView>
  </sheetViews>
  <sheetFormatPr baseColWidth="8" defaultColWidth="8.88671875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2025-05-13T10:05:07Z</dcterms:modified>
  <cp:lastModifiedBy>Karolina Motiejūnaitė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0x010100CD2AB07EA7653348A7B0A9A822E488AB</vt:lpwstr>
  </property>
  <property name="MediaServiceImageTags" fmtid="{D5CDD505-2E9C-101B-9397-08002B2CF9AE}" pid="3">
    <vt:lpwstr/>
  </property>
  <property name="Order" fmtid="{D5CDD505-2E9C-101B-9397-08002B2CF9AE}" pid="4">
    <vt:r8>1098600</vt:r8>
  </property>
  <property name="xd_Signature" fmtid="{D5CDD505-2E9C-101B-9397-08002B2CF9AE}" pid="5">
    <vt:bool>0</vt:bool>
  </property>
  <property name="xd_ProgID" fmtid="{D5CDD505-2E9C-101B-9397-08002B2CF9AE}" pid="6">
    <vt:lpwstr/>
  </property>
  <property name="ComplianceAssetId" fmtid="{D5CDD505-2E9C-101B-9397-08002B2CF9AE}" pid="7">
    <vt:lpwstr/>
  </property>
  <property name="TemplateUrl" fmtid="{D5CDD505-2E9C-101B-9397-08002B2CF9AE}" pid="8">
    <vt:lpwstr/>
  </property>
  <property name="_ExtendedDescription" fmtid="{D5CDD505-2E9C-101B-9397-08002B2CF9AE}" pid="9">
    <vt:lpwstr/>
  </property>
  <property name="TriggerFlowInfo" fmtid="{D5CDD505-2E9C-101B-9397-08002B2CF9AE}" pid="10">
    <vt:lpwstr/>
  </property>
</Properties>
</file>