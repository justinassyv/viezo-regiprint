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name="Gateways_DynamoDB" sheetId="1" state="visible" r:id="rId1"/>
    <sheet name="Sensors_DynamoDB" sheetId="2" state="visible" r:id="rId2"/>
    <sheet name="Companies" sheetId="3" state="visible" r:id="rId3"/>
    <sheet name="Gateways_MANU" sheetId="4" state="visible" r:id="rId4"/>
    <sheet name="Sensors_MANU" sheetId="5" state="visible" r:id="rId5"/>
    <sheet name="Settings" sheetId="6" state="visible" r:id="rId6"/>
    <sheet name="Wagons" sheetId="7" state="visible" r:id="rId7"/>
    <sheet name="Wagon_types" sheetId="8" state="visible" r:id="rId8"/>
  </sheets>
  <definedNames>
    <definedName name="_xlnm._FilterDatabase" localSheetId="0" hidden="1">'Gateways_DynamoDB'!$A$1:$N$218</definedName>
    <definedName name="_xlnm._FilterDatabase" localSheetId="1" hidden="1">'Sensors_DynamoDB'!$A$1:$P$2375</definedName>
    <definedName name="_xlnm._FilterDatabase" localSheetId="4" hidden="1">'Sensors_MANU'!$A$1:$G$1028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&quot;@\&quot;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Calibri"/>
      <charset val="186"/>
      <family val="2"/>
      <color rgb="FF9C57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rgb="FF000000"/>
      <sz val="11"/>
    </font>
    <font>
      <name val="Calibri"/>
      <family val="2"/>
      <color theme="1"/>
      <sz val="8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444444"/>
      <sz val="11"/>
    </font>
    <font>
      <name val="Calibri"/>
      <charset val="1"/>
      <family val="2"/>
      <color rgb="FF444444"/>
      <sz val="11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  <scheme val="minor"/>
    </font>
    <font>
      <name val="-Apple-System"/>
      <charset val="1"/>
      <color rgb="FF323130"/>
      <sz val="9"/>
    </font>
    <font>
      <name val="Calibri"/>
      <charset val="1"/>
      <color rgb="FF000000"/>
      <sz val="11"/>
    </font>
    <font>
      <name val="Calibri"/>
      <family val="2"/>
      <color rgb="FFFFCCFF"/>
      <sz val="11"/>
      <scheme val="minor"/>
    </font>
    <font>
      <name val="Calibri"/>
      <charset val="1"/>
      <family val="2"/>
      <color rgb="FF212121"/>
      <sz val="11"/>
    </font>
  </fonts>
  <fills count="2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7" borderId="0"/>
    <xf numFmtId="0" fontId="5" fillId="7" borderId="0"/>
    <xf numFmtId="0" fontId="9" fillId="0" borderId="0"/>
  </cellStyleXfs>
  <cellXfs count="121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pivotButton="0" quotePrefix="0" xfId="0"/>
    <xf numFmtId="2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11" fontId="0" fillId="0" borderId="0" pivotButton="0" quotePrefix="0" xfId="0"/>
    <xf numFmtId="2" fontId="0" fillId="8" borderId="0" pivotButton="0" quotePrefix="0" xfId="0"/>
    <xf numFmtId="0" fontId="4" fillId="0" borderId="0" pivotButton="0" quotePrefix="0" xfId="1"/>
    <xf numFmtId="0" fontId="6" fillId="9" borderId="0" applyAlignment="1" pivotButton="0" quotePrefix="0" xfId="0">
      <alignment horizontal="center"/>
    </xf>
    <xf numFmtId="0" fontId="6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8" borderId="0" pivotButton="0" quotePrefix="0" xfId="0"/>
    <xf numFmtId="0" fontId="7" fillId="0" borderId="0" pivotButton="0" quotePrefix="0" xfId="0"/>
    <xf numFmtId="0" fontId="0" fillId="10" borderId="0" applyAlignment="1" pivotButton="0" quotePrefix="0" xfId="0">
      <alignment horizontal="left"/>
    </xf>
    <xf numFmtId="2" fontId="0" fillId="10" borderId="0" applyAlignment="1" pivotButton="0" quotePrefix="0" xfId="0">
      <alignment horizontal="left"/>
    </xf>
    <xf numFmtId="14" fontId="0" fillId="10" borderId="0" applyAlignment="1" pivotButton="0" quotePrefix="0" xfId="0">
      <alignment horizontal="center"/>
    </xf>
    <xf numFmtId="14" fontId="0" fillId="10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0" borderId="0" pivotButton="0" quotePrefix="0" xfId="0"/>
    <xf numFmtId="14" fontId="2" fillId="10" borderId="0" applyAlignment="1" pivotButton="0" quotePrefix="0" xfId="0">
      <alignment horizontal="center"/>
    </xf>
    <xf numFmtId="14" fontId="3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2" fillId="10" borderId="0" pivotButton="0" quotePrefix="0" xfId="0"/>
    <xf numFmtId="0" fontId="3" fillId="10" borderId="0" pivotButton="0" quotePrefix="0" xfId="0"/>
    <xf numFmtId="0" fontId="1" fillId="10" borderId="0" applyAlignment="1" pivotButton="0" quotePrefix="0" xfId="0">
      <alignment horizontal="left" vertical="center"/>
    </xf>
    <xf numFmtId="1" fontId="6" fillId="9" borderId="0" applyAlignment="1" pivotButton="0" quotePrefix="0" xfId="0">
      <alignment horizontal="center"/>
    </xf>
    <xf numFmtId="1" fontId="3" fillId="0" borderId="0" pivotButton="0" quotePrefix="0" xfId="0"/>
    <xf numFmtId="0" fontId="0" fillId="11" borderId="0" pivotButton="0" quotePrefix="0" xfId="0"/>
    <xf numFmtId="0" fontId="1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1" fontId="7" fillId="0" borderId="0" pivotButton="0" quotePrefix="0" xfId="0"/>
    <xf numFmtId="14" fontId="0" fillId="8" borderId="0" applyAlignment="1" pivotButton="0" quotePrefix="0" xfId="0">
      <alignment horizontal="left" vertical="center"/>
    </xf>
    <xf numFmtId="0" fontId="7" fillId="8" borderId="0" pivotButton="0" quotePrefix="0" xfId="0"/>
    <xf numFmtId="0" fontId="0" fillId="12" borderId="0" pivotButton="0" quotePrefix="0" xfId="0"/>
    <xf numFmtId="0" fontId="10" fillId="0" borderId="0" pivotButton="0" quotePrefix="0" xfId="0"/>
    <xf numFmtId="0" fontId="11" fillId="0" borderId="0" pivotButton="0" quotePrefix="0" xfId="0"/>
    <xf numFmtId="2" fontId="12" fillId="4" borderId="0" pivotButton="0" quotePrefix="0" xfId="0"/>
    <xf numFmtId="2" fontId="2" fillId="12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16" fontId="0" fillId="0" borderId="0" pivotButton="0" quotePrefix="0" xfId="0"/>
    <xf numFmtId="14" fontId="7" fillId="0" borderId="0" pivotButton="0" quotePrefix="0" xfId="0"/>
    <xf numFmtId="49" fontId="1" fillId="10" borderId="0" applyAlignment="1" pivotButton="0" quotePrefix="0" xfId="0">
      <alignment horizontal="left" vertical="center"/>
    </xf>
    <xf numFmtId="49" fontId="0" fillId="10" borderId="0" applyAlignment="1" pivotButton="0" quotePrefix="0" xfId="0">
      <alignment horizontal="left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13" borderId="0" pivotButton="0" quotePrefix="0" xfId="0"/>
    <xf numFmtId="0" fontId="0" fillId="14" borderId="0" pivotButton="0" quotePrefix="0" xfId="0"/>
    <xf numFmtId="0" fontId="7" fillId="15" borderId="0" pivotButton="0" quotePrefix="0" xfId="0"/>
    <xf numFmtId="0" fontId="7" fillId="16" borderId="0" pivotButton="0" quotePrefix="0" xfId="0"/>
    <xf numFmtId="0" fontId="0" fillId="16" borderId="0" pivotButton="0" quotePrefix="0" xfId="0"/>
    <xf numFmtId="0" fontId="8" fillId="0" borderId="5" applyAlignment="1" pivotButton="0" quotePrefix="0" xfId="0">
      <alignment horizontal="center" vertical="center" wrapText="1"/>
    </xf>
    <xf numFmtId="0" fontId="14" fillId="0" borderId="0" pivotButton="0" quotePrefix="1" xfId="0"/>
    <xf numFmtId="0" fontId="13" fillId="0" borderId="0" pivotButton="0" quotePrefix="0" xfId="0"/>
    <xf numFmtId="0" fontId="13" fillId="13" borderId="0" pivotButton="0" quotePrefix="0" xfId="0"/>
    <xf numFmtId="2" fontId="12" fillId="0" borderId="0" pivotButton="0" quotePrefix="0" xfId="0"/>
    <xf numFmtId="2" fontId="2" fillId="0" borderId="0" pivotButton="0" quotePrefix="0" xfId="0"/>
    <xf numFmtId="1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3" borderId="0" applyAlignment="1" pivotButton="0" quotePrefix="0" xfId="0">
      <alignment horizontal="left"/>
    </xf>
    <xf numFmtId="2" fontId="0" fillId="3" borderId="0" pivotButton="0" quotePrefix="0" xfId="0"/>
    <xf numFmtId="0" fontId="1" fillId="0" borderId="3" applyAlignment="1" pivotButton="0" quotePrefix="0" xfId="0">
      <alignment horizontal="center" vertical="center"/>
    </xf>
    <xf numFmtId="49" fontId="8" fillId="0" borderId="4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49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4" applyAlignment="1" pivotButton="0" quotePrefix="1" xfId="0">
      <alignment horizontal="center" vertical="center" wrapText="1"/>
    </xf>
    <xf numFmtId="0" fontId="1" fillId="0" borderId="3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/>
    </xf>
    <xf numFmtId="49" fontId="2" fillId="3" borderId="0" pivotButton="0" quotePrefix="0" xfId="0"/>
    <xf numFmtId="49" fontId="0" fillId="0" borderId="0" applyAlignment="1" pivotButton="0" quotePrefix="0" xfId="0">
      <alignment horizontal="center"/>
    </xf>
    <xf numFmtId="49" fontId="7" fillId="0" borderId="0" pivotButton="0" quotePrefix="0" xfId="0"/>
    <xf numFmtId="49" fontId="3" fillId="0" borderId="0" pivotButton="0" quotePrefix="0" xfId="0"/>
    <xf numFmtId="0" fontId="0" fillId="17" borderId="0" pivotButton="0" quotePrefix="0" xfId="0"/>
    <xf numFmtId="49" fontId="9" fillId="0" borderId="4" applyAlignment="1" pivotButton="0" quotePrefix="0" xfId="3">
      <alignment horizontal="center" vertical="center"/>
    </xf>
    <xf numFmtId="0" fontId="9" fillId="0" borderId="4" applyAlignment="1" pivotButton="0" quotePrefix="0" xfId="3">
      <alignment horizontal="center" vertical="center" wrapText="1"/>
    </xf>
    <xf numFmtId="0" fontId="0" fillId="18" borderId="0" pivotButton="0" quotePrefix="0" xfId="0"/>
    <xf numFmtId="0" fontId="13" fillId="18" borderId="0" pivotButton="0" quotePrefix="0" xfId="0"/>
    <xf numFmtId="0" fontId="0" fillId="19" borderId="0" pivotButton="0" quotePrefix="0" xfId="0"/>
    <xf numFmtId="0" fontId="15" fillId="0" borderId="0" pivotButton="0" quotePrefix="0" xfId="0"/>
    <xf numFmtId="2" fontId="0" fillId="17" borderId="0" pivotButton="0" quotePrefix="0" xfId="0"/>
    <xf numFmtId="2" fontId="16" fillId="20" borderId="0" pivotButton="0" quotePrefix="0" xfId="0"/>
    <xf numFmtId="0" fontId="17" fillId="0" borderId="0" pivotButton="0" quotePrefix="0" xfId="0"/>
    <xf numFmtId="0" fontId="0" fillId="21" borderId="0" pivotButton="0" quotePrefix="0" xfId="0"/>
    <xf numFmtId="0" fontId="1" fillId="0" borderId="3" applyAlignment="1" pivotButton="0" quotePrefix="0" xfId="0">
      <alignment vertical="center"/>
    </xf>
    <xf numFmtId="0" fontId="0" fillId="22" borderId="0" pivotButton="0" quotePrefix="0" xfId="0"/>
    <xf numFmtId="0" fontId="1" fillId="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/>
    </xf>
  </cellXfs>
  <cellStyles count="4">
    <cellStyle name="Įprastas" xfId="0" builtinId="0"/>
    <cellStyle name="Neutralus" xfId="1" builtinId="28"/>
    <cellStyle name="Neutral 2" xfId="2"/>
    <cellStyle name="Hyperlink" xfId="3"/>
  </cellStyles>
  <dxfs count="95">
    <dxf>
      <font>
        <b val="1"/>
        <color auto="1"/>
      </font>
      <fill>
        <patternFill>
          <bgColor theme="7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auto="1"/>
      </font>
      <fill>
        <patternFill>
          <bgColor theme="7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theme="0"/>
      </font>
      <fill>
        <patternFill>
          <bgColor rgb="FF7030A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rgb="FF00B0F0"/>
      </font>
      <fill>
        <patternFill>
          <bgColor theme="2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1"/>
        <color theme="2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2F2F2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color rgb="FFF2F2F2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39BE1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F2F2F2"/>
      </font>
      <fill>
        <patternFill patternType="solid">
          <bgColor rgb="FF7030A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C198E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auto="1"/>
      </font>
      <fill>
        <patternFill>
          <bgColor rgb="FF92D050"/>
        </patternFill>
      </fill>
    </dxf>
    <dxf>
      <font>
        <b val="1"/>
        <color theme="0"/>
      </font>
      <fill>
        <patternFill>
          <bgColor rgb="FF7030A0"/>
        </patternFill>
      </fill>
    </dxf>
    <dxf>
      <font>
        <b val="1"/>
        <color auto="1"/>
      </font>
      <fill>
        <patternFill>
          <bgColor theme="9" tint="0.5999633777886288"/>
        </patternFill>
      </fill>
    </dxf>
    <dxf>
      <font>
        <b val="1"/>
        <color rgb="FF00B0F0"/>
      </font>
      <fill>
        <patternFill>
          <bgColor theme="2"/>
        </patternFill>
      </fill>
      <border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</dxf>
    <dxf>
      <font>
        <b val="1"/>
        <color theme="2"/>
      </font>
      <fill>
        <patternFill>
          <fgColor auto="1"/>
          <bgColor theme="9" tint="-0.499984740745262"/>
        </patternFill>
      </fill>
    </dxf>
    <dxf>
      <font>
        <b val="1"/>
        <color rgb="FFFF0000"/>
      </font>
      <fill>
        <patternFill>
          <bgColor theme="1"/>
        </patternFill>
      </fill>
    </dxf>
    <dxf>
      <font>
        <b val="1"/>
        <color rgb="FFFFFF00"/>
      </font>
      <fill>
        <patternFill>
          <bgColor rgb="FF00B0F0"/>
        </patternFill>
      </fill>
    </dxf>
    <dxf>
      <font>
        <color auto="1"/>
      </font>
      <fill>
        <patternFill>
          <bgColor rgb="FFFFFF00"/>
        </patternFill>
      </fill>
    </dxf>
    <dxf>
      <font>
        <b val="1"/>
        <color rgb="FFFFCCFF"/>
      </font>
      <fill>
        <patternFill>
          <bgColor rgb="FFFF00FF"/>
        </patternFill>
      </fill>
    </dxf>
    <dxf>
      <font>
        <color auto="1"/>
      </font>
      <fill>
        <patternFill>
          <bgColor theme="7"/>
        </patternFill>
      </fill>
    </dxf>
    <dxf>
      <font>
        <color rgb="FFF2F2F2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E7E6E6"/>
      </font>
      <fill>
        <patternFill patternType="solid"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52B6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Donatas Darkšas</author>
  </authors>
  <commentList>
    <comment ref="E37" authorId="0" shapeId="0">
      <text>
        <t>Donatas Darkšas:
Could be GW2203-019</t>
      </text>
    </comment>
  </commentList>
</comments>
</file>

<file path=xl/comments/comment2.xml><?xml version="1.0" encoding="utf-8"?>
<comments xmlns="http://schemas.openxmlformats.org/spreadsheetml/2006/main">
  <authors>
    <author>Donatas Darkšas</author>
    <author>Vitalijus Ponamariov</author>
  </authors>
  <commentList>
    <comment ref="J226" authorId="0" shapeId="0">
      <text>
        <t>Donatas Darkšas:
Nepavyko perprogramuoti</t>
      </text>
    </comment>
    <comment ref="J616" authorId="1" shapeId="0">
      <text>
        <t xml:space="preserve">Vitalijus Ponamariov:
Ubidots'as sita device'a randa kaip Link-PR-2201-007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hyperlink" Target="http://ec2-35-157-185-34.eu-central-1.compute.amazonaws.com:8090/sensor?2.1/0.22/" TargetMode="External" Id="rId1" /><Relationship Type="http://schemas.openxmlformats.org/officeDocument/2006/relationships/hyperlink" Target="http://ec2-35-157-185-34.eu-central-1.compute.amazonaws.com:8090/sensor?2.1/2.5/" TargetMode="External" Id="rId2" /><Relationship Type="http://schemas.openxmlformats.org/officeDocument/2006/relationships/hyperlink" Target="http://ec2-35-157-185-34.eu-central-1.compute.amazonaws.com:8090/sensor?2.1/0.24/" TargetMode="External" Id="rId3" /><Relationship Type="http://schemas.openxmlformats.org/officeDocument/2006/relationships/hyperlink" Target="http://ec2-35-157-185-34.eu-central-1.compute.amazonaws.com:8090/sensor?2.1/0.26/" TargetMode="External" Id="rId4" /><Relationship Type="http://schemas.openxmlformats.org/officeDocument/2006/relationships/hyperlink" Target="http://ec2-35-157-185-34.eu-central-1.compute.amazonaws.com:8090/sensor?2.1/0.26/" TargetMode="External" Id="rId5" /><Relationship Type="http://schemas.openxmlformats.org/officeDocument/2006/relationships/hyperlink" Target="http://ec2-35-157-185-34.eu-central-1.compute.amazonaws.com:8090/sensor?2.2/0.30/" TargetMode="External" Id="rId6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1">
    <outlinePr summaryBelow="1" summaryRight="1"/>
    <pageSetUpPr/>
  </sheetPr>
  <dimension ref="A1:O143"/>
  <sheetViews>
    <sheetView zoomScaleNormal="100" workbookViewId="0">
      <pane ySplit="1" topLeftCell="A4" activePane="bottomLeft" state="frozen"/>
      <selection pane="bottomLeft" activeCell="F136" sqref="F136"/>
    </sheetView>
  </sheetViews>
  <sheetFormatPr baseColWidth="8" defaultColWidth="9.140625" defaultRowHeight="15"/>
  <cols>
    <col width="18.85546875" customWidth="1" style="14" min="1" max="1"/>
    <col width="26" bestFit="1" customWidth="1" style="14" min="2" max="2"/>
    <col width="27.42578125" customWidth="1" style="83" min="3" max="3"/>
    <col width="19.140625" customWidth="1" style="14" min="4" max="4"/>
    <col width="26" bestFit="1" customWidth="1" style="14" min="5" max="5"/>
    <col width="18.5703125" bestFit="1" customWidth="1" style="14" min="6" max="6"/>
    <col width="15.85546875" customWidth="1" style="9" min="7" max="7"/>
    <col width="16.42578125" bestFit="1" customWidth="1" style="2" min="8" max="8"/>
    <col width="14.140625" bestFit="1" customWidth="1" style="14" min="9" max="9"/>
    <col width="13.7109375" bestFit="1" customWidth="1" style="2" min="10" max="10"/>
    <col width="16.7109375" bestFit="1" customWidth="1" style="77" min="11" max="11"/>
    <col width="13" bestFit="1" customWidth="1" style="14" min="12" max="13"/>
    <col width="82.28515625" bestFit="1" customWidth="1" style="97" min="14" max="14"/>
    <col width="255.5703125" bestFit="1" customWidth="1" style="14" min="15" max="15"/>
    <col width="9.140625" customWidth="1" style="14" min="16" max="18"/>
    <col width="9.140625" customWidth="1" style="14" min="19" max="16384"/>
  </cols>
  <sheetData>
    <row r="1" customFormat="1" s="16">
      <c r="A1" s="16" t="inlineStr">
        <is>
          <t>operator_name</t>
        </is>
      </c>
      <c r="B1" s="16" t="inlineStr">
        <is>
          <t>operator_id</t>
        </is>
      </c>
      <c r="C1" s="82" t="inlineStr">
        <is>
          <t>id</t>
        </is>
      </c>
      <c r="D1" s="16" t="inlineStr">
        <is>
          <t>sn</t>
        </is>
      </c>
      <c r="E1" s="16" t="inlineStr">
        <is>
          <t>case_nr</t>
        </is>
      </c>
      <c r="F1" s="16" t="inlineStr">
        <is>
          <t>settings</t>
        </is>
      </c>
      <c r="G1" s="9" t="inlineStr">
        <is>
          <t>wagon_nr</t>
        </is>
      </c>
      <c r="H1" s="75" t="inlineStr">
        <is>
          <t>imei</t>
        </is>
      </c>
      <c r="I1" s="16" t="inlineStr">
        <is>
          <t>board_model</t>
        </is>
      </c>
      <c r="J1" s="75" t="inlineStr">
        <is>
          <t>battery_mah</t>
        </is>
      </c>
      <c r="K1" s="76" t="inlineStr">
        <is>
          <t>installation_date</t>
        </is>
      </c>
      <c r="L1" s="16" t="inlineStr">
        <is>
          <t>placement</t>
        </is>
      </c>
      <c r="M1" s="14" t="inlineStr">
        <is>
          <t>installed_by</t>
        </is>
      </c>
      <c r="N1" s="97" t="inlineStr">
        <is>
          <t>note</t>
        </is>
      </c>
      <c r="O1" s="16" t="inlineStr">
        <is>
          <t>setting_string</t>
        </is>
      </c>
    </row>
    <row r="2" hidden="1">
      <c r="B2" s="14">
        <f>IFERROR(INDEX(Companies!$A$3:$A$101,MATCH(A2,Companies!$B$3:$B$101,0)),"")</f>
        <v/>
      </c>
      <c r="C2" s="83" t="inlineStr">
        <is>
          <t>e00fce68d5f6b9fb3caee958</t>
        </is>
      </c>
      <c r="E2" s="14" t="inlineStr">
        <is>
          <t>GW2203-006</t>
        </is>
      </c>
      <c r="F2" s="14" t="inlineStr">
        <is>
          <t>Normal-2-6h</t>
        </is>
      </c>
      <c r="I2" s="14" t="inlineStr">
        <is>
          <t>T523M</t>
        </is>
      </c>
      <c r="J2" s="2" t="n">
        <v>19800</v>
      </c>
      <c r="O2" s="14">
        <f>IFERROR(INDEX(Settings!$AC$3:$AC$95,MATCH(Gateways_DynamoDB!$F2,Settings!$B$3:$B$95,0)),"")</f>
        <v/>
      </c>
    </row>
    <row r="3" hidden="1">
      <c r="B3" s="14">
        <f>IFERROR(INDEX(Companies!$A$3:$A$101,MATCH(A3,Companies!$B$3:$B$101,0)),"")</f>
        <v/>
      </c>
      <c r="C3" s="83" t="inlineStr">
        <is>
          <t>e00fce68fe4dbdb9fab37607</t>
        </is>
      </c>
      <c r="E3" s="14" t="inlineStr">
        <is>
          <t>GW2203-017</t>
        </is>
      </c>
      <c r="F3" s="14" t="inlineStr">
        <is>
          <t>DD_ONLY_discovery</t>
        </is>
      </c>
      <c r="I3" s="14" t="inlineStr">
        <is>
          <t>T523M</t>
        </is>
      </c>
      <c r="J3" s="2" t="n">
        <v>19800</v>
      </c>
      <c r="N3" s="97" t="inlineStr">
        <is>
          <t>REFURBISHED</t>
        </is>
      </c>
      <c r="O3" s="14">
        <f>IFERROR(INDEX(Settings!$AC$3:$AC$95,MATCH(Gateways_DynamoDB!$F3,Settings!$B$3:$B$95,0)),"")</f>
        <v/>
      </c>
    </row>
    <row r="4" hidden="1">
      <c r="A4" s="14" t="inlineStr">
        <is>
          <t>TANKWAGON</t>
        </is>
      </c>
      <c r="B4" s="14">
        <f>IFERROR(INDEX(Companies!$A$3:$A$101,MATCH(A4,Companies!$B$3:$B$101,0)),"")</f>
        <v/>
      </c>
      <c r="C4" s="83" t="inlineStr">
        <is>
          <t>e00fce6887c2f1e171208217</t>
        </is>
      </c>
      <c r="E4" s="111" t="inlineStr">
        <is>
          <t>GW2203-019</t>
        </is>
      </c>
      <c r="F4" s="14" t="inlineStr">
        <is>
          <t>Recovery-6-6h</t>
        </is>
      </c>
      <c r="G4" s="9" t="inlineStr">
        <is>
          <t>33877916669-7</t>
        </is>
      </c>
      <c r="I4" s="14" t="inlineStr">
        <is>
          <t>T523M</t>
        </is>
      </c>
      <c r="J4" s="2" t="n">
        <v>19800</v>
      </c>
      <c r="O4" s="14">
        <f>IFERROR(INDEX(Settings!$AC$3:$AC$95,MATCH(Gateways_DynamoDB!$F4,Settings!$B$3:$B$95,0)),"")</f>
        <v/>
      </c>
    </row>
    <row r="5" hidden="1">
      <c r="A5" s="14">
        <f>IFERROR(INDEX(Gateways_MANU!$A$2:$A$4949,MATCH($E5,Gateways_MANU!$B$2:$B$4949,0)),"")</f>
        <v/>
      </c>
      <c r="B5" s="14">
        <f>IFERROR(INDEX(Companies!$A$3:$A$101,MATCH(A5,Companies!$B$3:$B$101,0)),"")</f>
        <v/>
      </c>
      <c r="C5" s="83" t="inlineStr">
        <is>
          <t>e00fce688ca17b3f3592c148</t>
        </is>
      </c>
      <c r="E5" s="14" t="inlineStr">
        <is>
          <t>GW2203-024</t>
        </is>
      </c>
      <c r="F5" s="14" t="inlineStr">
        <is>
          <t>Normal-2-6h</t>
        </is>
      </c>
      <c r="G5" s="9" t="inlineStr">
        <is>
          <t>33-85-4956-687-9</t>
        </is>
      </c>
      <c r="I5" s="14" t="inlineStr">
        <is>
          <t>T523M</t>
        </is>
      </c>
      <c r="J5" s="2" t="n">
        <v>19800</v>
      </c>
      <c r="K5" s="77" t="n">
        <v>44832</v>
      </c>
      <c r="L5" s="14" t="inlineStr">
        <is>
          <t>L</t>
        </is>
      </c>
      <c r="M5" s="14" t="inlineStr">
        <is>
          <t>Hupac</t>
        </is>
      </c>
      <c r="N5" s="97" t="inlineStr">
        <is>
          <t>REFURBISHED</t>
        </is>
      </c>
      <c r="O5" s="14">
        <f>IFERROR(INDEX(Settings!$AC$3:$AC$95,MATCH(Gateways_DynamoDB!$F5,Settings!$B$3:$B$95,0)),"")</f>
        <v/>
      </c>
    </row>
    <row r="6" hidden="1">
      <c r="B6" s="14">
        <f>IFERROR(INDEX(Companies!$A$3:$A$101,MATCH(A6,Companies!$B$3:$B$101,0)),"")</f>
        <v/>
      </c>
      <c r="C6" s="83" t="inlineStr">
        <is>
          <t>e00fce68c836b123fe66b5cc</t>
        </is>
      </c>
      <c r="E6" s="14" t="inlineStr">
        <is>
          <t>GW2203-031</t>
        </is>
      </c>
      <c r="F6" s="14" t="inlineStr">
        <is>
          <t>DD_ONLY_discovery</t>
        </is>
      </c>
      <c r="I6" s="14" t="inlineStr">
        <is>
          <t>T523M</t>
        </is>
      </c>
      <c r="J6" s="2" t="n">
        <v>19800</v>
      </c>
      <c r="N6" s="97" t="inlineStr">
        <is>
          <t>REFURBISHED</t>
        </is>
      </c>
      <c r="O6" s="14">
        <f>IFERROR(INDEX(Settings!$AC$3:$AC$95,MATCH(Gateways_DynamoDB!$F6,Settings!$B$3:$B$95,0)),"")</f>
        <v/>
      </c>
    </row>
    <row r="7" hidden="1">
      <c r="B7" s="14">
        <f>IFERROR(INDEX(Companies!$A$3:$A$101,MATCH(A7,Companies!$B$3:$B$101,0)),"")</f>
        <v/>
      </c>
      <c r="C7" s="83" t="inlineStr">
        <is>
          <t>e00fce68937b6b32fe0ec8c3</t>
        </is>
      </c>
      <c r="E7" s="14" t="inlineStr">
        <is>
          <t>GW2203-035</t>
        </is>
      </c>
      <c r="F7" s="14" t="inlineStr">
        <is>
          <t>DD_ONLY_discovery</t>
        </is>
      </c>
      <c r="G7" s="78" t="n"/>
      <c r="I7" s="14" t="inlineStr">
        <is>
          <t>T523M</t>
        </is>
      </c>
      <c r="J7" s="2" t="n">
        <v>19800</v>
      </c>
      <c r="N7" s="97" t="inlineStr">
        <is>
          <t>REFURBISHED</t>
        </is>
      </c>
      <c r="O7" s="14">
        <f>IFERROR(INDEX(Settings!$AC$3:$AC$95,MATCH(Gateways_DynamoDB!$F7,Settings!$B$3:$B$95,0)),"")</f>
        <v/>
      </c>
    </row>
    <row r="8" hidden="1">
      <c r="A8" s="14">
        <f>IFERROR(INDEX(Gateways_MANU!$A$2:$A$4949,MATCH($E8,Gateways_MANU!$B$2:$B$4949,0)),"")</f>
        <v/>
      </c>
      <c r="B8" s="14">
        <f>IFERROR(INDEX(Companies!$A$3:$A$101,MATCH(A8,Companies!$B$3:$B$101,0)),"")</f>
        <v/>
      </c>
      <c r="C8" s="83" t="inlineStr">
        <is>
          <t>e00fce68f75fe3eac5ee7b0a</t>
        </is>
      </c>
      <c r="E8" s="14" t="inlineStr">
        <is>
          <t>GW2203-037</t>
        </is>
      </c>
      <c r="F8" s="14" t="inlineStr">
        <is>
          <t>Normal-2-6h</t>
        </is>
      </c>
      <c r="G8" s="9" t="inlineStr">
        <is>
          <t>33-85-4506-155-2</t>
        </is>
      </c>
      <c r="I8" s="14" t="inlineStr">
        <is>
          <t>T523M</t>
        </is>
      </c>
      <c r="J8" s="2" t="n">
        <v>19800</v>
      </c>
      <c r="K8" s="77" t="n">
        <v>44832</v>
      </c>
      <c r="L8" s="14" t="inlineStr">
        <is>
          <t>L</t>
        </is>
      </c>
      <c r="M8" s="14" t="inlineStr">
        <is>
          <t>Hupac</t>
        </is>
      </c>
      <c r="N8" s="97" t="inlineStr">
        <is>
          <t>REFURBISHED</t>
        </is>
      </c>
      <c r="O8" s="14">
        <f>IFERROR(INDEX(Settings!$AC$3:$AC$95,MATCH(Gateways_DynamoDB!$F8,Settings!$B$3:$B$95,0)),"")</f>
        <v/>
      </c>
    </row>
    <row r="9" hidden="1">
      <c r="C9" s="83" t="inlineStr">
        <is>
          <t>e00fce6843cf275e71c9114a</t>
        </is>
      </c>
      <c r="E9" s="14" t="inlineStr">
        <is>
          <t>GW2203-043</t>
        </is>
      </c>
      <c r="F9" s="14" t="inlineStr">
        <is>
          <t>Shipping</t>
        </is>
      </c>
      <c r="I9" s="14" t="inlineStr">
        <is>
          <t>T523M</t>
        </is>
      </c>
      <c r="J9" s="2" t="n">
        <v>19800</v>
      </c>
      <c r="N9" s="97" t="inlineStr">
        <is>
          <t>REFURBISHED</t>
        </is>
      </c>
      <c r="O9" s="14">
        <f>IFERROR(INDEX(Settings!$AC$3:$AC$95,MATCH(Gateways_DynamoDB!$F9,Settings!$B$3:$B$95,0)),"")</f>
        <v/>
      </c>
    </row>
    <row r="10" hidden="1">
      <c r="B10" s="14">
        <f>IFERROR(INDEX(Companies!$A$3:$A$101,MATCH(A10,Companies!$B$3:$B$101,0)),"")</f>
        <v/>
      </c>
      <c r="C10" s="83" t="inlineStr">
        <is>
          <t>e00fce6896f7577f9882a05e</t>
        </is>
      </c>
      <c r="D10" s="14" t="inlineStr">
        <is>
          <t>P025AB035NST2GY</t>
        </is>
      </c>
      <c r="E10" s="14" t="inlineStr">
        <is>
          <t>GW2206-011</t>
        </is>
      </c>
      <c r="F10" s="14" t="inlineStr">
        <is>
          <t>Slow-5-12h</t>
        </is>
      </c>
      <c r="I10" s="14" t="inlineStr">
        <is>
          <t>T523M</t>
        </is>
      </c>
      <c r="J10" s="2">
        <f>6600*3</f>
        <v/>
      </c>
      <c r="O10" s="14">
        <f>IFERROR(INDEX(Settings!$AC$3:$AC$95,MATCH(Gateways_DynamoDB!$F10,Settings!$B$3:$B$95,0)),"")</f>
        <v/>
      </c>
    </row>
    <row r="11" hidden="1">
      <c r="A11" s="14" t="inlineStr">
        <is>
          <t>TANKWAGON</t>
        </is>
      </c>
      <c r="B11" s="14">
        <f>IFERROR(INDEX(Companies!$A$3:$A$101,MATCH(A11,Companies!$B$3:$B$101,0)),"")</f>
        <v/>
      </c>
      <c r="C11" s="83" t="inlineStr">
        <is>
          <t>e00fce68ad614837daa82ef5</t>
        </is>
      </c>
      <c r="D11" s="14" t="inlineStr">
        <is>
          <t>P025AB110CYFGSN</t>
        </is>
      </c>
      <c r="E11" s="111" t="inlineStr">
        <is>
          <t>GW2206-060</t>
        </is>
      </c>
      <c r="F11" s="14" t="inlineStr">
        <is>
          <t>Normal-2-6h</t>
        </is>
      </c>
      <c r="G11" s="9" t="inlineStr">
        <is>
          <t>33747913061-5</t>
        </is>
      </c>
      <c r="I11" s="14" t="inlineStr">
        <is>
          <t>T523M</t>
        </is>
      </c>
      <c r="J11" s="2">
        <f>6600*3</f>
        <v/>
      </c>
      <c r="O11" s="14">
        <f>IFERROR(INDEX(Settings!$AC$3:$AC$95,MATCH(Gateways_DynamoDB!$F11,Settings!$B$3:$B$95,0)),"")</f>
        <v/>
      </c>
    </row>
    <row r="12" hidden="1">
      <c r="A12" s="14" t="inlineStr">
        <is>
          <t>HUPAC</t>
        </is>
      </c>
      <c r="B12" s="14">
        <f>IFERROR(INDEX(Companies!$A$3:$A$101,MATCH(A12,Companies!$B$3:$B$101,0)),"")</f>
        <v/>
      </c>
      <c r="C12" s="83" t="inlineStr">
        <is>
          <t>e00fce68fabaf7b85132d014</t>
        </is>
      </c>
      <c r="D12" s="14" t="inlineStr">
        <is>
          <t>P025AB106R9KDYH</t>
        </is>
      </c>
      <c r="E12" s="14" t="inlineStr">
        <is>
          <t>GW2206-089</t>
        </is>
      </c>
      <c r="F12" s="14" t="inlineStr">
        <is>
          <t>Normal-2-6h</t>
        </is>
      </c>
      <c r="G12" s="9" t="inlineStr">
        <is>
          <t>33-85-4956-687-9</t>
        </is>
      </c>
      <c r="I12" s="14" t="inlineStr">
        <is>
          <t>T523M</t>
        </is>
      </c>
      <c r="J12" s="2">
        <f>6600*3</f>
        <v/>
      </c>
      <c r="K12" s="77" t="n">
        <v>44832</v>
      </c>
      <c r="L12" s="14" t="inlineStr">
        <is>
          <t>R</t>
        </is>
      </c>
      <c r="M12" s="14" t="inlineStr">
        <is>
          <t>Hupac</t>
        </is>
      </c>
      <c r="N12" s="97" t="inlineStr">
        <is>
          <t>REFURBISHED</t>
        </is>
      </c>
      <c r="O12" s="14">
        <f>IFERROR(INDEX(Settings!$AC$3:$AC$95,MATCH(Gateways_DynamoDB!$F12,Settings!$B$3:$B$95,0)),"")</f>
        <v/>
      </c>
    </row>
    <row r="13" hidden="1">
      <c r="A13" s="14" t="inlineStr">
        <is>
          <t>VTG</t>
        </is>
      </c>
      <c r="B13" s="14">
        <f>IFERROR(INDEX(Companies!$A$3:$A$101,MATCH(A13,Companies!$B$3:$B$101,0)),"")</f>
        <v/>
      </c>
      <c r="C13" s="83" t="inlineStr">
        <is>
          <t>e00fce68460536b41089cff8</t>
        </is>
      </c>
      <c r="D13" s="14" t="inlineStr">
        <is>
          <t>P025AB029SKJB5U</t>
        </is>
      </c>
      <c r="E13" s="14" t="inlineStr">
        <is>
          <t>GW2203-041</t>
        </is>
      </c>
      <c r="F13" s="14" t="inlineStr">
        <is>
          <t>Shipping</t>
        </is>
      </c>
      <c r="H13" s="2" t="n">
        <v>867648041711084</v>
      </c>
      <c r="I13" s="14" t="inlineStr">
        <is>
          <t>T523M</t>
        </is>
      </c>
      <c r="J13" s="79" t="inlineStr">
        <is>
          <t>19800</t>
        </is>
      </c>
      <c r="N13" s="97" t="inlineStr">
        <is>
          <t>The device is with VTG, would like to get it back. Not monitored on Ubidots anymore.</t>
        </is>
      </c>
      <c r="O13" s="14">
        <f>IFERROR(INDEX(Settings!$AC$3:$AC$95,MATCH(Gateways_DynamoDB!$F13,Settings!$B$3:$B$95,0)),"")</f>
        <v/>
      </c>
    </row>
    <row r="14" hidden="1">
      <c r="A14" s="14" t="inlineStr">
        <is>
          <t>VTG</t>
        </is>
      </c>
      <c r="B14" s="14">
        <f>IFERROR(INDEX(Companies!$A$3:$A$101,MATCH(A14,Companies!$B$3:$B$101,0)),"")</f>
        <v/>
      </c>
      <c r="C14" s="83" t="inlineStr">
        <is>
          <t>e00fce6851355da59013f2c4</t>
        </is>
      </c>
      <c r="E14" s="14" t="inlineStr">
        <is>
          <t>GW2206-086</t>
        </is>
      </c>
      <c r="F14" s="14" t="inlineStr">
        <is>
          <t>Shipping</t>
        </is>
      </c>
      <c r="J14" s="79" t="n"/>
      <c r="N14" s="97" t="inlineStr">
        <is>
          <t>The device is with VTG, would like to get it back. Not monitored on Ubidots anymore.</t>
        </is>
      </c>
      <c r="O14" s="14">
        <f>IFERROR(INDEX(Settings!$AC$3:$AC$95,MATCH(Gateways_DynamoDB!$F14,Settings!$B$3:$B$95,0)),"")</f>
        <v/>
      </c>
    </row>
    <row r="15" hidden="1">
      <c r="A15" s="14" t="inlineStr">
        <is>
          <t>TANKWAGON</t>
        </is>
      </c>
      <c r="B15" s="14">
        <f>IFERROR(INDEX(Companies!$A$3:$A$101,MATCH(A15,Companies!$B$3:$B$101,0)),"")</f>
        <v/>
      </c>
      <c r="C15" s="83" t="inlineStr">
        <is>
          <t>e00fce68dcd8c78ed63ea671</t>
        </is>
      </c>
      <c r="E15" s="14" t="inlineStr">
        <is>
          <t>GW2203-022</t>
        </is>
      </c>
      <c r="F15" s="14" t="inlineStr">
        <is>
          <t>NO_SPEED_2h</t>
        </is>
      </c>
      <c r="G15" s="9" t="inlineStr">
        <is>
          <t>33857929905-2</t>
        </is>
      </c>
      <c r="I15" s="14" t="inlineStr">
        <is>
          <t>T523M</t>
        </is>
      </c>
      <c r="J15" s="2">
        <f>3*6600</f>
        <v/>
      </c>
      <c r="K15" s="77" t="n">
        <v>45210</v>
      </c>
      <c r="L15" s="14" t="inlineStr">
        <is>
          <t>L</t>
        </is>
      </c>
      <c r="M15" s="14" t="inlineStr">
        <is>
          <t>TANKWAGON</t>
        </is>
      </c>
      <c r="N15" s="97" t="inlineStr">
        <is>
          <t>REFURBISHED</t>
        </is>
      </c>
      <c r="O15" s="14">
        <f>IFERROR(INDEX(Settings!$AC$3:$AC$95,MATCH(Gateways_DynamoDB!$F15,Settings!$B$3:$B$95,0)),"")</f>
        <v/>
      </c>
    </row>
    <row r="16" hidden="1">
      <c r="A16" s="14" t="inlineStr">
        <is>
          <t>AMBROGIO</t>
        </is>
      </c>
      <c r="B16" s="14">
        <f>IFERROR(INDEX(Companies!$A$3:$A$101,MATCH(A16,Companies!$B$3:$B$101,0)),"")</f>
        <v/>
      </c>
      <c r="C16" s="83" t="inlineStr">
        <is>
          <t>e00fce68afcedd2b5f45923c</t>
        </is>
      </c>
      <c r="D16" s="14" t="inlineStr">
        <is>
          <t>P025AB029VMW27B</t>
        </is>
      </c>
      <c r="E16" s="14" t="inlineStr">
        <is>
          <t>GW2206-039</t>
        </is>
      </c>
      <c r="F16" s="14" t="inlineStr">
        <is>
          <t>Shipping</t>
        </is>
      </c>
      <c r="G16" s="9" t="inlineStr">
        <is>
          <t>33-83-495-4-940-6</t>
        </is>
      </c>
      <c r="I16" s="14" t="inlineStr">
        <is>
          <t>T523M</t>
        </is>
      </c>
      <c r="J16" s="2">
        <f>6600*3</f>
        <v/>
      </c>
      <c r="K16" s="77" t="n">
        <v>44832</v>
      </c>
      <c r="L16" s="14" t="inlineStr">
        <is>
          <t>L</t>
        </is>
      </c>
      <c r="M16" s="14" t="inlineStr">
        <is>
          <t>Viezo</t>
        </is>
      </c>
      <c r="O16" s="14">
        <f>IFERROR(INDEX(Settings!$AC$3:$AC$95,MATCH(Gateways_DynamoDB!$F16,Settings!$B$3:$B$95,0)),"")</f>
        <v/>
      </c>
    </row>
    <row r="17" hidden="1">
      <c r="A17" s="14" t="inlineStr">
        <is>
          <t>TRANSFESA</t>
        </is>
      </c>
      <c r="B17" s="14">
        <f>IFERROR(INDEX(Companies!$A$3:$A$101,MATCH(A17,Companies!$B$3:$B$101,0)),"")</f>
        <v/>
      </c>
      <c r="C17" s="83" t="inlineStr">
        <is>
          <t>e00fce6819fe1dab0cbaa87e</t>
        </is>
      </c>
      <c r="D17" s="14" t="inlineStr">
        <is>
          <t>P025AB028DKE4WY</t>
        </is>
      </c>
      <c r="E17" s="14" t="inlineStr">
        <is>
          <t>GW2206-077</t>
        </is>
      </c>
      <c r="F17" s="14" t="inlineStr">
        <is>
          <t>Recovery-6-6h</t>
        </is>
      </c>
      <c r="G17" s="16" t="inlineStr">
        <is>
          <t>24714450036-7</t>
        </is>
      </c>
      <c r="H17" s="2" t="n">
        <v>867648041714096</v>
      </c>
      <c r="I17" s="14" t="inlineStr">
        <is>
          <t>T523M</t>
        </is>
      </c>
      <c r="J17" s="79" t="inlineStr">
        <is>
          <t>19800</t>
        </is>
      </c>
      <c r="K17" s="77" t="n">
        <v>44893</v>
      </c>
      <c r="O17" s="14">
        <f>IFERROR(INDEX(Settings!$AC$3:$AC$95,MATCH(Gateways_DynamoDB!$F17,Settings!$B$3:$B$95,0)),"")</f>
        <v/>
      </c>
    </row>
    <row r="18" hidden="1">
      <c r="A18" s="14" t="inlineStr">
        <is>
          <t>TANKWAGON</t>
        </is>
      </c>
      <c r="B18" s="14">
        <f>IFERROR(INDEX(Companies!$A$3:$A$101,MATCH(A18,Companies!$B$3:$B$101,0)),"")</f>
        <v/>
      </c>
      <c r="C18" s="83" t="inlineStr">
        <is>
          <t>e00fce68c2592b9188efd2c9</t>
        </is>
      </c>
      <c r="D18" s="14" t="inlineStr">
        <is>
          <t>P025AB028C6AVWK</t>
        </is>
      </c>
      <c r="E18" s="111" t="inlineStr">
        <is>
          <t>GW2203-021</t>
        </is>
      </c>
      <c r="F18" s="14" t="inlineStr">
        <is>
          <t>Normal-2-6h</t>
        </is>
      </c>
      <c r="G18" s="16" t="inlineStr">
        <is>
          <t>33877916663-0</t>
        </is>
      </c>
      <c r="H18" s="2" t="n">
        <v>867648041704329</v>
      </c>
      <c r="I18" s="14" t="inlineStr">
        <is>
          <t>T523M</t>
        </is>
      </c>
      <c r="J18" s="79" t="inlineStr">
        <is>
          <t>19800</t>
        </is>
      </c>
      <c r="N18" s="97" t="inlineStr">
        <is>
          <t>was_GW2206-080</t>
        </is>
      </c>
      <c r="O18" s="14">
        <f>IFERROR(INDEX(Settings!$AC$3:$AC$95,MATCH(Gateways_DynamoDB!$F18,Settings!$B$3:$B$95,0)),"")</f>
        <v/>
      </c>
    </row>
    <row r="19" hidden="1">
      <c r="A19" s="14" t="inlineStr">
        <is>
          <t>TANKWAGON</t>
        </is>
      </c>
      <c r="B19" s="14">
        <f>IFERROR(INDEX(Companies!$A$3:$A$101,MATCH(A19,Companies!$B$3:$B$101,0)),"")</f>
        <v/>
      </c>
      <c r="C19" s="83" t="inlineStr">
        <is>
          <t>e00fce68122c671cbe1f1ff1</t>
        </is>
      </c>
      <c r="E19" s="111" t="inlineStr">
        <is>
          <t>GW2203-003</t>
        </is>
      </c>
      <c r="F19" s="14" t="inlineStr">
        <is>
          <t>Fast-1-3h</t>
        </is>
      </c>
      <c r="G19" s="9" t="inlineStr">
        <is>
          <t>33877916666-3</t>
        </is>
      </c>
      <c r="O19" s="14">
        <f>IFERROR(INDEX(Settings!$AC$3:$AC$95,MATCH(Gateways_DynamoDB!$F19,Settings!$B$3:$B$95,0)),"")</f>
        <v/>
      </c>
    </row>
    <row r="20" hidden="1">
      <c r="B20" s="14">
        <f>IFERROR(INDEX(Companies!$A$3:$A$101,MATCH(A20,Companies!$B$3:$B$101,0)),"")</f>
        <v/>
      </c>
      <c r="C20" s="83" t="inlineStr">
        <is>
          <t>e00fce683054951baa398b52</t>
        </is>
      </c>
      <c r="E20" s="14" t="inlineStr">
        <is>
          <t>GW2203-015</t>
        </is>
      </c>
      <c r="F20" s="14" t="inlineStr">
        <is>
          <t>Shipping</t>
        </is>
      </c>
      <c r="O20" s="14">
        <f>IFERROR(INDEX(Settings!$AC$3:$AC$95,MATCH(Gateways_DynamoDB!$F20,Settings!$B$3:$B$95,0)),"")</f>
        <v/>
      </c>
    </row>
    <row r="21" hidden="1">
      <c r="A21" s="14" t="inlineStr">
        <is>
          <t>RAILIZE</t>
        </is>
      </c>
      <c r="B21" s="14">
        <f>IFERROR(INDEX(Companies!$A$3:$A$101,MATCH(A21,Companies!$B$3:$B$101,0)),"")</f>
        <v/>
      </c>
      <c r="C21" s="83" t="inlineStr">
        <is>
          <t>e00fce68fee664d352aabbb4</t>
        </is>
      </c>
      <c r="D21" s="14" t="inlineStr">
        <is>
          <t>P025AB028UWJH3K</t>
        </is>
      </c>
      <c r="E21" s="14" t="inlineStr">
        <is>
          <t>GW2206-061</t>
        </is>
      </c>
      <c r="F21" s="14" t="inlineStr">
        <is>
          <t>Shipping</t>
        </is>
      </c>
      <c r="G21" s="16" t="n"/>
      <c r="H21" s="2" t="n">
        <v>867648041664994</v>
      </c>
      <c r="I21" s="14" t="inlineStr">
        <is>
          <t>T523M</t>
        </is>
      </c>
      <c r="J21" s="79" t="inlineStr">
        <is>
          <t>19800</t>
        </is>
      </c>
      <c r="O21" s="14">
        <f>IFERROR(INDEX(Settings!$AC$3:$AC$95,MATCH(Gateways_DynamoDB!$F21,Settings!$B$3:$B$95,0)),"")</f>
        <v/>
      </c>
    </row>
    <row r="22" hidden="1">
      <c r="A22" s="14">
        <f>IFERROR(INDEX(Gateways_MANU!$A$2:$A$4949,MATCH($E22,Gateways_MANU!$B$2:$B$4949,0)),"")</f>
        <v/>
      </c>
      <c r="B22" s="14">
        <f>IFERROR(INDEX(Companies!$A$3:$A$101,MATCH(A22,Companies!$B$3:$B$101,0)),"")</f>
        <v/>
      </c>
      <c r="C22" s="83" t="inlineStr">
        <is>
          <t>e00fce68f7915cebf1562e87</t>
        </is>
      </c>
      <c r="E22" s="14" t="inlineStr">
        <is>
          <t>GW2203-007</t>
        </is>
      </c>
      <c r="F22" s="14" t="inlineStr">
        <is>
          <t>Shipping</t>
        </is>
      </c>
      <c r="G22" s="9" t="inlineStr">
        <is>
          <t>3354-3937-523-9</t>
        </is>
      </c>
      <c r="J22" s="2" t="n">
        <v>19800</v>
      </c>
      <c r="K22" s="77" t="n">
        <v>44888</v>
      </c>
      <c r="M22" s="14" t="inlineStr">
        <is>
          <t>SGL</t>
        </is>
      </c>
      <c r="N22" s="97" t="inlineStr">
        <is>
          <t>The operator has the device or its lost (they paid for it), but we dont monitor it on Ubidots anymore.</t>
        </is>
      </c>
      <c r="O22" s="14">
        <f>IFERROR(INDEX(Settings!$AC$3:$AC$95,MATCH(Gateways_DynamoDB!$F22,Settings!$B$3:$B$95,0)),"")</f>
        <v/>
      </c>
    </row>
    <row r="23" hidden="1">
      <c r="A23" s="14">
        <f>IFERROR(INDEX(Gateways_MANU!$A$2:$A$4949,MATCH($E23,Gateways_MANU!$B$2:$B$4949,0)),"")</f>
        <v/>
      </c>
      <c r="B23" s="14">
        <f>IFERROR(INDEX(Companies!$A$3:$A$101,MATCH(A23,Companies!$B$3:$B$101,0)),"")</f>
        <v/>
      </c>
      <c r="C23" s="83" t="inlineStr">
        <is>
          <t>e00fce6831de67dd448473e9</t>
        </is>
      </c>
      <c r="D23" s="14" t="inlineStr">
        <is>
          <t>P025AB0296GK27H</t>
        </is>
      </c>
      <c r="E23" s="14" t="inlineStr">
        <is>
          <t>GW2206-094</t>
        </is>
      </c>
      <c r="F23" s="74" t="inlineStr">
        <is>
          <t>Recovery-6-6h</t>
        </is>
      </c>
      <c r="G23" s="9" t="inlineStr">
        <is>
          <t>83546985088-6</t>
        </is>
      </c>
      <c r="H23" s="2" t="n">
        <v>867648041698265</v>
      </c>
      <c r="J23" s="2">
        <f>3*6600</f>
        <v/>
      </c>
      <c r="K23" s="77" t="n">
        <v>44909</v>
      </c>
      <c r="L23" s="14" t="inlineStr">
        <is>
          <t>R</t>
        </is>
      </c>
      <c r="M23" s="14" t="inlineStr">
        <is>
          <t>HVLE</t>
        </is>
      </c>
      <c r="N23" s="97" t="n">
        <v>44876</v>
      </c>
      <c r="O23" s="14">
        <f>IFERROR(INDEX(Settings!$AC$3:$AC$95,MATCH(Gateways_DynamoDB!$F23,Settings!$B$3:$B$95,0)),"")</f>
        <v/>
      </c>
    </row>
    <row r="24">
      <c r="A24" s="14" t="inlineStr">
        <is>
          <t>CFLCARGO</t>
        </is>
      </c>
      <c r="B24" s="14">
        <f>IFERROR(INDEX(Companies!$A$3:$A$101,MATCH(A24,Companies!$B$3:$B$101,0)),"")</f>
        <v/>
      </c>
      <c r="C24" s="83" t="inlineStr">
        <is>
          <t>e00fce6884e6fce92e4a8614</t>
        </is>
      </c>
      <c r="D24" s="14" t="inlineStr">
        <is>
          <t>P025AB110468W3Y</t>
        </is>
      </c>
      <c r="E24" s="14" t="inlineStr">
        <is>
          <t>GW2206-093</t>
        </is>
      </c>
      <c r="F24" s="14" t="inlineStr">
        <is>
          <t>NO_SPEED_2h</t>
        </is>
      </c>
      <c r="G24" s="9" t="inlineStr">
        <is>
          <t>MAK314</t>
        </is>
      </c>
      <c r="I24" s="14" t="inlineStr">
        <is>
          <t>T523M</t>
        </is>
      </c>
      <c r="J24" s="2">
        <f>6600*3</f>
        <v/>
      </c>
      <c r="O24" s="14">
        <f>IFERROR(INDEX(Settings!$AC$3:$AC$95,MATCH(Gateways_DynamoDB!$F24,Settings!$B$3:$B$95,0)),"")</f>
        <v/>
      </c>
    </row>
    <row r="25" hidden="1">
      <c r="A25" s="14">
        <f>IFERROR(T(INDEX(Gateways_MANU!$A$2:$A$4949,MATCH($E25,Gateways_MANU!$B$2:$B$4949,0))),"")</f>
        <v/>
      </c>
      <c r="B25" s="14">
        <f>IFERROR(INDEX(Companies!$A$3:$A$101,MATCH(A25,Companies!$B$3:$B$101,0)),"")</f>
        <v/>
      </c>
      <c r="C25" s="83" t="inlineStr">
        <is>
          <t>e00fce68e97726618903cccc</t>
        </is>
      </c>
      <c r="D25" s="14" t="inlineStr">
        <is>
          <t>P025AB029EJ2594</t>
        </is>
      </c>
      <c r="E25" s="14" t="inlineStr">
        <is>
          <t>GW2206-084</t>
        </is>
      </c>
      <c r="F25" s="14" t="inlineStr">
        <is>
          <t>Slow-5-12h</t>
        </is>
      </c>
      <c r="G25" s="9" t="inlineStr">
        <is>
          <t>33854668206-7</t>
        </is>
      </c>
      <c r="I25" s="14" t="inlineStr">
        <is>
          <t>T523M</t>
        </is>
      </c>
      <c r="J25" s="2">
        <f>6600*3</f>
        <v/>
      </c>
      <c r="K25" s="77" t="n">
        <v>44918</v>
      </c>
      <c r="L25" s="14" t="inlineStr">
        <is>
          <t>L</t>
        </is>
      </c>
      <c r="M25" s="14" t="inlineStr">
        <is>
          <t>Viezo</t>
        </is>
      </c>
      <c r="O25" s="14">
        <f>IFERROR(INDEX(Settings!$AC$3:$AC$95,MATCH(Gateways_DynamoDB!$F25,Settings!$B$3:$B$95,0)),"")</f>
        <v/>
      </c>
    </row>
    <row r="26" hidden="1">
      <c r="A26" s="14" t="inlineStr">
        <is>
          <t>RENFE</t>
        </is>
      </c>
      <c r="B26" s="14">
        <f>IFERROR(INDEX(Companies!$A$3:$A$101,MATCH(A26,Companies!$B$3:$B$101,0)),"")</f>
        <v/>
      </c>
      <c r="C26" s="83" t="inlineStr">
        <is>
          <t>e00fce6806eb219a43754b61</t>
        </is>
      </c>
      <c r="D26" s="14" t="inlineStr">
        <is>
          <t>P025AB1109GN7DK</t>
        </is>
      </c>
      <c r="E26" s="14" t="inlineStr">
        <is>
          <t>GW2203-027</t>
        </is>
      </c>
      <c r="F26" s="14" t="inlineStr">
        <is>
          <t>NO_SPEED_4h</t>
        </is>
      </c>
      <c r="G26" s="9" t="n">
        <v>527017</v>
      </c>
      <c r="I26" s="14" t="inlineStr">
        <is>
          <t>T523M</t>
        </is>
      </c>
      <c r="J26" s="2">
        <f>6600*3</f>
        <v/>
      </c>
      <c r="O26" s="14">
        <f>IFERROR(INDEX(Settings!$AC$3:$AC$95,MATCH(Gateways_DynamoDB!$F26,Settings!$B$3:$B$95,0)),"")</f>
        <v/>
      </c>
    </row>
    <row r="27" hidden="1">
      <c r="A27" s="14" t="inlineStr">
        <is>
          <t>TANKWAGON</t>
        </is>
      </c>
      <c r="B27" s="14">
        <f>IFERROR(INDEX(Companies!$A$3:$A$101,MATCH(A27,Companies!$B$3:$B$101,0)),"")</f>
        <v/>
      </c>
      <c r="C27" s="83" t="inlineStr">
        <is>
          <t>e00fce68193d8bb1b06adc22</t>
        </is>
      </c>
      <c r="D27" s="14" t="inlineStr">
        <is>
          <t>P025AB110H6FVU3</t>
        </is>
      </c>
      <c r="E27" s="111" t="inlineStr">
        <is>
          <t>GW2206-019</t>
        </is>
      </c>
      <c r="F27" s="14" t="inlineStr">
        <is>
          <t>Normal-2-6h</t>
        </is>
      </c>
      <c r="G27" s="9" t="inlineStr">
        <is>
          <t>33877916681-2</t>
        </is>
      </c>
      <c r="I27" s="14" t="inlineStr">
        <is>
          <t>T523M</t>
        </is>
      </c>
      <c r="J27" s="2">
        <f>6600*3</f>
        <v/>
      </c>
      <c r="O27" s="14">
        <f>IFERROR(INDEX(Settings!$AC$3:$AC$95,MATCH(Gateways_DynamoDB!$F27,Settings!$B$3:$B$95,0)),"")</f>
        <v/>
      </c>
    </row>
    <row r="28" hidden="1">
      <c r="A28" s="14">
        <f>IFERROR(INDEX(Gateways_MANU!$A$2:$A$4949,MATCH($E28,Gateways_MANU!$B$2:$B$4949,0)),"")</f>
        <v/>
      </c>
      <c r="B28" s="14">
        <f>IFERROR(INDEX(Companies!$A$3:$A$101,MATCH(A28,Companies!$B$3:$B$101,0)),"")</f>
        <v/>
      </c>
      <c r="C28" s="83" t="inlineStr">
        <is>
          <t>e00fce68fddc3f4dcf9a3b74</t>
        </is>
      </c>
      <c r="E28" s="14" t="inlineStr">
        <is>
          <t>GW2203-034</t>
        </is>
      </c>
      <c r="F28" s="74" t="inlineStr">
        <is>
          <t>Shipping</t>
        </is>
      </c>
      <c r="N28" s="97" t="inlineStr">
        <is>
          <t>The operator has the device or its lost (they paid for it), but we dont monitor it on Ubidots anymore.</t>
        </is>
      </c>
      <c r="O28" s="14">
        <f>IFERROR(INDEX(Settings!$AC$3:$AC$95,MATCH(Gateways_DynamoDB!$F28,Settings!$B$3:$B$95,0)),"")</f>
        <v/>
      </c>
    </row>
    <row r="29" hidden="1">
      <c r="A29" s="14">
        <f>IFERROR(INDEX(Gateways_MANU!$A$2:$A$4949,MATCH($E29,Gateways_MANU!$B$2:$B$4949,0)),"")</f>
        <v/>
      </c>
      <c r="B29" s="14">
        <f>IFERROR(INDEX(Companies!$A$3:$A$101,MATCH(A29,Companies!$B$3:$B$101,0)),"")</f>
        <v/>
      </c>
      <c r="C29" s="83" t="inlineStr">
        <is>
          <t>e00fce6853420f8642781437</t>
        </is>
      </c>
      <c r="E29" s="14" t="inlineStr">
        <is>
          <t>GW2203-049</t>
        </is>
      </c>
      <c r="F29" s="73" t="inlineStr">
        <is>
          <t>Shipping</t>
        </is>
      </c>
      <c r="N29" s="97" t="inlineStr">
        <is>
          <t>The operator has the device or its lost (they paid for it), but we dont monitor it on Ubidots anymore.</t>
        </is>
      </c>
      <c r="O29" s="14">
        <f>IFERROR(INDEX(Settings!$AC$3:$AC$95,MATCH(Gateways_DynamoDB!$F29,Settings!$B$3:$B$95,0)),"")</f>
        <v/>
      </c>
    </row>
    <row r="30" hidden="1">
      <c r="A30" s="14">
        <f>IFERROR(INDEX(Gateways_MANU!$A$2:$A$4949,MATCH($E30,Gateways_MANU!$B$2:$B$4949,0)),"")</f>
        <v/>
      </c>
      <c r="B30" s="14">
        <f>IFERROR(INDEX(Companies!$A$3:$A$101,MATCH(A30,Companies!$B$3:$B$101,0)),"")</f>
        <v/>
      </c>
      <c r="C30" s="83" t="inlineStr">
        <is>
          <t>e00fce68d32ab7e19cf847bf</t>
        </is>
      </c>
      <c r="F30" s="14" t="inlineStr">
        <is>
          <t>Normal-2-6h</t>
        </is>
      </c>
      <c r="G30" s="9" t="inlineStr">
        <is>
          <t>84515332773-7</t>
        </is>
      </c>
      <c r="K30" s="77" t="n">
        <v>44873</v>
      </c>
      <c r="L30" s="14" t="inlineStr">
        <is>
          <t>R</t>
        </is>
      </c>
      <c r="M30" s="14" t="inlineStr">
        <is>
          <t>Viezo</t>
        </is>
      </c>
      <c r="O30" s="14">
        <f>IFERROR(INDEX(Settings!$AC$3:$AC$95,MATCH(Gateways_DynamoDB!$F30,Settings!$B$3:$B$95,0)),"")</f>
        <v/>
      </c>
    </row>
    <row r="31">
      <c r="A31" t="inlineStr">
        <is>
          <t>CFLCARGO</t>
        </is>
      </c>
      <c r="B31" s="14">
        <f>IFERROR(INDEX(Companies!$A$3:$A$101,MATCH(A31,Companies!$B$3:$B$101,0)),"")</f>
        <v/>
      </c>
      <c r="C31" s="83" t="inlineStr">
        <is>
          <t>e00fce686488370d15054e7b</t>
        </is>
      </c>
      <c r="D31" s="14" t="inlineStr">
        <is>
          <t>P025AB029H378CD</t>
        </is>
      </c>
      <c r="E31" s="14" t="inlineStr">
        <is>
          <t>GW2206-056</t>
        </is>
      </c>
      <c r="F31" s="14" t="inlineStr">
        <is>
          <t>Recovery-6-6h</t>
        </is>
      </c>
      <c r="G31" s="9" t="inlineStr">
        <is>
          <t>MAK309</t>
        </is>
      </c>
      <c r="N31" s="97" t="inlineStr">
        <is>
          <t>was GW2203-012</t>
        </is>
      </c>
      <c r="O31" s="14">
        <f>IFERROR(INDEX(Settings!$AC$3:$AC$95,MATCH(Gateways_DynamoDB!$F31,Settings!$B$3:$B$95,0)),"")</f>
        <v/>
      </c>
    </row>
    <row r="32" hidden="1">
      <c r="A32" s="14">
        <f>IFERROR(INDEX(Gateways_MANU!$A$2:$A$4949,MATCH($E32,Gateways_MANU!$B$2:$B$4949,0)),"")</f>
        <v/>
      </c>
      <c r="B32" s="14">
        <f>IFERROR(INDEX(Companies!$A$3:$A$101,MATCH(A32,Companies!$B$3:$B$101,0)),"")</f>
        <v/>
      </c>
      <c r="C32" s="83" t="inlineStr">
        <is>
          <t>e00fce6813144c5e8a15791e</t>
        </is>
      </c>
      <c r="E32" s="14" t="inlineStr">
        <is>
          <t>GW2203-023</t>
        </is>
      </c>
      <c r="F32" s="14" t="inlineStr">
        <is>
          <t>Slow-5-12h</t>
        </is>
      </c>
      <c r="G32" s="9" t="inlineStr">
        <is>
          <t>R3555</t>
        </is>
      </c>
      <c r="K32" s="77" t="n">
        <v>44862</v>
      </c>
      <c r="M32" s="14" t="inlineStr">
        <is>
          <t>Fertagus</t>
        </is>
      </c>
      <c r="O32" s="14">
        <f>IFERROR(INDEX(Settings!$AC$3:$AC$95,MATCH(Gateways_DynamoDB!$F32,Settings!$B$3:$B$95,0)),"")</f>
        <v/>
      </c>
    </row>
    <row r="33" hidden="1">
      <c r="A33" s="14" t="inlineStr">
        <is>
          <t>FERTAGUS</t>
        </is>
      </c>
      <c r="B33" s="14">
        <f>IFERROR(INDEX(Companies!$A$3:$A$101,MATCH(A33,Companies!$B$3:$B$101,0)),"")</f>
        <v/>
      </c>
      <c r="C33" s="83" t="inlineStr">
        <is>
          <t>e00fce68962f04b2507c174f</t>
        </is>
      </c>
      <c r="D33" s="14" t="inlineStr">
        <is>
          <t>P025AB0293NU7YX</t>
        </is>
      </c>
      <c r="E33" s="14" t="inlineStr">
        <is>
          <t>GW2203-020</t>
        </is>
      </c>
      <c r="F33" s="14" t="inlineStr">
        <is>
          <t>Slow-5-12h</t>
        </is>
      </c>
      <c r="G33" s="9" t="inlineStr">
        <is>
          <t>M3555</t>
        </is>
      </c>
      <c r="K33" s="77" t="n">
        <v>44862</v>
      </c>
      <c r="M33" s="14" t="inlineStr">
        <is>
          <t>Fertagus</t>
        </is>
      </c>
      <c r="O33" s="14">
        <f>IFERROR(INDEX(Settings!$AC$3:$AC$95,MATCH(Gateways_DynamoDB!$F33,Settings!$B$3:$B$95,0)),"")</f>
        <v/>
      </c>
    </row>
    <row r="34" hidden="1">
      <c r="A34" s="14">
        <f>IFERROR(T(INDEX(Gateways_MANU!$A$2:$A$4949,MATCH($E34,Gateways_MANU!$B$2:$B$4949,0))),"")</f>
        <v/>
      </c>
      <c r="B34" s="14">
        <f>IFERROR(INDEX(Companies!$A$3:$A$101,MATCH(A34,Companies!$B$3:$B$101,0)),"")</f>
        <v/>
      </c>
      <c r="C34" s="83" t="inlineStr">
        <is>
          <t>e00fce68435a9c417f84ebb9</t>
        </is>
      </c>
      <c r="D34" s="14" t="inlineStr">
        <is>
          <t>P025AB110SCH4BF</t>
        </is>
      </c>
      <c r="E34" s="14" t="inlineStr">
        <is>
          <t>was_GW2206-091_</t>
        </is>
      </c>
      <c r="F34" s="14" t="inlineStr">
        <is>
          <t>Shipping</t>
        </is>
      </c>
      <c r="I34" s="14" t="inlineStr">
        <is>
          <t>T523M</t>
        </is>
      </c>
      <c r="J34" s="2">
        <f>6600*3</f>
        <v/>
      </c>
      <c r="O34" s="14">
        <f>IFERROR(INDEX(Settings!$AC$3:$AC$95,MATCH(Gateways_DynamoDB!$F34,Settings!$B$3:$B$95,0)),"")</f>
        <v/>
      </c>
    </row>
    <row r="35" hidden="1">
      <c r="A35" s="14">
        <f>IFERROR(T(INDEX(Gateways_MANU!$A$2:$A$4949,MATCH($E35,Gateways_MANU!$B$2:$B$4949,0))),"")</f>
        <v/>
      </c>
      <c r="B35" s="14">
        <f>IFERROR(INDEX(Companies!$A$3:$A$101,MATCH(A35,Companies!$B$3:$B$101,0)),"")</f>
        <v/>
      </c>
      <c r="C35" s="83" t="inlineStr">
        <is>
          <t>e00fce682cc4e7703b017399</t>
        </is>
      </c>
      <c r="D35" s="14" t="inlineStr">
        <is>
          <t>P025AB106B7TCKY</t>
        </is>
      </c>
      <c r="E35" s="14" t="inlineStr">
        <is>
          <t>GW2206-092</t>
        </is>
      </c>
      <c r="F35" s="14" t="inlineStr">
        <is>
          <t>Fast-1-3h</t>
        </is>
      </c>
      <c r="G35" s="9" t="inlineStr">
        <is>
          <t>31834589939-3</t>
        </is>
      </c>
      <c r="I35" s="14" t="inlineStr">
        <is>
          <t>T523M</t>
        </is>
      </c>
      <c r="J35" s="2">
        <f>6600*3</f>
        <v/>
      </c>
      <c r="M35" s="14" t="inlineStr">
        <is>
          <t>Mercitalia</t>
        </is>
      </c>
      <c r="O35" s="14">
        <f>IFERROR(INDEX(Settings!$AC$3:$AC$95,MATCH(Gateways_DynamoDB!$F35,Settings!$B$3:$B$95,0)),"")</f>
        <v/>
      </c>
    </row>
    <row r="36" hidden="1">
      <c r="A36" s="14">
        <f>IFERROR(INDEX(Gateways_MANU!$A$2:$A$4949,MATCH($E36,Gateways_MANU!$B$2:$B$4949,0)),"")</f>
        <v/>
      </c>
      <c r="B36" s="14">
        <f>IFERROR(INDEX(Companies!$A$3:$A$101,MATCH(A36,Companies!$B$3:$B$101,0)),"")</f>
        <v/>
      </c>
      <c r="C36" s="83" t="inlineStr">
        <is>
          <t>e00fce68109636a0fd8cf124</t>
        </is>
      </c>
      <c r="E36" s="14" t="inlineStr">
        <is>
          <t>GW2206-083</t>
        </is>
      </c>
      <c r="F36" s="74" t="inlineStr">
        <is>
          <t>Recovery-6-6h</t>
        </is>
      </c>
      <c r="G36" s="9" t="inlineStr">
        <is>
          <t>83546985085-2</t>
        </is>
      </c>
      <c r="I36" s="14" t="inlineStr">
        <is>
          <t>T523M</t>
        </is>
      </c>
      <c r="J36" s="2" t="n">
        <v>19800</v>
      </c>
      <c r="K36" s="77" t="n">
        <v>44880</v>
      </c>
      <c r="L36" s="14" t="inlineStr">
        <is>
          <t>L</t>
        </is>
      </c>
      <c r="M36" s="56" t="inlineStr">
        <is>
          <t>Viezo</t>
        </is>
      </c>
      <c r="N36" s="97" t="n">
        <v>44876</v>
      </c>
      <c r="O36" s="14">
        <f>IFERROR(INDEX(Settings!$AC$3:$AC$95,MATCH(Gateways_DynamoDB!$F36,Settings!$B$3:$B$95,0)),"")</f>
        <v/>
      </c>
    </row>
    <row r="37" hidden="1">
      <c r="A37" s="14">
        <f>IFERROR(INDEX(Gateways_MANU!$A$2:$A$4949,MATCH($E37,Gateways_MANU!$B$2:$B$4949,0)),"")</f>
        <v/>
      </c>
      <c r="B37" s="14">
        <f>IFERROR(INDEX(Companies!$A$3:$A$101,MATCH(A37,Companies!$B$3:$B$101,0)),"")</f>
        <v/>
      </c>
      <c r="C37" s="83" t="inlineStr">
        <is>
          <t>e00fce68a175ae2bbe0a0169</t>
        </is>
      </c>
      <c r="E37" s="14" t="inlineStr">
        <is>
          <t>GW2203-026</t>
        </is>
      </c>
      <c r="F37" s="14" t="inlineStr">
        <is>
          <t>Recovery-6-6h</t>
        </is>
      </c>
      <c r="G37" s="9" t="inlineStr">
        <is>
          <t>31833916501-7</t>
        </is>
      </c>
      <c r="I37" s="14" t="inlineStr">
        <is>
          <t>T523M</t>
        </is>
      </c>
      <c r="J37" s="2" t="n">
        <v>19800</v>
      </c>
      <c r="M37" s="14" t="inlineStr">
        <is>
          <t>Mercitalia</t>
        </is>
      </c>
      <c r="O37" s="14">
        <f>IFERROR(INDEX(Settings!$AC$3:$AC$95,MATCH(Gateways_DynamoDB!$F37,Settings!$B$3:$B$95,0)),"")</f>
        <v/>
      </c>
    </row>
    <row r="38" hidden="1">
      <c r="A38" s="14" t="inlineStr">
        <is>
          <t>TRANSFESA</t>
        </is>
      </c>
      <c r="B38" s="14">
        <f>IFERROR(INDEX(Companies!$A$3:$A$101,MATCH(A38,Companies!$B$3:$B$101,0)),"")</f>
        <v/>
      </c>
      <c r="C38" s="83" t="inlineStr">
        <is>
          <t>e00fce68d6e6b7a6e0da65b2</t>
        </is>
      </c>
      <c r="E38" s="14" t="inlineStr">
        <is>
          <t>GW2203-047</t>
        </is>
      </c>
      <c r="F38" s="14" t="inlineStr">
        <is>
          <t>Recovery-6-6h</t>
        </is>
      </c>
      <c r="G38" s="9" t="inlineStr">
        <is>
          <t>43714378393-8</t>
        </is>
      </c>
      <c r="I38" s="14" t="inlineStr">
        <is>
          <t>T523M</t>
        </is>
      </c>
      <c r="J38" s="79" t="n">
        <v>19800</v>
      </c>
      <c r="K38" s="77" t="n">
        <v>44893</v>
      </c>
      <c r="O38" s="14">
        <f>IFERROR(INDEX(Settings!$AC$3:$AC$95,MATCH(Gateways_DynamoDB!$F38,Settings!$B$3:$B$95,0)),"")</f>
        <v/>
      </c>
    </row>
    <row r="39" hidden="1">
      <c r="B39" s="14">
        <f>IFERROR(INDEX(Companies!$A$3:$A$101,MATCH(A39,Companies!$B$3:$B$101,0)),"")</f>
        <v/>
      </c>
      <c r="C39" s="83" t="inlineStr">
        <is>
          <t>e00fce6854a172d6ecf1f509</t>
        </is>
      </c>
      <c r="D39" s="14" t="inlineStr">
        <is>
          <t>P025AB0348L7M2T</t>
        </is>
      </c>
      <c r="E39" s="14" t="inlineStr">
        <is>
          <t>GW2205-TR01</t>
        </is>
      </c>
      <c r="F39" s="14" t="inlineStr">
        <is>
          <t>Normal-2-6h</t>
        </is>
      </c>
      <c r="H39" s="2" t="inlineStr">
        <is>
          <t>867648041668953</t>
        </is>
      </c>
      <c r="I39" s="14" t="inlineStr">
        <is>
          <t>T523M</t>
        </is>
      </c>
      <c r="J39" s="79" t="inlineStr">
        <is>
          <t>19800</t>
        </is>
      </c>
      <c r="N39" s="97" t="inlineStr">
        <is>
          <t>warranty</t>
        </is>
      </c>
      <c r="O39" s="14">
        <f>IFERROR(INDEX(Settings!$AC$3:$AC$95,MATCH(Gateways_DynamoDB!$F39,Settings!$B$3:$B$95,0)),"")</f>
        <v/>
      </c>
    </row>
    <row r="40" hidden="1">
      <c r="B40" s="14">
        <f>IFERROR(INDEX(Companies!$A$3:$A$101,MATCH(A40,Companies!$B$3:$B$101,0)),"")</f>
        <v/>
      </c>
      <c r="C40" s="83" t="inlineStr">
        <is>
          <t>e00fce689be64a638dd177f1</t>
        </is>
      </c>
      <c r="D40" s="14" t="inlineStr">
        <is>
          <t>P025AB0347GFU25</t>
        </is>
      </c>
      <c r="E40" s="14" t="inlineStr">
        <is>
          <t>GW2205-TR02</t>
        </is>
      </c>
      <c r="F40" s="14" t="inlineStr">
        <is>
          <t>Normal-2-6h</t>
        </is>
      </c>
      <c r="I40" s="14" t="inlineStr">
        <is>
          <t>T523M</t>
        </is>
      </c>
      <c r="N40" s="97" t="inlineStr">
        <is>
          <t>warranty</t>
        </is>
      </c>
      <c r="O40" s="14">
        <f>IFERROR(INDEX(Settings!$AC$3:$AC$95,MATCH(Gateways_DynamoDB!$F40,Settings!$B$3:$B$95,0)),"")</f>
        <v/>
      </c>
    </row>
    <row r="41" hidden="1">
      <c r="A41" s="14">
        <f>IFERROR(INDEX(Gateways_MANU!$A$2:$A$4949,MATCH($E41,Gateways_MANU!$B$2:$B$4949,0)),"")</f>
        <v/>
      </c>
      <c r="B41" s="14">
        <f>IFERROR(INDEX(Companies!$A$3:$A$101,MATCH(A41,Companies!$B$3:$B$101,0)),"")</f>
        <v/>
      </c>
      <c r="C41" s="83" t="inlineStr">
        <is>
          <t>e00fce6869d93115aa17aef7</t>
        </is>
      </c>
      <c r="D41" s="14" t="inlineStr">
        <is>
          <t>P025AB1063KHFAM</t>
        </is>
      </c>
      <c r="E41" s="14" t="inlineStr">
        <is>
          <t>GW2206-064</t>
        </is>
      </c>
      <c r="F41" s="74" t="inlineStr">
        <is>
          <t>Slow-5-12h</t>
        </is>
      </c>
      <c r="G41" s="9" t="inlineStr">
        <is>
          <t>33854956699-4</t>
        </is>
      </c>
      <c r="I41" s="14" t="inlineStr">
        <is>
          <t>T523M</t>
        </is>
      </c>
      <c r="J41" s="2">
        <f>6600*3</f>
        <v/>
      </c>
      <c r="K41" s="77" t="n">
        <v>44910</v>
      </c>
      <c r="L41" s="14" t="inlineStr">
        <is>
          <t>R</t>
        </is>
      </c>
      <c r="M41" s="14" t="inlineStr">
        <is>
          <t>Viezo</t>
        </is>
      </c>
      <c r="N41" s="97" t="n">
        <v>44902</v>
      </c>
      <c r="O41" s="14">
        <f>IFERROR(INDEX(Settings!$AC$3:$AC$95,MATCH(Gateways_DynamoDB!$F41,Settings!$B$3:$B$95,0)),"")</f>
        <v/>
      </c>
    </row>
    <row r="42" hidden="1">
      <c r="A42" s="14" t="inlineStr">
        <is>
          <t>VIEZO</t>
        </is>
      </c>
      <c r="B42" s="14">
        <f>IFERROR(INDEX(Companies!$A$3:$A$101,MATCH(A42,Companies!$B$3:$B$101,0)),"")</f>
        <v/>
      </c>
      <c r="C42" s="83" t="inlineStr">
        <is>
          <t>e00fce68bd2a8e2b186ace1f</t>
        </is>
      </c>
      <c r="D42" s="14" t="inlineStr">
        <is>
          <t>P025AB110RFNUAP</t>
        </is>
      </c>
      <c r="E42" s="14" t="inlineStr">
        <is>
          <t>DD-DEV-1</t>
        </is>
      </c>
      <c r="F42" s="14" t="inlineStr">
        <is>
          <t>One-sensor-fast-test</t>
        </is>
      </c>
      <c r="I42" s="14" t="inlineStr">
        <is>
          <t>T523M</t>
        </is>
      </c>
      <c r="J42" s="2">
        <f>6600*3</f>
        <v/>
      </c>
      <c r="O42" s="14">
        <f>IFERROR(INDEX(Settings!$AC$3:$AC$95,MATCH(Gateways_DynamoDB!$F42,Settings!$B$3:$B$95,0)),"")</f>
        <v/>
      </c>
    </row>
    <row r="43" hidden="1">
      <c r="A43" s="14">
        <f>IFERROR(INDEX(Gateways_MANU!$A$2:$A$4949,MATCH($E43,Gateways_MANU!$B$2:$B$4949,0)),"")</f>
        <v/>
      </c>
      <c r="B43" s="14">
        <f>IFERROR(INDEX(Companies!$A$3:$A$101,MATCH(A43,Companies!$B$3:$B$101,0)),"")</f>
        <v/>
      </c>
      <c r="C43" s="83" t="inlineStr">
        <is>
          <t>e00fce68895ba1451d8f96a4</t>
        </is>
      </c>
      <c r="D43" s="14" t="inlineStr">
        <is>
          <t>P025AB029C4WBHP</t>
        </is>
      </c>
      <c r="E43" s="14" t="inlineStr">
        <is>
          <t>GW2203-016</t>
        </is>
      </c>
      <c r="F43" s="74" t="inlineStr">
        <is>
          <t>Normal-2-6h</t>
        </is>
      </c>
      <c r="G43" s="16" t="inlineStr">
        <is>
          <t>31833918084-2</t>
        </is>
      </c>
      <c r="H43" s="2" t="n">
        <v>867648041692235</v>
      </c>
      <c r="I43" s="14" t="inlineStr">
        <is>
          <t>T523M</t>
        </is>
      </c>
      <c r="J43" s="79" t="inlineStr">
        <is>
          <t>19800</t>
        </is>
      </c>
      <c r="M43" s="14" t="inlineStr">
        <is>
          <t>Mercitalia</t>
        </is>
      </c>
      <c r="O43" s="14">
        <f>IFERROR(INDEX(Settings!$AC$3:$AC$95,MATCH(Gateways_DynamoDB!$F43,Settings!$B$3:$B$95,0)),"")</f>
        <v/>
      </c>
    </row>
    <row r="44" hidden="1">
      <c r="A44" s="14">
        <f>IFERROR(INDEX(Gateways_MANU!$A$2:$A$4949,MATCH($E44,Gateways_MANU!$B$2:$B$4949,0)),"")</f>
        <v/>
      </c>
      <c r="B44" s="14">
        <f>IFERROR(INDEX(Companies!$A$3:$A$101,MATCH(A44,Companies!$B$3:$B$101,0)),"")</f>
        <v/>
      </c>
      <c r="C44" s="83" t="inlineStr">
        <is>
          <t>e00fce68a4f2a051738eeab6</t>
        </is>
      </c>
      <c r="D44" s="14" t="inlineStr">
        <is>
          <t>P025AB029WC8FDM</t>
        </is>
      </c>
      <c r="E44" s="14" t="inlineStr">
        <is>
          <t>GW2206-091</t>
        </is>
      </c>
      <c r="F44" s="14" t="inlineStr">
        <is>
          <t>Shipping</t>
        </is>
      </c>
      <c r="G44" s="16" t="n"/>
      <c r="H44" s="2" t="n">
        <v>867648041691963</v>
      </c>
      <c r="I44" s="14" t="inlineStr">
        <is>
          <t>T523M</t>
        </is>
      </c>
      <c r="J44" s="79" t="inlineStr">
        <is>
          <t>19800</t>
        </is>
      </c>
      <c r="N44" s="97" t="inlineStr">
        <is>
          <t>STOLEN</t>
        </is>
      </c>
      <c r="O44" s="14">
        <f>IFERROR(INDEX(Settings!$AC$3:$AC$95,MATCH(Gateways_DynamoDB!$F44,Settings!$B$3:$B$95,0)),"")</f>
        <v/>
      </c>
    </row>
    <row r="45" hidden="1">
      <c r="A45" s="14">
        <f>IFERROR(T(INDEX(Gateways_MANU!$A$2:$A$4949,MATCH($E45,Gateways_MANU!$B$2:$B$4949,0))),"")</f>
        <v/>
      </c>
      <c r="B45" s="14">
        <f>IFERROR(INDEX(Companies!$A$3:$A$101,MATCH(A45,Companies!$B$3:$B$101,0)),"")</f>
        <v/>
      </c>
      <c r="C45" s="83" t="inlineStr">
        <is>
          <t>e00fce6875e53cafc1e52a74</t>
        </is>
      </c>
      <c r="D45" s="14" t="inlineStr">
        <is>
          <t>P025AB029U6EVY9</t>
        </is>
      </c>
      <c r="E45" s="14" t="inlineStr">
        <is>
          <t>GW2203-025</t>
        </is>
      </c>
      <c r="F45" s="14" t="inlineStr">
        <is>
          <t>Normal-2-6h</t>
        </is>
      </c>
      <c r="G45" s="16" t="inlineStr">
        <is>
          <t>31-56-5941001-5</t>
        </is>
      </c>
      <c r="H45" s="2" t="n">
        <v>867648041685890</v>
      </c>
      <c r="I45" s="14" t="inlineStr">
        <is>
          <t>T523M</t>
        </is>
      </c>
      <c r="J45" s="79" t="inlineStr">
        <is>
          <t>19800</t>
        </is>
      </c>
      <c r="M45" s="14" t="inlineStr">
        <is>
          <t>DP</t>
        </is>
      </c>
      <c r="O45" s="14">
        <f>IFERROR(INDEX(Settings!$AC$3:$AC$95,MATCH(Gateways_DynamoDB!$F45,Settings!$B$3:$B$95,0)),"")</f>
        <v/>
      </c>
    </row>
    <row r="46" hidden="1">
      <c r="A46" s="14">
        <f>IFERROR(INDEX(Gateways_MANU!$A$2:$A$4949,MATCH($E46,Gateways_MANU!$B$2:$B$4949,0)),"")</f>
        <v/>
      </c>
      <c r="B46" s="14">
        <f>IFERROR(INDEX(Companies!$A$3:$A$101,MATCH(A46,Companies!$B$3:$B$101,0)),"")</f>
        <v/>
      </c>
      <c r="C46" s="83" t="inlineStr">
        <is>
          <t>e00fce68786b61b9a820c45e</t>
        </is>
      </c>
      <c r="D46" s="14" t="inlineStr">
        <is>
          <t>P025AB029SMFVU9</t>
        </is>
      </c>
      <c r="E46" s="74" t="inlineStr">
        <is>
          <t>GW2203-042</t>
        </is>
      </c>
      <c r="F46" s="74" t="inlineStr">
        <is>
          <t>Recovery-6-6h</t>
        </is>
      </c>
      <c r="G46" s="9" t="inlineStr">
        <is>
          <t>83546985072-0</t>
        </is>
      </c>
      <c r="H46" s="2" t="n">
        <v>867648041694520</v>
      </c>
      <c r="I46" s="14" t="inlineStr">
        <is>
          <t>T523M</t>
        </is>
      </c>
      <c r="J46" s="79" t="n">
        <v>19800</v>
      </c>
      <c r="K46" s="77" t="n">
        <v>44880</v>
      </c>
      <c r="L46" s="14" t="inlineStr">
        <is>
          <t>R</t>
        </is>
      </c>
      <c r="M46" s="56" t="inlineStr">
        <is>
          <t>Viezo</t>
        </is>
      </c>
      <c r="N46" s="97" t="n">
        <v>44876</v>
      </c>
      <c r="O46" s="14">
        <f>IFERROR(INDEX(Settings!$AC$3:$AC$95,MATCH(Gateways_DynamoDB!$F46,Settings!$B$3:$B$95,0)),"")</f>
        <v/>
      </c>
    </row>
    <row r="47" hidden="1">
      <c r="A47" s="14" t="inlineStr">
        <is>
          <t>INTERFRACHT</t>
        </is>
      </c>
      <c r="B47" s="14">
        <f>IFERROR(INDEX(Companies!$A$3:$A$101,MATCH(A47,Companies!$B$3:$B$101,0)),"")</f>
        <v/>
      </c>
      <c r="C47" s="83" t="inlineStr">
        <is>
          <t>e00fce680cda89c75c634154</t>
        </is>
      </c>
      <c r="D47" s="14" t="inlineStr">
        <is>
          <t>P025AB0293NF6GL</t>
        </is>
      </c>
      <c r="E47" s="14" t="inlineStr">
        <is>
          <t>GW2203-045</t>
        </is>
      </c>
      <c r="F47" s="74" t="inlineStr">
        <is>
          <t>Normal-2-6h</t>
        </is>
      </c>
      <c r="G47" s="16" t="inlineStr">
        <is>
          <t>33-54-076-2130-9</t>
        </is>
      </c>
      <c r="H47" s="2" t="n">
        <v>867648041701119</v>
      </c>
      <c r="I47" s="14" t="inlineStr">
        <is>
          <t>T523M</t>
        </is>
      </c>
      <c r="J47" s="79" t="inlineStr">
        <is>
          <t>19800</t>
        </is>
      </c>
      <c r="O47" s="14">
        <f>IFERROR(INDEX(Settings!$AC$3:$AC$95,MATCH(Gateways_DynamoDB!$F47,Settings!$B$3:$B$95,0)),"")</f>
        <v/>
      </c>
    </row>
    <row r="48" hidden="1">
      <c r="A48" s="14">
        <f>IFERROR(INDEX(Gateways_MANU!$A$2:$A$4949,MATCH($E48,Gateways_MANU!$B$2:$B$4949,0)),"")</f>
        <v/>
      </c>
      <c r="B48" s="14">
        <f>IFERROR(INDEX(Companies!$A$3:$A$101,MATCH(A48,Companies!$B$3:$B$101,0)),"")</f>
        <v/>
      </c>
      <c r="C48" s="83" t="inlineStr">
        <is>
          <t>e00fce687bd193d992b01217</t>
        </is>
      </c>
      <c r="D48" s="14" t="inlineStr">
        <is>
          <t>P025AB028MTGFUY</t>
        </is>
      </c>
      <c r="E48" s="14" t="inlineStr">
        <is>
          <t>GW2203-050</t>
        </is>
      </c>
      <c r="F48" s="74" t="inlineStr">
        <is>
          <t>Recovery-6-6h</t>
        </is>
      </c>
      <c r="G48" s="9" t="inlineStr">
        <is>
          <t>83546985012-6</t>
        </is>
      </c>
      <c r="H48" s="2" t="n">
        <v>867648041694405</v>
      </c>
      <c r="I48" s="14" t="inlineStr">
        <is>
          <t>T523M</t>
        </is>
      </c>
      <c r="J48" s="2" t="n">
        <v>19800</v>
      </c>
      <c r="K48" s="77" t="n">
        <v>44880</v>
      </c>
      <c r="L48" s="14" t="inlineStr">
        <is>
          <t>R</t>
        </is>
      </c>
      <c r="M48" s="56" t="inlineStr">
        <is>
          <t>Viezo</t>
        </is>
      </c>
      <c r="N48" s="97" t="n">
        <v>44876</v>
      </c>
      <c r="O48" s="14">
        <f>IFERROR(INDEX(Settings!$AC$3:$AC$95,MATCH(Gateways_DynamoDB!$F48,Settings!$B$3:$B$95,0)),"")</f>
        <v/>
      </c>
    </row>
    <row r="49" hidden="1">
      <c r="B49" s="14">
        <f>IFERROR(INDEX(Companies!$A$3:$A$101,MATCH(A49,Companies!$B$3:$B$101,0)),"")</f>
        <v/>
      </c>
      <c r="C49" s="83" t="inlineStr">
        <is>
          <t>e00fce689706b890d87e5e97</t>
        </is>
      </c>
      <c r="D49" s="26" t="inlineStr">
        <is>
          <t>P025AB035FHWLB3</t>
        </is>
      </c>
      <c r="E49" s="14" t="inlineStr">
        <is>
          <t>was_GW2206-001_</t>
        </is>
      </c>
      <c r="F49" s="14" t="inlineStr">
        <is>
          <t>Slow-5-12h</t>
        </is>
      </c>
      <c r="N49" s="97" t="inlineStr">
        <is>
          <t>warranty</t>
        </is>
      </c>
      <c r="O49" s="14">
        <f>IFERROR(INDEX(Settings!$AC$3:$AC$95,MATCH(Gateways_DynamoDB!$F49,Settings!$B$3:$B$95,0)),"")</f>
        <v/>
      </c>
    </row>
    <row r="50" hidden="1">
      <c r="A50" s="14" t="inlineStr">
        <is>
          <t>APPLUS</t>
        </is>
      </c>
      <c r="B50" s="14">
        <f>IFERROR(INDEX(Companies!$A$3:$A$101,MATCH(A50,Companies!$B$3:$B$101,0)),"")</f>
        <v/>
      </c>
      <c r="C50" s="83" t="inlineStr">
        <is>
          <t>e00fce688ab482b73d61a7e6</t>
        </is>
      </c>
      <c r="D50" s="26" t="inlineStr">
        <is>
          <t>P025AB035NP648S</t>
        </is>
      </c>
      <c r="E50" s="14" t="inlineStr">
        <is>
          <t>APPLUS-GW-2</t>
        </is>
      </c>
      <c r="F50" s="14" t="inlineStr">
        <is>
          <t>Shipping</t>
        </is>
      </c>
      <c r="N50" s="97" t="inlineStr">
        <is>
          <t>warranty</t>
        </is>
      </c>
      <c r="O50" s="14">
        <f>IFERROR(INDEX(Settings!$AC$3:$AC$95,MATCH(Gateways_DynamoDB!$F50,Settings!$B$3:$B$95,0)),"")</f>
        <v/>
      </c>
    </row>
    <row r="51" hidden="1">
      <c r="A51" s="14" t="inlineStr">
        <is>
          <t>VIEZO</t>
        </is>
      </c>
      <c r="B51" s="14">
        <f>IFERROR(INDEX(Companies!$A$3:$A$101,MATCH(A51,Companies!$B$3:$B$101,0)),"")</f>
        <v/>
      </c>
      <c r="C51" s="83" t="inlineStr">
        <is>
          <t>e00fce68c28aac92c07ae095</t>
        </is>
      </c>
      <c r="D51" s="26" t="inlineStr">
        <is>
          <t>P025AB035F5WP89</t>
        </is>
      </c>
      <c r="E51" s="14" t="inlineStr">
        <is>
          <t>Tracker-2</t>
        </is>
      </c>
      <c r="N51" s="97" t="inlineStr">
        <is>
          <t>warranty</t>
        </is>
      </c>
      <c r="O51" s="14">
        <f>IFERROR(INDEX(Settings!$AC$3:$AC$95,MATCH(Gateways_DynamoDB!$F51,Settings!$B$3:$B$95,0)),"")</f>
        <v/>
      </c>
    </row>
    <row r="52" hidden="1">
      <c r="B52" s="14">
        <f>IFERROR(INDEX(Companies!$A$3:$A$101,MATCH(A52,Companies!$B$3:$B$101,0)),"")</f>
        <v/>
      </c>
      <c r="C52" s="83" t="inlineStr">
        <is>
          <t>e00fce68c63230b048caa37a</t>
        </is>
      </c>
      <c r="D52" s="26" t="inlineStr">
        <is>
          <t>P025AB0345NWAMY</t>
        </is>
      </c>
      <c r="E52" s="14" t="inlineStr">
        <is>
          <t>was_GW2206-004</t>
        </is>
      </c>
      <c r="F52" s="14" t="inlineStr">
        <is>
          <t>Slow-5-12h</t>
        </is>
      </c>
      <c r="N52" s="97" t="inlineStr">
        <is>
          <t>warranty</t>
        </is>
      </c>
      <c r="O52" s="14">
        <f>IFERROR(INDEX(Settings!$AC$3:$AC$95,MATCH(Gateways_DynamoDB!$F52,Settings!$B$3:$B$95,0)),"")</f>
        <v/>
      </c>
    </row>
    <row r="53" hidden="1">
      <c r="B53" s="14">
        <f>IFERROR(INDEX(Companies!$A$3:$A$101,MATCH(A53,Companies!$B$3:$B$101,0)),"")</f>
        <v/>
      </c>
      <c r="C53" s="83" t="inlineStr">
        <is>
          <t>e00fce68b5d682f9b7a12d5b</t>
        </is>
      </c>
      <c r="D53" s="26" t="inlineStr">
        <is>
          <t>P025AB034GTSLW5</t>
        </is>
      </c>
      <c r="E53" s="14" t="inlineStr">
        <is>
          <t>was_GW2206-005_</t>
        </is>
      </c>
      <c r="F53" s="14" t="inlineStr">
        <is>
          <t>Slow-5-12h</t>
        </is>
      </c>
      <c r="N53" s="97" t="inlineStr">
        <is>
          <t>warranty</t>
        </is>
      </c>
      <c r="O53" s="14">
        <f>IFERROR(INDEX(Settings!$AC$3:$AC$95,MATCH(Gateways_DynamoDB!$F53,Settings!$B$3:$B$95,0)),"")</f>
        <v/>
      </c>
    </row>
    <row r="54" hidden="1">
      <c r="A54" s="14" t="inlineStr">
        <is>
          <t>VIEZO</t>
        </is>
      </c>
      <c r="B54" s="14">
        <f>IFERROR(INDEX(Companies!$A$3:$A$101,MATCH(A54,Companies!$B$3:$B$101,0)),"")</f>
        <v/>
      </c>
      <c r="C54" s="83" t="inlineStr">
        <is>
          <t>e00fce689eb91da65b25a6f9</t>
        </is>
      </c>
      <c r="D54" s="26" t="inlineStr">
        <is>
          <t>P025AB035FJL38Y</t>
        </is>
      </c>
      <c r="E54" s="14" t="inlineStr">
        <is>
          <t>Tracker-1</t>
        </is>
      </c>
      <c r="N54" s="97" t="inlineStr">
        <is>
          <t>warranty</t>
        </is>
      </c>
      <c r="O54" s="14">
        <f>IFERROR(INDEX(Settings!$AC$3:$AC$95,MATCH(Gateways_DynamoDB!$F54,Settings!$B$3:$B$95,0)),"")</f>
        <v/>
      </c>
    </row>
    <row r="55" hidden="1">
      <c r="B55" s="14">
        <f>IFERROR(INDEX(Companies!$A$3:$A$101,MATCH(A55,Companies!$B$3:$B$101,0)),"")</f>
        <v/>
      </c>
      <c r="C55" s="83" t="inlineStr">
        <is>
          <t>e00fce6832b5efa519fa57cb</t>
        </is>
      </c>
      <c r="D55" s="26" t="inlineStr">
        <is>
          <t>P025AB03586V2CK</t>
        </is>
      </c>
      <c r="E55" s="14" t="inlineStr">
        <is>
          <t>was_GW2206-TR02</t>
        </is>
      </c>
      <c r="F55" s="14" t="inlineStr">
        <is>
          <t>Slow-5-12h</t>
        </is>
      </c>
      <c r="N55" s="97" t="inlineStr">
        <is>
          <t>warranty</t>
        </is>
      </c>
      <c r="O55" s="14">
        <f>IFERROR(INDEX(Settings!$AC$3:$AC$95,MATCH(Gateways_DynamoDB!$F55,Settings!$B$3:$B$95,0)),"")</f>
        <v/>
      </c>
    </row>
    <row r="56" hidden="1">
      <c r="B56" s="14">
        <f>IFERROR(INDEX(Companies!$A$3:$A$101,MATCH(A56,Companies!$B$3:$B$101,0)),"")</f>
        <v/>
      </c>
      <c r="C56" s="83" t="inlineStr">
        <is>
          <t>e00fce68d0182cbe4079cd6d</t>
        </is>
      </c>
      <c r="D56" s="26" t="inlineStr">
        <is>
          <t>P025AB034NHM7L3</t>
        </is>
      </c>
      <c r="E56" s="14" t="inlineStr">
        <is>
          <t>was_GW2206-TR03</t>
        </is>
      </c>
      <c r="F56" s="14" t="inlineStr">
        <is>
          <t>Slow-5-12h</t>
        </is>
      </c>
      <c r="N56" s="97" t="inlineStr">
        <is>
          <t>warranty</t>
        </is>
      </c>
      <c r="O56" s="14">
        <f>IFERROR(INDEX(Settings!$AC$3:$AC$95,MATCH(Gateways_DynamoDB!$F56,Settings!$B$3:$B$95,0)),"")</f>
        <v/>
      </c>
    </row>
    <row r="57" hidden="1">
      <c r="B57" s="14">
        <f>IFERROR(INDEX(Companies!$A$3:$A$101,MATCH(A57,Companies!$B$3:$B$101,0)),"")</f>
        <v/>
      </c>
      <c r="C57" s="83" t="inlineStr">
        <is>
          <t>e00fce687032f367f93bfa8e</t>
        </is>
      </c>
      <c r="D57" s="26" t="inlineStr">
        <is>
          <t>P025AB034UE7D6X</t>
        </is>
      </c>
      <c r="E57" s="14" t="inlineStr">
        <is>
          <t>was_GW2206-TR04</t>
        </is>
      </c>
      <c r="F57" s="14" t="inlineStr">
        <is>
          <t>Slow-5-12h</t>
        </is>
      </c>
      <c r="N57" s="97" t="inlineStr">
        <is>
          <t>warranty</t>
        </is>
      </c>
      <c r="O57" s="14">
        <f>IFERROR(INDEX(Settings!$AC$3:$AC$95,MATCH(Gateways_DynamoDB!$F57,Settings!$B$3:$B$95,0)),"")</f>
        <v/>
      </c>
    </row>
    <row r="58" hidden="1">
      <c r="B58" s="14">
        <f>IFERROR(INDEX(Companies!$A$3:$A$101,MATCH(A58,Companies!$B$3:$B$101,0)),"")</f>
        <v/>
      </c>
      <c r="C58" s="83" t="inlineStr">
        <is>
          <t>e00fce684b774c93c5800e03</t>
        </is>
      </c>
      <c r="D58" s="26" t="inlineStr">
        <is>
          <t>P025AB035KVNYDE</t>
        </is>
      </c>
      <c r="E58" s="14" t="inlineStr">
        <is>
          <t>was_GW2206-TR05</t>
        </is>
      </c>
      <c r="F58" s="14" t="inlineStr">
        <is>
          <t>Slow-5-12h</t>
        </is>
      </c>
      <c r="N58" s="97" t="inlineStr">
        <is>
          <t>warranty</t>
        </is>
      </c>
      <c r="O58" s="14">
        <f>IFERROR(INDEX(Settings!$AC$3:$AC$95,MATCH(Gateways_DynamoDB!$F58,Settings!$B$3:$B$95,0)),"")</f>
        <v/>
      </c>
    </row>
    <row r="59" hidden="1">
      <c r="A59" s="14">
        <f>IFERROR(INDEX(Gateways_MANU!$A$2:$A$4949,MATCH($E59,Gateways_MANU!$B$2:$B$4949,0)),"")</f>
        <v/>
      </c>
      <c r="B59" s="14">
        <f>IFERROR(INDEX(Companies!$A$3:$A$101,MATCH(A59,Companies!$B$3:$B$101,0)),"")</f>
        <v/>
      </c>
      <c r="C59" s="83" t="inlineStr">
        <is>
          <t>e00fce689e1cd8ea2f18907a</t>
        </is>
      </c>
      <c r="D59" s="14" t="inlineStr">
        <is>
          <t>P032AB114CSR83X</t>
        </is>
      </c>
      <c r="E59" s="14" t="inlineStr">
        <is>
          <t>GW2206-TR01</t>
        </is>
      </c>
      <c r="F59" s="14" t="inlineStr">
        <is>
          <t>Shipping</t>
        </is>
      </c>
      <c r="H59" s="2" t="inlineStr">
        <is>
          <t>867648042183044</t>
        </is>
      </c>
      <c r="I59" s="14" t="inlineStr">
        <is>
          <t>T524M</t>
        </is>
      </c>
      <c r="J59" s="2" t="inlineStr">
        <is>
          <t>26400</t>
        </is>
      </c>
      <c r="O59" s="14">
        <f>IFERROR(INDEX(Settings!$AC$3:$AC$95,MATCH(Gateways_DynamoDB!$F59,Settings!$B$3:$B$95,0)),"")</f>
        <v/>
      </c>
    </row>
    <row r="60" hidden="1">
      <c r="A60" s="14" t="inlineStr">
        <is>
          <t>RSA</t>
        </is>
      </c>
      <c r="B60" s="14">
        <f>IFERROR(INDEX(Companies!$A$3:$A$101,MATCH(A60,Companies!$B$3:$B$101,0)),"")</f>
        <v/>
      </c>
      <c r="C60" s="83" t="inlineStr">
        <is>
          <t>e00fce6814320e9d7650b2fa</t>
        </is>
      </c>
      <c r="D60" s="14" t="inlineStr">
        <is>
          <t>P032AB114AL6E7K</t>
        </is>
      </c>
      <c r="E60" s="14" t="inlineStr">
        <is>
          <t>GW2206-TR04</t>
        </is>
      </c>
      <c r="F60" s="14" t="inlineStr">
        <is>
          <t>Recovery-6-6h</t>
        </is>
      </c>
      <c r="H60" s="2" t="inlineStr">
        <is>
          <t>867648042180099</t>
        </is>
      </c>
      <c r="I60" s="14" t="inlineStr">
        <is>
          <t>T524M</t>
        </is>
      </c>
      <c r="J60" s="2" t="inlineStr">
        <is>
          <t>26400</t>
        </is>
      </c>
      <c r="O60" s="14">
        <f>IFERROR(INDEX(Settings!$AC$3:$AC$95,MATCH(Gateways_DynamoDB!$F60,Settings!$B$3:$B$95,0)),"")</f>
        <v/>
      </c>
    </row>
    <row r="61" hidden="1">
      <c r="A61" s="14" t="inlineStr">
        <is>
          <t>RAILRELEASE</t>
        </is>
      </c>
      <c r="B61" s="14">
        <f>IFERROR(INDEX(Companies!$A$3:$A$101,MATCH(A61,Companies!$B$3:$B$101,0)),"")</f>
        <v/>
      </c>
      <c r="C61" s="83" t="inlineStr">
        <is>
          <t>e00fce682370207d145f3661</t>
        </is>
      </c>
      <c r="D61" s="14" t="inlineStr">
        <is>
          <t>P025AB029PCFYNA</t>
        </is>
      </c>
      <c r="E61" s="14" t="inlineStr">
        <is>
          <t>GW2206-TR05</t>
        </is>
      </c>
      <c r="F61" s="14" t="inlineStr">
        <is>
          <t>Fast-1-3h</t>
        </is>
      </c>
      <c r="G61" s="9" t="inlineStr">
        <is>
          <t>37844576158-8</t>
        </is>
      </c>
      <c r="H61" s="2" t="inlineStr">
        <is>
          <t>867648041666775</t>
        </is>
      </c>
      <c r="I61" s="14" t="inlineStr">
        <is>
          <t>T523M</t>
        </is>
      </c>
      <c r="J61" s="2" t="inlineStr">
        <is>
          <t>26400</t>
        </is>
      </c>
      <c r="K61" s="77" t="n">
        <v>45064</v>
      </c>
      <c r="M61" s="14" t="inlineStr">
        <is>
          <t>VIEZO</t>
        </is>
      </c>
      <c r="O61" s="14">
        <f>IFERROR(INDEX(Settings!$AC$3:$AC$95,MATCH(Gateways_DynamoDB!$F61,Settings!$B$3:$B$95,0)),"")</f>
        <v/>
      </c>
    </row>
    <row r="62" hidden="1">
      <c r="A62" s="14">
        <f>IFERROR(INDEX(Gateways_MANU!$A$2:$A$4949,MATCH($E62,Gateways_MANU!$B$2:$B$4949,0)),"")</f>
        <v/>
      </c>
      <c r="B62" s="14">
        <f>IFERROR(INDEX(Companies!$A$3:$A$101,MATCH(A62,Companies!$B$3:$B$101,0)),"")</f>
        <v/>
      </c>
      <c r="C62" s="83" t="inlineStr">
        <is>
          <t>e00fce683701ef812295b170</t>
        </is>
      </c>
      <c r="E62" s="14" t="inlineStr">
        <is>
          <t>GW2203-001</t>
        </is>
      </c>
      <c r="F62" s="74" t="inlineStr">
        <is>
          <t>Slow-5-12h</t>
        </is>
      </c>
      <c r="G62" s="9" t="inlineStr">
        <is>
          <t>3780-3939-003-4</t>
        </is>
      </c>
      <c r="J62" s="2" t="n">
        <v>19800</v>
      </c>
      <c r="K62" s="77" t="n">
        <v>44888</v>
      </c>
      <c r="M62" s="14" t="inlineStr">
        <is>
          <t>SGL</t>
        </is>
      </c>
      <c r="N62" s="97" t="inlineStr">
        <is>
          <t>The operator has the device or its lost (they paid for it), but we dont monitor it on Ubidots anymore.</t>
        </is>
      </c>
      <c r="O62" s="14">
        <f>IFERROR(INDEX(Settings!$AC$3:$AC$95,MATCH(Gateways_DynamoDB!$F62,Settings!$B$3:$B$95,0)),"")</f>
        <v/>
      </c>
    </row>
    <row r="63" hidden="1">
      <c r="A63" s="14">
        <f>IFERROR(INDEX(Gateways_MANU!$A$2:$A$4949,MATCH($E63,Gateways_MANU!$B$2:$B$4949,0)),"")</f>
        <v/>
      </c>
      <c r="B63" s="14">
        <f>IFERROR(INDEX(Companies!$A$3:$A$101,MATCH(A63,Companies!$B$3:$B$101,0)),"")</f>
        <v/>
      </c>
      <c r="C63" s="83" t="inlineStr">
        <is>
          <t>e00fce6820e532f64cf53de4</t>
        </is>
      </c>
      <c r="D63" s="14" t="inlineStr">
        <is>
          <t>P025AB0298RHSA3</t>
        </is>
      </c>
      <c r="E63" s="14" t="inlineStr">
        <is>
          <t>GW2203-014</t>
        </is>
      </c>
      <c r="F63" s="14" t="inlineStr">
        <is>
          <t>Slow-5-12h</t>
        </is>
      </c>
      <c r="G63" s="9" t="inlineStr">
        <is>
          <t>R3505</t>
        </is>
      </c>
      <c r="K63" s="77" t="n">
        <v>45051</v>
      </c>
      <c r="N63" s="97" t="inlineStr">
        <is>
          <t>returned from Ferro dead</t>
        </is>
      </c>
      <c r="O63" s="14">
        <f>IFERROR(INDEX(Settings!$AC$3:$AC$95,MATCH(Gateways_DynamoDB!$F63,Settings!$B$3:$B$95,0)),"")</f>
        <v/>
      </c>
    </row>
    <row r="64" hidden="1">
      <c r="A64" s="14" t="inlineStr">
        <is>
          <t>VIEZO</t>
        </is>
      </c>
      <c r="B64" s="14">
        <f>IFERROR(INDEX(Companies!$A$3:$A$101,MATCH(A64,Companies!$B$3:$B$101,0)),"")</f>
        <v/>
      </c>
      <c r="C64" s="83" t="inlineStr">
        <is>
          <t>e00fce68b55279fdbf8fee3d</t>
        </is>
      </c>
      <c r="D64" s="14" t="inlineStr">
        <is>
          <t>P025AB02989NDE2</t>
        </is>
      </c>
      <c r="E64" s="14" t="inlineStr">
        <is>
          <t>Test-3</t>
        </is>
      </c>
      <c r="F64" s="14" t="inlineStr">
        <is>
          <t>Normal-2-6h</t>
        </is>
      </c>
      <c r="H64" s="2" t="n">
        <v>867648041694561</v>
      </c>
      <c r="I64" s="14" t="inlineStr">
        <is>
          <t>T523M</t>
        </is>
      </c>
      <c r="J64" s="2" t="n">
        <v>13200</v>
      </c>
      <c r="K64" s="77" t="n">
        <v>44664</v>
      </c>
      <c r="O64" s="14">
        <f>IFERROR(INDEX(Settings!$AC$3:$AC$95,MATCH(Gateways_DynamoDB!$F64,Settings!$B$3:$B$95,0)),"")</f>
        <v/>
      </c>
    </row>
    <row r="65" hidden="1">
      <c r="A65" s="14" t="inlineStr">
        <is>
          <t>Mercitalia</t>
        </is>
      </c>
      <c r="B65" s="14">
        <f>IFERROR(INDEX(Companies!$A$3:$A$101,MATCH(A65,Companies!$B$3:$B$101,0)),"")</f>
        <v/>
      </c>
      <c r="C65" s="83" t="inlineStr">
        <is>
          <t>e00fce68670dfcab5ed78b99</t>
        </is>
      </c>
      <c r="D65" s="14" t="inlineStr">
        <is>
          <t>P025AB029E69MYK</t>
        </is>
      </c>
      <c r="E65" s="14" t="inlineStr">
        <is>
          <t>GW2206-066</t>
        </is>
      </c>
      <c r="F65" s="14" t="inlineStr">
        <is>
          <t>Shipping</t>
        </is>
      </c>
      <c r="G65" s="9" t="inlineStr">
        <is>
          <t>31833936025-3</t>
        </is>
      </c>
      <c r="I65" s="14" t="inlineStr">
        <is>
          <t>T523M</t>
        </is>
      </c>
      <c r="J65" s="2">
        <f>6600*3</f>
        <v/>
      </c>
      <c r="K65" s="77" t="n">
        <v>44910</v>
      </c>
      <c r="L65" s="14" t="inlineStr">
        <is>
          <t>L</t>
        </is>
      </c>
      <c r="M65" s="14" t="inlineStr">
        <is>
          <t>Viezo</t>
        </is>
      </c>
      <c r="O65" s="14">
        <f>IFERROR(INDEX(Settings!$AC$3:$AC$95,MATCH(Gateways_DynamoDB!$F65,Settings!$B$3:$B$95,0)),"")</f>
        <v/>
      </c>
    </row>
    <row r="66" hidden="1">
      <c r="A66" s="14" t="inlineStr">
        <is>
          <t>TRANSWAGGON</t>
        </is>
      </c>
      <c r="B66" s="14">
        <f>IFERROR(INDEX(Companies!$A$3:$A$101,MATCH(A66,Companies!$B$3:$B$101,0)),"")</f>
        <v/>
      </c>
      <c r="C66" s="83" t="inlineStr">
        <is>
          <t>e00fce68116a5bc45b413f8e</t>
        </is>
      </c>
      <c r="D66" s="14" t="inlineStr">
        <is>
          <t>P025AB110JXF9EP</t>
        </is>
      </c>
      <c r="E66" s="14" t="inlineStr">
        <is>
          <t>GW2206-050</t>
        </is>
      </c>
      <c r="F66" s="14" t="inlineStr">
        <is>
          <t>Recovery-6-6h</t>
        </is>
      </c>
      <c r="G66" s="9" t="inlineStr">
        <is>
          <t>33802742265-2</t>
        </is>
      </c>
      <c r="I66" s="14" t="inlineStr">
        <is>
          <t>T523M</t>
        </is>
      </c>
      <c r="J66" s="2">
        <f>6600*3</f>
        <v/>
      </c>
      <c r="O66" s="14">
        <f>IFERROR(INDEX(Settings!$AC$3:$AC$95,MATCH(Gateways_DynamoDB!$F66,Settings!$B$3:$B$95,0)),"")</f>
        <v/>
      </c>
    </row>
    <row r="67" hidden="1">
      <c r="B67" s="14">
        <f>IFERROR(INDEX(Companies!$A$3:$A$101,MATCH(A67,Companies!$B$3:$B$101,0)),"")</f>
        <v/>
      </c>
      <c r="C67" s="83" t="inlineStr">
        <is>
          <t>e00fce68b56eb2aa618d1e0b</t>
        </is>
      </c>
      <c r="D67" s="14" t="inlineStr">
        <is>
          <t>P025AB110GJELH7</t>
        </is>
      </c>
      <c r="E67" s="14" t="inlineStr">
        <is>
          <t>P025AB110GJELH7</t>
        </is>
      </c>
      <c r="F67" s="14" t="inlineStr">
        <is>
          <t>Shipping</t>
        </is>
      </c>
      <c r="I67" s="14" t="inlineStr">
        <is>
          <t>T523M</t>
        </is>
      </c>
      <c r="J67" s="2">
        <f>6600*3</f>
        <v/>
      </c>
      <c r="O67" s="14">
        <f>IFERROR(INDEX(Settings!$AC$3:$AC$95,MATCH(Gateways_DynamoDB!$F67,Settings!$B$3:$B$95,0)),"")</f>
        <v/>
      </c>
    </row>
    <row r="68" hidden="1">
      <c r="B68" s="14">
        <f>IFERROR(INDEX(Companies!$A$3:$A$101,MATCH(A68,Companies!$B$3:$B$101,0)),"")</f>
        <v/>
      </c>
      <c r="C68" s="83" t="inlineStr">
        <is>
          <t>e00fce68fc94cd4d900ab816</t>
        </is>
      </c>
      <c r="D68" s="14" t="inlineStr">
        <is>
          <t>P025AB029SPD9RG</t>
        </is>
      </c>
      <c r="E68" s="14" t="inlineStr">
        <is>
          <t>GW2206-087</t>
        </is>
      </c>
      <c r="F68" s="14" t="inlineStr">
        <is>
          <t>Shipping</t>
        </is>
      </c>
      <c r="I68" s="14" t="inlineStr">
        <is>
          <t>T523M</t>
        </is>
      </c>
      <c r="J68" s="2">
        <f>6600*3</f>
        <v/>
      </c>
      <c r="O68" s="14">
        <f>IFERROR(INDEX(Settings!$AC$3:$AC$95,MATCH(Gateways_DynamoDB!$F68,Settings!$B$3:$B$95,0)),"")</f>
        <v/>
      </c>
    </row>
    <row r="69" hidden="1">
      <c r="B69" s="14">
        <f>IFERROR(INDEX(Companies!$A$3:$A$101,MATCH(A69,Companies!$B$3:$B$101,0)),"")</f>
        <v/>
      </c>
      <c r="C69" s="83" t="inlineStr">
        <is>
          <t>e00fce68d3773411e416f2b5</t>
        </is>
      </c>
      <c r="D69" s="14" t="inlineStr">
        <is>
          <t>P025AB110PTH5C4</t>
        </is>
      </c>
      <c r="E69" s="14" t="inlineStr">
        <is>
          <t>P025AB110PTH5C4</t>
        </is>
      </c>
      <c r="F69" s="14" t="inlineStr">
        <is>
          <t>Shipping</t>
        </is>
      </c>
      <c r="I69" s="14" t="inlineStr">
        <is>
          <t>T523M</t>
        </is>
      </c>
      <c r="J69" s="2">
        <f>6600*3</f>
        <v/>
      </c>
      <c r="O69" s="14">
        <f>IFERROR(INDEX(Settings!$AC$3:$AC$95,MATCH(Gateways_DynamoDB!$F69,Settings!$B$3:$B$95,0)),"")</f>
        <v/>
      </c>
    </row>
    <row r="70" hidden="1">
      <c r="A70" s="14" t="inlineStr">
        <is>
          <t>Mercitalia</t>
        </is>
      </c>
      <c r="B70" s="14">
        <f>IFERROR(INDEX(Companies!$A$3:$A$101,MATCH(A70,Companies!$B$3:$B$101,0)),"")</f>
        <v/>
      </c>
      <c r="C70" s="83" t="inlineStr">
        <is>
          <t>e00fce68779843766268c97d</t>
        </is>
      </c>
      <c r="D70" s="14" t="inlineStr">
        <is>
          <t>P025AB110PDGV4K</t>
        </is>
      </c>
      <c r="E70" s="14" t="inlineStr">
        <is>
          <t>GW2206-069</t>
        </is>
      </c>
      <c r="F70" s="14" t="inlineStr">
        <is>
          <t>Slow-5-12h</t>
        </is>
      </c>
      <c r="G70" s="9" t="inlineStr">
        <is>
          <t>31835376007-3</t>
        </is>
      </c>
      <c r="I70" s="14" t="inlineStr">
        <is>
          <t>T523M</t>
        </is>
      </c>
      <c r="J70" s="2">
        <f>6600*3</f>
        <v/>
      </c>
      <c r="K70" s="77" t="n">
        <v>44910</v>
      </c>
      <c r="L70" s="14" t="inlineStr">
        <is>
          <t>L</t>
        </is>
      </c>
      <c r="M70" s="14" t="inlineStr">
        <is>
          <t>Viezo</t>
        </is>
      </c>
      <c r="O70" s="14">
        <f>IFERROR(INDEX(Settings!$AC$3:$AC$95,MATCH(Gateways_DynamoDB!$F70,Settings!$B$3:$B$95,0)),"")</f>
        <v/>
      </c>
    </row>
    <row r="71" hidden="1">
      <c r="A71" s="14" t="inlineStr">
        <is>
          <t>Mercitalia</t>
        </is>
      </c>
      <c r="B71" s="14">
        <f>IFERROR(INDEX(Companies!$A$3:$A$101,MATCH(A71,Companies!$B$3:$B$101,0)),"")</f>
        <v/>
      </c>
      <c r="C71" s="83" t="inlineStr">
        <is>
          <t>e00fce68f8a57578c994f15b</t>
        </is>
      </c>
      <c r="D71" s="14" t="inlineStr">
        <is>
          <t>P025AB1106BR9T5</t>
        </is>
      </c>
      <c r="E71" s="14" t="inlineStr">
        <is>
          <t>GW2206-095</t>
        </is>
      </c>
      <c r="F71" s="74" t="inlineStr">
        <is>
          <t>Normal-2-6h</t>
        </is>
      </c>
      <c r="G71" s="9" t="inlineStr">
        <is>
          <t>31833919338-1</t>
        </is>
      </c>
      <c r="I71" s="14" t="inlineStr">
        <is>
          <t>T523M</t>
        </is>
      </c>
      <c r="J71" s="2">
        <f>6600*3</f>
        <v/>
      </c>
      <c r="K71" s="77" t="n">
        <v>44910</v>
      </c>
      <c r="L71" s="14" t="inlineStr">
        <is>
          <t>L</t>
        </is>
      </c>
      <c r="M71" s="14" t="inlineStr">
        <is>
          <t>Viezo</t>
        </is>
      </c>
      <c r="O71" s="14">
        <f>IFERROR(INDEX(Settings!$AC$3:$AC$95,MATCH(Gateways_DynamoDB!$F71,Settings!$B$3:$B$95,0)),"")</f>
        <v/>
      </c>
    </row>
    <row r="72" hidden="1">
      <c r="A72" s="14" t="inlineStr">
        <is>
          <t>Mercitalia</t>
        </is>
      </c>
      <c r="B72" s="14">
        <f>IFERROR(INDEX(Companies!$A$3:$A$101,MATCH(A72,Companies!$B$3:$B$101,0)),"")</f>
        <v/>
      </c>
      <c r="C72" s="83" t="inlineStr">
        <is>
          <t>e00fce68510c880f254de238</t>
        </is>
      </c>
      <c r="D72" s="14" t="inlineStr">
        <is>
          <t>P025AB0292VNUJL</t>
        </is>
      </c>
      <c r="E72" s="14" t="inlineStr">
        <is>
          <t>GW2206-063</t>
        </is>
      </c>
      <c r="F72" s="14" t="inlineStr">
        <is>
          <t>Slow-5-12h</t>
        </is>
      </c>
      <c r="G72" s="9" t="inlineStr">
        <is>
          <t>31834575297-2</t>
        </is>
      </c>
      <c r="I72" s="14" t="inlineStr">
        <is>
          <t>T523M</t>
        </is>
      </c>
      <c r="J72" s="2">
        <f>6600*3</f>
        <v/>
      </c>
      <c r="K72" s="77" t="n">
        <v>44910</v>
      </c>
      <c r="L72" s="14" t="inlineStr">
        <is>
          <t>L</t>
        </is>
      </c>
      <c r="M72" s="14" t="inlineStr">
        <is>
          <t>Viezo</t>
        </is>
      </c>
      <c r="O72" s="14">
        <f>IFERROR(INDEX(Settings!$AC$3:$AC$95,MATCH(Gateways_DynamoDB!$F72,Settings!$B$3:$B$95,0)),"")</f>
        <v/>
      </c>
    </row>
    <row r="73" hidden="1">
      <c r="B73" s="14">
        <f>IFERROR(INDEX(Companies!$A$3:$A$101,MATCH(A73,Companies!$B$3:$B$101,0)),"")</f>
        <v/>
      </c>
      <c r="C73" s="83" t="inlineStr">
        <is>
          <t>e00fce68df24671b96eefe65</t>
        </is>
      </c>
      <c r="D73" s="14" t="inlineStr">
        <is>
          <t>P025AB1066LHUEK</t>
        </is>
      </c>
      <c r="E73" s="14" t="inlineStr">
        <is>
          <t>GW2206-040</t>
        </is>
      </c>
      <c r="F73" s="14" t="inlineStr">
        <is>
          <t>Shipping</t>
        </is>
      </c>
      <c r="I73" s="14" t="inlineStr">
        <is>
          <t>T523M</t>
        </is>
      </c>
      <c r="J73" s="2">
        <f>6600*3</f>
        <v/>
      </c>
      <c r="O73" s="14">
        <f>IFERROR(INDEX(Settings!$AC$3:$AC$95,MATCH(Gateways_DynamoDB!$F73,Settings!$B$3:$B$95,0)),"")</f>
        <v/>
      </c>
    </row>
    <row r="74" hidden="1">
      <c r="B74" s="14">
        <f>IFERROR(INDEX(Companies!$A$3:$A$101,MATCH(A74,Companies!$B$3:$B$101,0)),"")</f>
        <v/>
      </c>
      <c r="C74" s="83" t="inlineStr">
        <is>
          <t>e00fce685cc542efea0b5f7c</t>
        </is>
      </c>
      <c r="D74" s="14" t="inlineStr">
        <is>
          <t>P025AB110AJVHBY</t>
        </is>
      </c>
      <c r="E74" s="14" t="inlineStr">
        <is>
          <t>GW2206-041</t>
        </is>
      </c>
      <c r="F74" s="14" t="inlineStr">
        <is>
          <t>Shipping</t>
        </is>
      </c>
      <c r="I74" s="14" t="inlineStr">
        <is>
          <t>T523M</t>
        </is>
      </c>
      <c r="J74" s="2">
        <f>6600*3</f>
        <v/>
      </c>
      <c r="O74" s="14">
        <f>IFERROR(INDEX(Settings!$AC$3:$AC$95,MATCH(Gateways_DynamoDB!$F74,Settings!$B$3:$B$95,0)),"")</f>
        <v/>
      </c>
    </row>
    <row r="75" hidden="1">
      <c r="A75" s="14" t="inlineStr">
        <is>
          <t>Pacific</t>
        </is>
      </c>
      <c r="B75" s="14">
        <f>IFERROR(INDEX(Companies!$A$3:$A$101,MATCH(A75,Companies!$B$3:$B$101,0)),"")</f>
        <v/>
      </c>
      <c r="C75" s="83" t="inlineStr">
        <is>
          <t>e00fce680ac4ea579668e96e</t>
        </is>
      </c>
      <c r="D75" s="14" t="inlineStr">
        <is>
          <t>P032AB1148LU65B</t>
        </is>
      </c>
      <c r="E75" s="14" t="inlineStr">
        <is>
          <t>GW2203-028</t>
        </is>
      </c>
      <c r="F75" s="14" t="inlineStr">
        <is>
          <t>Shipping</t>
        </is>
      </c>
      <c r="G75" s="9" t="inlineStr">
        <is>
          <t>95240733002-8</t>
        </is>
      </c>
      <c r="H75" s="2" t="inlineStr">
        <is>
          <t>867648042183069</t>
        </is>
      </c>
      <c r="I75" s="14" t="inlineStr">
        <is>
          <t>T524M</t>
        </is>
      </c>
      <c r="J75" s="2" t="inlineStr">
        <is>
          <t>26400</t>
        </is>
      </c>
      <c r="N75" s="97" t="inlineStr">
        <is>
          <t>Replaced with GW2202-005 on 2022-02-13</t>
        </is>
      </c>
      <c r="O75" s="14">
        <f>IFERROR(INDEX(Settings!$AC$3:$AC$95,MATCH(Gateways_DynamoDB!$F75,Settings!$B$3:$B$95,0)),"")</f>
        <v/>
      </c>
    </row>
    <row r="76" hidden="1">
      <c r="A76" s="14" t="inlineStr">
        <is>
          <t>Pacific</t>
        </is>
      </c>
      <c r="B76" s="14">
        <f>IFERROR(INDEX(Companies!$A$3:$A$101,MATCH(A76,Companies!$B$3:$B$101,0)),"")</f>
        <v/>
      </c>
      <c r="C76" s="83" t="inlineStr">
        <is>
          <t>e00fce68808a510f99233fdf</t>
        </is>
      </c>
      <c r="D76" s="14" t="inlineStr">
        <is>
          <t>P032AB114MSU34Y</t>
        </is>
      </c>
      <c r="E76" s="14" t="inlineStr">
        <is>
          <t>GW2203-033</t>
        </is>
      </c>
      <c r="F76" s="14" t="inlineStr">
        <is>
          <t>Shipping</t>
        </is>
      </c>
      <c r="G76" s="9" t="inlineStr">
        <is>
          <t>95240733002-8</t>
        </is>
      </c>
      <c r="H76" s="2" t="inlineStr">
        <is>
          <t>867648042180149</t>
        </is>
      </c>
      <c r="I76" s="14" t="inlineStr">
        <is>
          <t>T524M</t>
        </is>
      </c>
      <c r="J76" s="2" t="inlineStr">
        <is>
          <t>26400</t>
        </is>
      </c>
      <c r="O76" s="14">
        <f>IFERROR(INDEX(Settings!$AC$3:$AC$95,MATCH(Gateways_DynamoDB!$F76,Settings!$B$3:$B$95,0)),"")</f>
        <v/>
      </c>
    </row>
    <row r="77" hidden="1">
      <c r="A77" s="14">
        <f>IFERROR(INDEX(Gateways_MANU!$A$2:$A$4949,MATCH($E77,Gateways_MANU!$B$2:$B$4949,0)),"")</f>
        <v/>
      </c>
      <c r="B77" s="14">
        <f>IFERROR(INDEX(Companies!$A$3:$A$101,MATCH(A77,Companies!$B$3:$B$101,0)),"")</f>
        <v/>
      </c>
      <c r="C77" s="83" t="inlineStr">
        <is>
          <t>e00fce6889f8ce3392d1b14d</t>
        </is>
      </c>
      <c r="D77" s="14" t="inlineStr">
        <is>
          <t>P025AB029Y2E58M</t>
        </is>
      </c>
      <c r="E77" s="14" t="inlineStr">
        <is>
          <t>GW2206-043</t>
        </is>
      </c>
      <c r="F77" s="14" t="inlineStr">
        <is>
          <t>Slow-5-12h</t>
        </is>
      </c>
      <c r="G77" s="9" t="inlineStr">
        <is>
          <t>83546985079-5</t>
        </is>
      </c>
      <c r="I77" s="14" t="inlineStr">
        <is>
          <t>T523M</t>
        </is>
      </c>
      <c r="J77" s="2">
        <f>6600*3</f>
        <v/>
      </c>
      <c r="K77" s="77" t="n">
        <v>44880</v>
      </c>
      <c r="L77" s="14" t="inlineStr">
        <is>
          <t>L</t>
        </is>
      </c>
      <c r="M77" s="56" t="inlineStr">
        <is>
          <t>Viezo</t>
        </is>
      </c>
      <c r="N77" s="97" t="n">
        <v>44876</v>
      </c>
      <c r="O77" s="14">
        <f>IFERROR(INDEX(Settings!$AC$3:$AC$95,MATCH(Gateways_DynamoDB!$F77,Settings!$B$3:$B$95,0)),"")</f>
        <v/>
      </c>
    </row>
    <row r="78" hidden="1">
      <c r="A78" s="14" t="inlineStr">
        <is>
          <t>TRANSWAGGON</t>
        </is>
      </c>
      <c r="B78" s="14">
        <f>IFERROR(INDEX(Companies!$A$3:$A$101,MATCH(A78,Companies!$B$3:$B$101,0)),"")</f>
        <v/>
      </c>
      <c r="C78" s="83" t="inlineStr">
        <is>
          <t>e00fce68dbb6d12c7e05f029</t>
        </is>
      </c>
      <c r="D78" s="14" t="inlineStr">
        <is>
          <t>P025AB034S6KPEY</t>
        </is>
      </c>
      <c r="E78" s="14" t="inlineStr">
        <is>
          <t>GW2206-052</t>
        </is>
      </c>
      <c r="F78" s="14" t="inlineStr">
        <is>
          <t>Recovery-6-6h</t>
        </is>
      </c>
      <c r="G78" s="9" t="inlineStr">
        <is>
          <t>33802742527-5</t>
        </is>
      </c>
      <c r="I78" s="14" t="inlineStr">
        <is>
          <t>T523M</t>
        </is>
      </c>
      <c r="J78" s="2">
        <f>6600*3</f>
        <v/>
      </c>
      <c r="O78" s="14">
        <f>IFERROR(INDEX(Settings!$AC$3:$AC$95,MATCH(Gateways_DynamoDB!$F78,Settings!$B$3:$B$95,0)),"")</f>
        <v/>
      </c>
    </row>
    <row r="79" hidden="1">
      <c r="A79" s="14">
        <f>IFERROR(INDEX(Gateways_MANU!$A$2:$A$4949,MATCH($E79,Gateways_MANU!$B$2:$B$4949,0)),"")</f>
        <v/>
      </c>
      <c r="B79" s="14">
        <f>IFERROR(INDEX(Companies!$A$3:$A$101,MATCH(A79,Companies!$B$3:$B$101,0)),"")</f>
        <v/>
      </c>
      <c r="C79" s="83" t="inlineStr">
        <is>
          <t>e00fce68971081f13480afcc</t>
        </is>
      </c>
      <c r="D79" s="14" t="inlineStr">
        <is>
          <t>P025AB1106FLXD2</t>
        </is>
      </c>
      <c r="E79" s="14" t="inlineStr">
        <is>
          <t>GW2203-036</t>
        </is>
      </c>
      <c r="F79" s="74" t="inlineStr">
        <is>
          <t>Recovery-6-6h</t>
        </is>
      </c>
      <c r="G79" s="9" t="inlineStr">
        <is>
          <t>83546985030-8</t>
        </is>
      </c>
      <c r="I79" s="14" t="inlineStr">
        <is>
          <t>T523M</t>
        </is>
      </c>
      <c r="J79" s="2">
        <f>6600*3</f>
        <v/>
      </c>
      <c r="K79" s="77" t="n">
        <v>44880</v>
      </c>
      <c r="L79" s="14" t="inlineStr">
        <is>
          <t>L</t>
        </is>
      </c>
      <c r="M79" s="56" t="inlineStr">
        <is>
          <t>Viezo</t>
        </is>
      </c>
      <c r="N79" s="97" t="n">
        <v>44876</v>
      </c>
      <c r="O79" s="14">
        <f>IFERROR(INDEX(Settings!$AC$3:$AC$95,MATCH(Gateways_DynamoDB!$F79,Settings!$B$3:$B$95,0)),"")</f>
        <v/>
      </c>
    </row>
    <row r="80" hidden="1">
      <c r="A80" s="14" t="inlineStr">
        <is>
          <t>VIEZO</t>
        </is>
      </c>
      <c r="B80" s="14">
        <f>IFERROR(INDEX(Companies!$A$3:$A$101,MATCH(A80,Companies!$B$3:$B$101,0)),"")</f>
        <v/>
      </c>
      <c r="C80" s="83" t="inlineStr">
        <is>
          <t>e00fce68172b579d69da4c4c</t>
        </is>
      </c>
      <c r="D80" s="14" t="inlineStr">
        <is>
          <t>P025AB0282NTYW5</t>
        </is>
      </c>
      <c r="F80" s="14" t="inlineStr">
        <is>
          <t>Shipping</t>
        </is>
      </c>
      <c r="H80" s="2" t="n">
        <v>867648041673094</v>
      </c>
      <c r="I80" s="14" t="inlineStr">
        <is>
          <t>T523M</t>
        </is>
      </c>
      <c r="J80" s="2" t="inlineStr">
        <is>
          <t>19800</t>
        </is>
      </c>
      <c r="O80" s="14">
        <f>IFERROR(INDEX(Settings!$AC$3:$AC$95,MATCH(Gateways_DynamoDB!$F80,Settings!$B$3:$B$95,0)),"")</f>
        <v/>
      </c>
    </row>
    <row r="81" hidden="1">
      <c r="A81" t="inlineStr">
        <is>
          <t>RIOTINTO</t>
        </is>
      </c>
      <c r="B81" s="14">
        <f>IFERROR(INDEX(Companies!$A$3:$A$101,MATCH(A81,Companies!$B$3:$B$101,0)),"")</f>
        <v/>
      </c>
      <c r="C81" s="83" t="inlineStr">
        <is>
          <t>e00fce682614ee3e8cb72bf7</t>
        </is>
      </c>
      <c r="D81" s="14" t="inlineStr">
        <is>
          <t>P025AB0298J247S</t>
        </is>
      </c>
      <c r="E81" s="14" t="inlineStr">
        <is>
          <t>GW2203-030</t>
        </is>
      </c>
      <c r="F81" s="14" t="inlineStr">
        <is>
          <t>Low-power-12-12h</t>
        </is>
      </c>
      <c r="G81" s="9" t="inlineStr">
        <is>
          <t>BAH101</t>
        </is>
      </c>
      <c r="K81" s="77" t="n">
        <v>45119</v>
      </c>
      <c r="O81" s="14">
        <f>IFERROR(INDEX(Settings!$AC$3:$AC$95,MATCH(Gateways_DynamoDB!$F81,Settings!$B$3:$B$95,0)),"")</f>
        <v/>
      </c>
    </row>
    <row r="82" hidden="1">
      <c r="B82" s="14">
        <f>IFERROR(INDEX(Companies!$A$3:$A$101,MATCH(A82,Companies!$B$3:$B$101,0)),"")</f>
        <v/>
      </c>
      <c r="C82" s="83" t="inlineStr">
        <is>
          <t>e00fce68da2005332fa66220</t>
        </is>
      </c>
      <c r="E82" s="14" t="inlineStr">
        <is>
          <t>was_GW2203-027</t>
        </is>
      </c>
      <c r="F82" s="14" t="inlineStr">
        <is>
          <t>Shipping</t>
        </is>
      </c>
      <c r="O82" s="14">
        <f>IFERROR(INDEX(Settings!$AC$3:$AC$95,MATCH(Gateways_DynamoDB!$F82,Settings!$B$3:$B$95,0)),"")</f>
        <v/>
      </c>
    </row>
    <row r="83" hidden="1">
      <c r="A83" s="14" t="inlineStr">
        <is>
          <t>TANKWAGON</t>
        </is>
      </c>
      <c r="B83" s="14">
        <f>IFERROR(INDEX(Companies!$A$3:$A$101,MATCH(A83,Companies!$B$3:$B$101,0)),"")</f>
        <v/>
      </c>
      <c r="C83" s="83" t="inlineStr">
        <is>
          <t>e00fce68f5d0919a5e85b0e1</t>
        </is>
      </c>
      <c r="D83" s="14" t="inlineStr">
        <is>
          <t>P025AB029RLH9G2</t>
        </is>
      </c>
      <c r="E83" s="111" t="inlineStr">
        <is>
          <t>GW2206-002</t>
        </is>
      </c>
      <c r="F83" s="14" t="inlineStr">
        <is>
          <t>Normal-2-6h</t>
        </is>
      </c>
      <c r="G83" s="9" t="inlineStr">
        <is>
          <t>33877916641-6</t>
        </is>
      </c>
      <c r="H83" s="2" t="inlineStr">
        <is>
          <t>867648041704816</t>
        </is>
      </c>
      <c r="I83" s="14" t="inlineStr">
        <is>
          <t>T523M</t>
        </is>
      </c>
      <c r="O83" s="14">
        <f>IFERROR(INDEX(Settings!$AC$3:$AC$95,MATCH(Gateways_DynamoDB!$F83,Settings!$B$3:$B$95,0)),"")</f>
        <v/>
      </c>
    </row>
    <row r="84" hidden="1">
      <c r="A84" s="14">
        <f>IFERROR(INDEX(Gateways_MANU!$A$2:$A$4949,MATCH($E84,Gateways_MANU!$B$2:$B$4949,0)),"")</f>
        <v/>
      </c>
      <c r="B84" s="14">
        <f>IFERROR(INDEX(Companies!$A$3:$A$101,MATCH(A84,Companies!$B$3:$B$101,0)),"")</f>
        <v/>
      </c>
      <c r="C84" s="83" t="inlineStr">
        <is>
          <t>e00fce68c1bb0a51348cc912</t>
        </is>
      </c>
      <c r="D84" s="14" t="inlineStr">
        <is>
          <t>P032AB114HV95WR</t>
        </is>
      </c>
      <c r="E84" s="14" t="inlineStr">
        <is>
          <t>GW2206-001</t>
        </is>
      </c>
      <c r="F84" s="74" t="inlineStr">
        <is>
          <t>Slow-5-12h</t>
        </is>
      </c>
      <c r="G84" s="9" t="inlineStr">
        <is>
          <t>83546985065-4</t>
        </is>
      </c>
      <c r="H84" s="2" t="inlineStr">
        <is>
          <t>867648042183010</t>
        </is>
      </c>
      <c r="I84" s="14" t="inlineStr">
        <is>
          <t>T524M</t>
        </is>
      </c>
      <c r="J84" s="2" t="n">
        <v>19800</v>
      </c>
      <c r="K84" s="77" t="n">
        <v>44880</v>
      </c>
      <c r="L84" s="14" t="inlineStr">
        <is>
          <t>R</t>
        </is>
      </c>
      <c r="M84" s="56" t="inlineStr">
        <is>
          <t>Viezo</t>
        </is>
      </c>
      <c r="N84" s="97" t="n">
        <v>44876</v>
      </c>
      <c r="O84" s="14">
        <f>IFERROR(INDEX(Settings!$AC$3:$AC$95,MATCH(Gateways_DynamoDB!$F84,Settings!$B$3:$B$95,0)),"")</f>
        <v/>
      </c>
    </row>
    <row r="85" hidden="1">
      <c r="A85" s="14">
        <f>IFERROR(INDEX(Gateways_MANU!$A$2:$A$4949,MATCH($E85,Gateways_MANU!$B$2:$B$4949,0)),"")</f>
        <v/>
      </c>
      <c r="B85" s="14">
        <f>IFERROR(INDEX(Companies!$A$3:$A$101,MATCH(A85,Companies!$B$3:$B$101,0)),"")</f>
        <v/>
      </c>
      <c r="C85" s="83" t="inlineStr">
        <is>
          <t>e00fce6820a0d2c60d668f99</t>
        </is>
      </c>
      <c r="D85" s="14" t="inlineStr">
        <is>
          <t>P025AB029AE6TFG</t>
        </is>
      </c>
      <c r="E85" s="14" t="inlineStr">
        <is>
          <t>GW2206-003</t>
        </is>
      </c>
      <c r="F85" s="14" t="inlineStr">
        <is>
          <t>Slow-5-12h</t>
        </is>
      </c>
      <c r="G85" s="9" t="inlineStr">
        <is>
          <t>83546985015-9</t>
        </is>
      </c>
      <c r="H85" s="2" t="n">
        <v>867648041672476</v>
      </c>
      <c r="J85" s="2">
        <f>3*6600</f>
        <v/>
      </c>
      <c r="K85" s="77" t="n">
        <v>44880</v>
      </c>
      <c r="L85" s="14" t="inlineStr">
        <is>
          <t>L</t>
        </is>
      </c>
      <c r="M85" s="56" t="inlineStr">
        <is>
          <t>Viezo</t>
        </is>
      </c>
      <c r="N85" s="97" t="n">
        <v>44876</v>
      </c>
      <c r="O85" s="14">
        <f>IFERROR(INDEX(Settings!$AC$3:$AC$95,MATCH(Gateways_DynamoDB!$F85,Settings!$B$3:$B$95,0)),"")</f>
        <v/>
      </c>
    </row>
    <row r="86" hidden="1">
      <c r="A86" s="14" t="inlineStr">
        <is>
          <t>VIEZO</t>
        </is>
      </c>
      <c r="B86" s="14">
        <f>IFERROR(INDEX(Companies!$A$3:$A$101,MATCH(A86,Companies!$B$3:$B$101,0)),"")</f>
        <v/>
      </c>
      <c r="C86" s="83" t="inlineStr">
        <is>
          <t>e00fce68df3207a81bb5ce80</t>
        </is>
      </c>
      <c r="D86" s="14" t="inlineStr">
        <is>
          <t>P032AB1148RWV5F</t>
        </is>
      </c>
      <c r="E86" s="14" t="inlineStr">
        <is>
          <t>GW_MB_DEV</t>
        </is>
      </c>
      <c r="F86" s="14" t="inlineStr">
        <is>
          <t>Dev4</t>
        </is>
      </c>
      <c r="G86" s="9" t="inlineStr">
        <is>
          <t>WG_MB</t>
        </is>
      </c>
      <c r="H86" s="2" t="inlineStr">
        <is>
          <t>867648042180172</t>
        </is>
      </c>
      <c r="I86" s="14" t="inlineStr">
        <is>
          <t>T524M</t>
        </is>
      </c>
      <c r="O86" s="14">
        <f>IFERROR(INDEX(Settings!$AC$3:$AC$95,MATCH(Gateways_DynamoDB!$F86,Settings!$B$3:$B$95,0)),"")</f>
        <v/>
      </c>
    </row>
    <row r="87" hidden="1">
      <c r="A87" t="inlineStr">
        <is>
          <t>APPLUS</t>
        </is>
      </c>
      <c r="B87" s="14" t="inlineStr">
        <is>
          <t>63f8c704bdabec000be0af78</t>
        </is>
      </c>
      <c r="C87" s="83" t="inlineStr">
        <is>
          <t>e00fce686035cf92d6fea649</t>
        </is>
      </c>
      <c r="D87" s="14" t="inlineStr">
        <is>
          <t>P025AB035TG7CXU</t>
        </is>
      </c>
      <c r="E87" s="14" t="inlineStr">
        <is>
          <t>APPLUS-GW-1</t>
        </is>
      </c>
      <c r="F87" s="14" t="inlineStr">
        <is>
          <t>Shipping</t>
        </is>
      </c>
      <c r="I87" s="14" t="inlineStr">
        <is>
          <t>T523M</t>
        </is>
      </c>
      <c r="K87" s="80" t="n">
        <v>44983</v>
      </c>
      <c r="O87" s="14">
        <f>IFERROR(INDEX(Settings!$AC$3:$AC$95,MATCH(Gateways_DynamoDB!$F87,Settings!$B$3:$B$95,0)),"")</f>
        <v/>
      </c>
    </row>
    <row r="88" hidden="1">
      <c r="A88" s="14" t="inlineStr">
        <is>
          <t>RSA</t>
        </is>
      </c>
      <c r="B88" s="14">
        <f>IFERROR(INDEX(Companies!$A$3:$A$101,MATCH(A88,Companies!$B$3:$B$101,0)),"")</f>
        <v/>
      </c>
      <c r="C88" s="83" t="inlineStr">
        <is>
          <t>e00fce68a7ae0421ed73d199</t>
        </is>
      </c>
      <c r="D88" s="14" t="inlineStr">
        <is>
          <t>P025AB0299GV8LR</t>
        </is>
      </c>
      <c r="E88" s="14" t="inlineStr">
        <is>
          <t>GW2203-011</t>
        </is>
      </c>
      <c r="F88" s="14" t="inlineStr">
        <is>
          <t>Recovery-6-6h</t>
        </is>
      </c>
      <c r="H88" s="2" t="inlineStr">
        <is>
          <t>867648041680529</t>
        </is>
      </c>
      <c r="I88" s="14" t="inlineStr">
        <is>
          <t>T523M</t>
        </is>
      </c>
      <c r="J88" s="2" t="inlineStr">
        <is>
          <t>26400</t>
        </is>
      </c>
      <c r="O88" s="14">
        <f>IFERROR(INDEX(Settings!$AC$3:$AC$95,MATCH(Gateways_DynamoDB!$F88,Settings!$B$3:$B$95,0)),"")</f>
        <v/>
      </c>
    </row>
    <row r="89" hidden="1">
      <c r="A89" s="14">
        <f>IFERROR(INDEX(Gateways_MANU!$A$2:$A$4949,MATCH($E89,Gateways_MANU!$B$2:$B$4949,0)),"")</f>
        <v/>
      </c>
      <c r="B89" s="14">
        <f>IFERROR(INDEX(Companies!$A$3:$A$101,MATCH(A89,Companies!$B$3:$B$101,0)),"")</f>
        <v/>
      </c>
      <c r="C89" s="83" t="inlineStr">
        <is>
          <t>e00fce686b6f7c54a078f5c0</t>
        </is>
      </c>
      <c r="E89" s="14" t="inlineStr">
        <is>
          <t>GW-AK1-1</t>
        </is>
      </c>
      <c r="I89" s="14" t="inlineStr">
        <is>
          <t>T523M</t>
        </is>
      </c>
      <c r="N89" s="97" t="inlineStr">
        <is>
          <t>LTG-LINK</t>
        </is>
      </c>
      <c r="O89" s="14">
        <f>IFERROR(INDEX(Settings!$AC$3:$AC$95,MATCH(Gateways_DynamoDB!$F89,Settings!$B$3:$B$95,0)),"")</f>
        <v/>
      </c>
    </row>
    <row r="90" hidden="1">
      <c r="A90" s="14">
        <f>IFERROR(INDEX(Gateways_MANU!$A$2:$A$4949,MATCH($E90,Gateways_MANU!$B$2:$B$4949,0)),"")</f>
        <v/>
      </c>
      <c r="B90" s="14">
        <f>IFERROR(INDEX(Companies!$A$3:$A$101,MATCH(A90,Companies!$B$3:$B$101,0)),"")</f>
        <v/>
      </c>
      <c r="C90" s="83" t="inlineStr">
        <is>
          <t>e00fce68e8d7a1b35a2196dc</t>
        </is>
      </c>
      <c r="D90" s="14" t="inlineStr">
        <is>
          <t>P025AB02984BWPV</t>
        </is>
      </c>
      <c r="E90" s="14" t="inlineStr">
        <is>
          <t>GW2206-090</t>
        </is>
      </c>
      <c r="F90" s="74" t="inlineStr">
        <is>
          <t>Slow-5-12h</t>
        </is>
      </c>
      <c r="G90" s="9" t="inlineStr">
        <is>
          <t>83546985084-5</t>
        </is>
      </c>
      <c r="H90" s="2" t="inlineStr">
        <is>
          <t>867648041688605</t>
        </is>
      </c>
      <c r="I90" s="14" t="inlineStr">
        <is>
          <t>T523M</t>
        </is>
      </c>
      <c r="J90" s="2" t="n">
        <v>19800</v>
      </c>
      <c r="K90" s="77" t="n">
        <v>44880</v>
      </c>
      <c r="L90" s="14" t="inlineStr">
        <is>
          <t>L</t>
        </is>
      </c>
      <c r="M90" s="56" t="inlineStr">
        <is>
          <t>Viezo</t>
        </is>
      </c>
      <c r="N90" s="97" t="n">
        <v>44876</v>
      </c>
      <c r="O90" s="14">
        <f>IFERROR(INDEX(Settings!$AC$3:$AC$95,MATCH(Gateways_DynamoDB!$F90,Settings!$B$3:$B$95,0)),"")</f>
        <v/>
      </c>
    </row>
    <row r="91" hidden="1">
      <c r="A91" s="14">
        <f>IFERROR(INDEX(Gateways_MANU!$A$2:$A$4949,MATCH($E91,Gateways_MANU!$B$2:$B$4949,0)),"")</f>
        <v/>
      </c>
      <c r="B91" s="14">
        <f>IFERROR(INDEX(Companies!$A$3:$A$101,MATCH(A91,Companies!$B$3:$B$101,0)),"")</f>
        <v/>
      </c>
      <c r="C91" s="83" t="inlineStr">
        <is>
          <t>e00fce680c2f23ac7f52de1d</t>
        </is>
      </c>
      <c r="D91" s="14" t="inlineStr">
        <is>
          <t>P025AB029SMFAUR</t>
        </is>
      </c>
      <c r="E91" s="14" t="inlineStr">
        <is>
          <t>Office-DEV-SOM-1</t>
        </is>
      </c>
      <c r="F91" s="14" t="inlineStr">
        <is>
          <t>Normal-2-6h</t>
        </is>
      </c>
      <c r="H91" s="2" t="inlineStr">
        <is>
          <t>867648041685304</t>
        </is>
      </c>
      <c r="I91" s="14" t="inlineStr">
        <is>
          <t>T523M</t>
        </is>
      </c>
      <c r="O91" s="14">
        <f>IFERROR(INDEX(Settings!$AC$3:$AC$95,MATCH(Gateways_DynamoDB!$F91,Settings!$B$3:$B$95,0)),"")</f>
        <v/>
      </c>
    </row>
    <row r="92" hidden="1">
      <c r="A92" s="14" t="inlineStr">
        <is>
          <t>FERTAGUS</t>
        </is>
      </c>
      <c r="B92" s="14">
        <f>IFERROR(INDEX(Companies!$A$3:$A$101,MATCH(A92,Companies!$B$3:$B$101,0)),"")</f>
        <v/>
      </c>
      <c r="C92" s="83" t="inlineStr">
        <is>
          <t>e00fce68a35fbd58b96dc1c7</t>
        </is>
      </c>
      <c r="D92" s="14" t="inlineStr">
        <is>
          <t>P032AB114FC6K9Y</t>
        </is>
      </c>
      <c r="E92" s="14" t="inlineStr">
        <is>
          <t>GW2206-005</t>
        </is>
      </c>
      <c r="F92" s="14" t="inlineStr">
        <is>
          <t>Slow-5-12h</t>
        </is>
      </c>
      <c r="G92" s="9" t="inlineStr">
        <is>
          <t>M3505</t>
        </is>
      </c>
      <c r="H92" s="2" t="inlineStr">
        <is>
          <t>867648042214351</t>
        </is>
      </c>
      <c r="I92" s="14" t="inlineStr">
        <is>
          <t>T524M</t>
        </is>
      </c>
      <c r="K92" s="77" t="n">
        <v>45051</v>
      </c>
      <c r="N92" s="97" t="inlineStr">
        <is>
          <t>was PR_GW_DEV_RB</t>
        </is>
      </c>
      <c r="O92" s="14">
        <f>IFERROR(INDEX(Settings!$AC$3:$AC$95,MATCH(Gateways_DynamoDB!$F92,Settings!$B$3:$B$95,0)),"")</f>
        <v/>
      </c>
    </row>
    <row r="93" hidden="1">
      <c r="A93" s="14">
        <f>IFERROR(INDEX(Gateways_MANU!$A$2:$A$4949,MATCH($E93,Gateways_MANU!$B$2:$B$4949,0)),"")</f>
        <v/>
      </c>
      <c r="B93" s="14">
        <f>IFERROR(INDEX(Companies!$A$3:$A$101,MATCH(A93,Companies!$B$3:$B$101,0)),"")</f>
        <v/>
      </c>
      <c r="C93" s="83" t="inlineStr">
        <is>
          <t>e00fce684ba75e3379f1497f</t>
        </is>
      </c>
      <c r="D93" s="14" t="inlineStr">
        <is>
          <t>P032AD227EGFA73</t>
        </is>
      </c>
      <c r="E93" s="14" t="inlineStr">
        <is>
          <t>DD-DEV-5_SOM_REPLACED</t>
        </is>
      </c>
      <c r="I93" s="14" t="inlineStr">
        <is>
          <t>T524</t>
        </is>
      </c>
      <c r="O93" s="14">
        <f>IFERROR(INDEX(Settings!$AC$3:$AC$95,MATCH(Gateways_DynamoDB!$F93,Settings!$B$3:$B$95,0)),"")</f>
        <v/>
      </c>
    </row>
    <row r="94" hidden="1">
      <c r="A94" s="14" t="inlineStr">
        <is>
          <t>RENFE</t>
        </is>
      </c>
      <c r="B94" s="14">
        <f>IFERROR(INDEX(Companies!$A$3:$A$101,MATCH(A94,Companies!$B$3:$B$101,0)),"")</f>
        <v/>
      </c>
      <c r="C94" s="83" t="inlineStr">
        <is>
          <t>e00fce68e2258d8e1934989d</t>
        </is>
      </c>
      <c r="D94" s="14" t="inlineStr">
        <is>
          <t>P032AD227NHLG6J</t>
        </is>
      </c>
      <c r="E94" s="14" t="inlineStr">
        <is>
          <t>GW2206-031</t>
        </is>
      </c>
      <c r="F94" s="14" t="inlineStr">
        <is>
          <t>Slow-5-12h</t>
        </is>
      </c>
      <c r="G94" s="9" t="n">
        <v>527015</v>
      </c>
      <c r="I94" s="14" t="inlineStr">
        <is>
          <t>T524M</t>
        </is>
      </c>
      <c r="N94" s="97" t="inlineStr">
        <is>
          <t>was SOM_REPLACED_1. Renfe, returned on 2023 02 03</t>
        </is>
      </c>
      <c r="O94" s="14">
        <f>IFERROR(INDEX(Settings!$AC$3:$AC$95,MATCH(Gateways_DynamoDB!$F94,Settings!$B$3:$B$95,0)),"")</f>
        <v/>
      </c>
    </row>
    <row r="95" hidden="1">
      <c r="A95" s="14">
        <f>IFERROR(INDEX(Gateways_MANU!$A$2:$A$4949,MATCH($E95,Gateways_MANU!$B$2:$B$4949,0)),"")</f>
        <v/>
      </c>
      <c r="B95" s="14">
        <f>IFERROR(INDEX(Companies!$A$3:$A$101,MATCH(A95,Companies!$B$3:$B$101,0)),"")</f>
        <v/>
      </c>
      <c r="C95" s="83" t="inlineStr">
        <is>
          <t>e00fce68959a0df5ce4d3210</t>
        </is>
      </c>
      <c r="D95" s="14" t="inlineStr">
        <is>
          <t>P032AD227DG3FKN</t>
        </is>
      </c>
      <c r="E95" s="14" t="inlineStr">
        <is>
          <t>GW2206-065</t>
        </is>
      </c>
      <c r="F95" s="14" t="inlineStr">
        <is>
          <t>Slow-5-12h</t>
        </is>
      </c>
      <c r="G95" s="9" t="inlineStr">
        <is>
          <t>33854956673-9</t>
        </is>
      </c>
      <c r="K95" s="77" t="n">
        <v>44918</v>
      </c>
      <c r="L95" s="14" t="inlineStr">
        <is>
          <t>L</t>
        </is>
      </c>
      <c r="M95" s="14" t="inlineStr">
        <is>
          <t>Hupac</t>
        </is>
      </c>
      <c r="N95" s="97" t="n">
        <v>44902</v>
      </c>
      <c r="O95" s="14">
        <f>IFERROR(INDEX(Settings!$AC$3:$AC$95,MATCH(Gateways_DynamoDB!$F95,Settings!$B$3:$B$95,0)),"")</f>
        <v/>
      </c>
    </row>
    <row r="96" hidden="1">
      <c r="A96" s="14">
        <f>IFERROR(INDEX(Gateways_MANU!$A$2:$A$4949,MATCH($E96,Gateways_MANU!$B$2:$B$4949,0)),"")</f>
        <v/>
      </c>
      <c r="B96" s="14">
        <f>IFERROR(INDEX(Companies!$A$3:$A$101,MATCH(A96,Companies!$B$3:$B$101,0)),"")</f>
        <v/>
      </c>
      <c r="C96" s="83" t="inlineStr">
        <is>
          <t>e00fce68356a0d95a11ba4b8</t>
        </is>
      </c>
      <c r="D96" s="14" t="inlineStr">
        <is>
          <t>P032AD22736E8SY</t>
        </is>
      </c>
      <c r="E96" s="14" t="inlineStr">
        <is>
          <t>GW2206-033</t>
        </is>
      </c>
      <c r="F96" s="74" t="inlineStr">
        <is>
          <t>Fast-1-3h</t>
        </is>
      </c>
      <c r="G96" s="9" t="inlineStr">
        <is>
          <t>33854956699-4</t>
        </is>
      </c>
      <c r="K96" s="77" t="n">
        <v>44910</v>
      </c>
      <c r="L96" s="14" t="inlineStr">
        <is>
          <t>L</t>
        </is>
      </c>
      <c r="M96" s="14" t="inlineStr">
        <is>
          <t>Viezo</t>
        </is>
      </c>
      <c r="N96" s="97" t="n">
        <v>44902</v>
      </c>
      <c r="O96" s="14">
        <f>IFERROR(INDEX(Settings!$AC$3:$AC$95,MATCH(Gateways_DynamoDB!$F96,Settings!$B$3:$B$95,0)),"")</f>
        <v/>
      </c>
    </row>
    <row r="97" hidden="1">
      <c r="A97" s="14">
        <f>IFERROR(INDEX(Gateways_MANU!$A$2:$A$4949,MATCH($E97,Gateways_MANU!$B$2:$B$4949,0)),"")</f>
        <v/>
      </c>
      <c r="B97" s="14">
        <f>IFERROR(INDEX(Companies!$A$3:$A$101,MATCH(A97,Companies!$B$3:$B$101,0)),"")</f>
        <v/>
      </c>
      <c r="C97" s="83" t="inlineStr">
        <is>
          <t>e00fce68e95bbc7e6081ee8d</t>
        </is>
      </c>
      <c r="D97" s="14" t="inlineStr">
        <is>
          <t>P032AD2276NATM9</t>
        </is>
      </c>
      <c r="E97" s="14" t="inlineStr">
        <is>
          <t>GW2206-035</t>
        </is>
      </c>
      <c r="F97" s="14" t="inlineStr">
        <is>
          <t>Slow-5-12h</t>
        </is>
      </c>
      <c r="G97" s="9" t="inlineStr">
        <is>
          <t>33854506221-2</t>
        </is>
      </c>
      <c r="K97" s="77" t="n">
        <v>44910</v>
      </c>
      <c r="L97" s="14" t="inlineStr">
        <is>
          <t>L</t>
        </is>
      </c>
      <c r="M97" s="14" t="inlineStr">
        <is>
          <t>Viezo</t>
        </is>
      </c>
      <c r="N97" s="97" t="n">
        <v>44902</v>
      </c>
      <c r="O97" s="14">
        <f>IFERROR(INDEX(Settings!$AC$3:$AC$95,MATCH(Gateways_DynamoDB!$F97,Settings!$B$3:$B$95,0)),"")</f>
        <v/>
      </c>
    </row>
    <row r="98" hidden="1">
      <c r="A98" s="14" t="inlineStr">
        <is>
          <t>RENFE</t>
        </is>
      </c>
      <c r="B98" s="14">
        <f>IFERROR(INDEX(Companies!$A$3:$A$101,MATCH(A98,Companies!$B$3:$B$101,0)),"")</f>
        <v/>
      </c>
      <c r="C98" s="83" t="inlineStr">
        <is>
          <t>e00fce68da6ce9119a01624c</t>
        </is>
      </c>
      <c r="D98" s="14" t="inlineStr">
        <is>
          <t>P032AD227CNYKTL</t>
        </is>
      </c>
      <c r="E98" s="14" t="inlineStr">
        <is>
          <t>GW2203-009</t>
        </is>
      </c>
      <c r="F98" s="14" t="inlineStr">
        <is>
          <t>Shipping</t>
        </is>
      </c>
      <c r="I98" s="14" t="inlineStr">
        <is>
          <t>T524</t>
        </is>
      </c>
      <c r="N98" s="97" t="inlineStr">
        <is>
          <t>Dead, will be returned</t>
        </is>
      </c>
      <c r="O98" s="14">
        <f>IFERROR(INDEX(Settings!$AC$3:$AC$95,MATCH(Gateways_DynamoDB!$F98,Settings!$B$3:$B$95,0)),"")</f>
        <v/>
      </c>
    </row>
    <row r="99" hidden="1">
      <c r="A99" s="14">
        <f>IFERROR(INDEX(Gateways_MANU!$A$2:$A$4949,MATCH($E99,Gateways_MANU!$B$2:$B$4949,0)),"")</f>
        <v/>
      </c>
      <c r="B99" s="14">
        <f>IFERROR(INDEX(Companies!$A$3:$A$101,MATCH(A99,Companies!$B$3:$B$101,0)),"")</f>
        <v/>
      </c>
      <c r="C99" s="83" t="inlineStr">
        <is>
          <t>e00fce686ecf9241d556304c</t>
        </is>
      </c>
      <c r="D99" s="14" t="inlineStr">
        <is>
          <t>P032AD227B6NPEA</t>
        </is>
      </c>
      <c r="E99" s="14" t="inlineStr">
        <is>
          <t>GW2206-055</t>
        </is>
      </c>
      <c r="F99" s="14" t="inlineStr">
        <is>
          <t>Slow-5-12h</t>
        </is>
      </c>
      <c r="G99" s="9" t="inlineStr">
        <is>
          <t>33854575320-8</t>
        </is>
      </c>
      <c r="K99" s="77" t="n">
        <v>44910</v>
      </c>
      <c r="L99" s="14" t="inlineStr">
        <is>
          <t>L</t>
        </is>
      </c>
      <c r="M99" s="14" t="inlineStr">
        <is>
          <t>Viezo</t>
        </is>
      </c>
      <c r="N99" s="97" t="n">
        <v>44902</v>
      </c>
      <c r="O99" s="14">
        <f>IFERROR(INDEX(Settings!$AC$3:$AC$95,MATCH(Gateways_DynamoDB!$F99,Settings!$B$3:$B$95,0)),"")</f>
        <v/>
      </c>
    </row>
    <row r="100" hidden="1">
      <c r="A100" s="14">
        <f>IFERROR(INDEX(Gateways_MANU!$A$2:$A$4949,MATCH($E100,Gateways_MANU!$B$2:$B$4949,0)),"")</f>
        <v/>
      </c>
      <c r="B100" s="14">
        <f>IFERROR(INDEX(Companies!$A$3:$A$101,MATCH(A100,Companies!$B$3:$B$101,0)),"")</f>
        <v/>
      </c>
      <c r="C100" s="83" t="inlineStr">
        <is>
          <t>e00fce68ab82cc1b2adc2414</t>
        </is>
      </c>
      <c r="D100" s="14" t="inlineStr">
        <is>
          <t>P032AD2275B2DCP</t>
        </is>
      </c>
      <c r="E100" s="14" t="inlineStr">
        <is>
          <t>GW2206-078</t>
        </is>
      </c>
      <c r="F100" s="14" t="inlineStr">
        <is>
          <t>Slow-5-12h</t>
        </is>
      </c>
      <c r="G100" s="9" t="inlineStr">
        <is>
          <t>33854556814-3</t>
        </is>
      </c>
      <c r="K100" s="77" t="n">
        <v>44918</v>
      </c>
      <c r="L100" s="14" t="inlineStr">
        <is>
          <t>L</t>
        </is>
      </c>
      <c r="M100" s="14" t="inlineStr">
        <is>
          <t>Hupac</t>
        </is>
      </c>
      <c r="N100" s="97" t="n">
        <v>44902</v>
      </c>
      <c r="O100" s="14">
        <f>IFERROR(INDEX(Settings!$AC$3:$AC$95,MATCH(Gateways_DynamoDB!$F100,Settings!$B$3:$B$95,0)),"")</f>
        <v/>
      </c>
    </row>
    <row r="101" hidden="1">
      <c r="B101" s="14">
        <f>IFERROR(INDEX(Companies!$A$3:$A$101,MATCH(A101,Companies!$B$3:$B$101,0)),"")</f>
        <v/>
      </c>
      <c r="C101" s="83" t="inlineStr">
        <is>
          <t>e00fce6833a51de16828a3c5</t>
        </is>
      </c>
      <c r="D101" s="14" t="inlineStr">
        <is>
          <t>P032AD227SW6A9N</t>
        </is>
      </c>
      <c r="E101" s="14" t="inlineStr">
        <is>
          <t>GW2206-096</t>
        </is>
      </c>
      <c r="F101" s="14" t="inlineStr">
        <is>
          <t>Shipping</t>
        </is>
      </c>
      <c r="N101" s="97" t="n">
        <v>44902</v>
      </c>
      <c r="O101" s="14">
        <f>IFERROR(INDEX(Settings!$AC$3:$AC$95,MATCH(Gateways_DynamoDB!$F101,Settings!$B$3:$B$95,0)),"")</f>
        <v/>
      </c>
    </row>
    <row r="102" hidden="1">
      <c r="A102" s="14">
        <f>IFERROR(INDEX(Gateways_MANU!$A$2:$A$4949,MATCH($E102,Gateways_MANU!$B$2:$B$4949,0)),"")</f>
        <v/>
      </c>
      <c r="B102" s="14">
        <f>IFERROR(INDEX(Companies!$A$3:$A$101,MATCH(A102,Companies!$B$3:$B$101,0)),"")</f>
        <v/>
      </c>
      <c r="C102" s="83" t="inlineStr">
        <is>
          <t>e00fce686a08485c86d9966a</t>
        </is>
      </c>
      <c r="D102" s="14" t="inlineStr">
        <is>
          <t>P032AD227GKLHUX</t>
        </is>
      </c>
      <c r="E102" s="14" t="inlineStr">
        <is>
          <t>GW2206-058</t>
        </is>
      </c>
      <c r="F102" s="74" t="inlineStr">
        <is>
          <t>Slow-5-12h</t>
        </is>
      </c>
      <c r="G102" s="9" t="inlineStr">
        <is>
          <t>33854956710-9</t>
        </is>
      </c>
      <c r="K102" s="77" t="n">
        <v>44918</v>
      </c>
      <c r="L102" s="14" t="inlineStr">
        <is>
          <t>L</t>
        </is>
      </c>
      <c r="M102" s="14" t="inlineStr">
        <is>
          <t>Hupac</t>
        </is>
      </c>
      <c r="N102" s="97" t="n">
        <v>44902</v>
      </c>
      <c r="O102" s="14">
        <f>IFERROR(INDEX(Settings!$AC$3:$AC$95,MATCH(Gateways_DynamoDB!$F102,Settings!$B$3:$B$95,0)),"")</f>
        <v/>
      </c>
    </row>
    <row r="103" hidden="1">
      <c r="A103" s="14">
        <f>IFERROR(INDEX(Gateways_MANU!$A$2:$A$4949,MATCH($E103,Gateways_MANU!$B$2:$B$4949,0)),"")</f>
        <v/>
      </c>
      <c r="B103" s="14">
        <f>IFERROR(INDEX(Companies!$A$3:$A$101,MATCH(A103,Companies!$B$3:$B$101,0)),"")</f>
        <v/>
      </c>
      <c r="C103" s="83" t="inlineStr">
        <is>
          <t>e00fce685d22b44ce7d620a4</t>
        </is>
      </c>
      <c r="D103" s="14" t="inlineStr">
        <is>
          <t>P032AD2276UGXPC</t>
        </is>
      </c>
      <c r="E103" s="14" t="inlineStr">
        <is>
          <t>GW2206-079</t>
        </is>
      </c>
      <c r="F103" s="74" t="inlineStr">
        <is>
          <t>Fast-1-3h</t>
        </is>
      </c>
      <c r="G103" s="9" t="inlineStr">
        <is>
          <t>33854956478-3</t>
        </is>
      </c>
      <c r="K103" s="77" t="n">
        <v>44910</v>
      </c>
      <c r="L103" s="14" t="inlineStr">
        <is>
          <t>R</t>
        </is>
      </c>
      <c r="M103" s="14" t="inlineStr">
        <is>
          <t>Viezo</t>
        </is>
      </c>
      <c r="N103" s="97" t="n">
        <v>44902</v>
      </c>
      <c r="O103" s="14">
        <f>IFERROR(INDEX(Settings!$AC$3:$AC$95,MATCH(Gateways_DynamoDB!$F103,Settings!$B$3:$B$95,0)),"")</f>
        <v/>
      </c>
    </row>
    <row r="104" hidden="1">
      <c r="A104" s="14">
        <f>IFERROR(INDEX(Gateways_MANU!$A$2:$A$4949,MATCH($E104,Gateways_MANU!$B$2:$B$4949,0)),"")</f>
        <v/>
      </c>
      <c r="B104" s="14">
        <f>IFERROR(INDEX(Companies!$A$3:$A$101,MATCH(A104,Companies!$B$3:$B$101,0)),"")</f>
        <v/>
      </c>
      <c r="C104" s="83" t="inlineStr">
        <is>
          <t>e00fce682676c3235bb2e9a3</t>
        </is>
      </c>
      <c r="D104" s="14" t="inlineStr">
        <is>
          <t>P032AD227FM2YLR</t>
        </is>
      </c>
      <c r="E104" s="14" t="inlineStr">
        <is>
          <t>GW2206-010</t>
        </is>
      </c>
      <c r="F104" s="74" t="inlineStr">
        <is>
          <t>Slow-5-12h</t>
        </is>
      </c>
      <c r="G104" s="9" t="inlineStr">
        <is>
          <t>33854956710-9</t>
        </is>
      </c>
      <c r="K104" s="77" t="n">
        <v>44918</v>
      </c>
      <c r="L104" s="14" t="inlineStr">
        <is>
          <t>R</t>
        </is>
      </c>
      <c r="M104" s="14" t="inlineStr">
        <is>
          <t>Hupac</t>
        </is>
      </c>
      <c r="N104" s="97" t="n">
        <v>44902</v>
      </c>
      <c r="O104" s="14">
        <f>IFERROR(INDEX(Settings!$AC$3:$AC$95,MATCH(Gateways_DynamoDB!$F104,Settings!$B$3:$B$95,0)),"")</f>
        <v/>
      </c>
    </row>
    <row r="105" hidden="1">
      <c r="A105" s="14">
        <f>IFERROR(INDEX(Gateways_MANU!$A$2:$A$4949,MATCH($E105,Gateways_MANU!$B$2:$B$4949,0)),"")</f>
        <v/>
      </c>
      <c r="B105" s="14">
        <f>IFERROR(INDEX(Companies!$A$3:$A$101,MATCH(A105,Companies!$B$3:$B$101,0)),"")</f>
        <v/>
      </c>
      <c r="C105" s="83" t="inlineStr">
        <is>
          <t>e00fce68572539a79efbc631</t>
        </is>
      </c>
      <c r="D105" s="14" t="inlineStr">
        <is>
          <t>P032AD2279CHXUE</t>
        </is>
      </c>
      <c r="E105" s="14" t="inlineStr">
        <is>
          <t>GW2206-059</t>
        </is>
      </c>
      <c r="F105" s="14" t="inlineStr">
        <is>
          <t>Slow-5-12h</t>
        </is>
      </c>
      <c r="G105" s="9" t="inlineStr">
        <is>
          <t>33854956673-9</t>
        </is>
      </c>
      <c r="K105" s="77" t="n">
        <v>44918</v>
      </c>
      <c r="L105" s="14" t="inlineStr">
        <is>
          <t>R</t>
        </is>
      </c>
      <c r="M105" s="14" t="inlineStr">
        <is>
          <t>Hupac</t>
        </is>
      </c>
      <c r="N105" s="97" t="n">
        <v>44902</v>
      </c>
      <c r="O105" s="14">
        <f>IFERROR(INDEX(Settings!$AC$3:$AC$95,MATCH(Gateways_DynamoDB!$F105,Settings!$B$3:$B$95,0)),"")</f>
        <v/>
      </c>
    </row>
    <row r="106" hidden="1">
      <c r="A106" s="14">
        <f>IFERROR(INDEX(Gateways_MANU!$A$2:$A$4949,MATCH($E106,Gateways_MANU!$B$2:$B$4949,0)),"")</f>
        <v/>
      </c>
      <c r="B106" s="14">
        <f>IFERROR(INDEX(Companies!$A$3:$A$101,MATCH(A106,Companies!$B$3:$B$101,0)),"")</f>
        <v/>
      </c>
      <c r="C106" s="83" t="inlineStr">
        <is>
          <t>e00fce68bfba8b0cae4584a1</t>
        </is>
      </c>
      <c r="D106" s="14" t="inlineStr">
        <is>
          <t>P032AD2272MCD49</t>
        </is>
      </c>
      <c r="E106" s="14" t="inlineStr">
        <is>
          <t>GW2206-029</t>
        </is>
      </c>
      <c r="F106" s="14" t="inlineStr">
        <is>
          <t>Recovery-6-6h</t>
        </is>
      </c>
      <c r="G106" s="9" t="inlineStr">
        <is>
          <t>33854956478-3</t>
        </is>
      </c>
      <c r="K106" s="77" t="n">
        <v>44910</v>
      </c>
      <c r="L106" s="14" t="inlineStr">
        <is>
          <t>L</t>
        </is>
      </c>
      <c r="M106" s="14" t="inlineStr">
        <is>
          <t>Viezo</t>
        </is>
      </c>
      <c r="N106" s="97" t="n">
        <v>44902</v>
      </c>
      <c r="O106" s="14">
        <f>IFERROR(INDEX(Settings!$AC$3:$AC$95,MATCH(Gateways_DynamoDB!$F106,Settings!$B$3:$B$95,0)),"")</f>
        <v/>
      </c>
    </row>
    <row r="107" hidden="1">
      <c r="A107" s="14">
        <f>IFERROR(INDEX(Gateways_MANU!$A$2:$A$4949,MATCH($E107,Gateways_MANU!$B$2:$B$4949,0)),"")</f>
        <v/>
      </c>
      <c r="B107" s="14">
        <f>IFERROR(INDEX(Companies!$A$3:$A$101,MATCH(A107,Companies!$B$3:$B$101,0)),"")</f>
        <v/>
      </c>
      <c r="C107" s="83" t="inlineStr">
        <is>
          <t>e00fce6847c0cf15b62353c1</t>
        </is>
      </c>
      <c r="D107" s="14" t="inlineStr">
        <is>
          <t>P032AD227RUFYDB</t>
        </is>
      </c>
      <c r="E107" s="14" t="inlineStr">
        <is>
          <t>GW2206-021</t>
        </is>
      </c>
      <c r="F107" s="14" t="inlineStr">
        <is>
          <t>Normal-2-6h</t>
        </is>
      </c>
      <c r="G107" s="9" t="inlineStr">
        <is>
          <t>33-83-495-4-940-6</t>
        </is>
      </c>
      <c r="K107" s="77" t="n">
        <v>44938</v>
      </c>
      <c r="L107" s="14" t="inlineStr">
        <is>
          <t>L</t>
        </is>
      </c>
      <c r="M107" s="14" t="inlineStr">
        <is>
          <t>Ambrogio</t>
        </is>
      </c>
      <c r="N107" s="97" t="n">
        <v>44902</v>
      </c>
      <c r="O107" s="14">
        <f>IFERROR(INDEX(Settings!$AC$3:$AC$95,MATCH(Gateways_DynamoDB!$F107,Settings!$B$3:$B$95,0)),"")</f>
        <v/>
      </c>
    </row>
    <row r="108" hidden="1">
      <c r="A108" t="inlineStr">
        <is>
          <t>RIOTINTO</t>
        </is>
      </c>
      <c r="B108" s="14">
        <f>IFERROR(INDEX(Companies!$A$3:$A$101,MATCH(A108,Companies!$B$3:$B$101,0)),"")</f>
        <v/>
      </c>
      <c r="C108" s="83" t="inlineStr">
        <is>
          <t>e00fce68b9058646f00ca0b3</t>
        </is>
      </c>
      <c r="D108" s="14" t="inlineStr">
        <is>
          <t>P032AD2273NKLPU</t>
        </is>
      </c>
      <c r="E108" s="14" t="inlineStr">
        <is>
          <t>GW2203-012</t>
        </is>
      </c>
      <c r="F108" s="74" t="inlineStr">
        <is>
          <t>Slow-5-12h</t>
        </is>
      </c>
      <c r="G108" s="9" t="inlineStr">
        <is>
          <t>BAH103</t>
        </is>
      </c>
      <c r="I108" s="14" t="inlineStr">
        <is>
          <t>T524</t>
        </is>
      </c>
      <c r="K108" s="77" t="n">
        <v>45119</v>
      </c>
      <c r="O108" s="14">
        <f>IFERROR(INDEX(Settings!$AC$3:$AC$95,MATCH(Gateways_DynamoDB!$F108,Settings!$B$3:$B$95,0)),"")</f>
        <v/>
      </c>
    </row>
    <row r="109" hidden="1">
      <c r="A109" t="inlineStr">
        <is>
          <t>RIOTINTO</t>
        </is>
      </c>
      <c r="B109" s="14">
        <f>IFERROR(INDEX(Companies!$A$3:$A$101,MATCH(A109,Companies!$B$3:$B$101,0)),"")</f>
        <v/>
      </c>
      <c r="C109" s="83" t="inlineStr">
        <is>
          <t>e00fce686662baa99a2992ee</t>
        </is>
      </c>
      <c r="D109" s="14" t="inlineStr">
        <is>
          <t>P032AD227HYWXRB</t>
        </is>
      </c>
      <c r="E109" s="14" t="inlineStr">
        <is>
          <t>GW2203-048</t>
        </is>
      </c>
      <c r="F109" s="74" t="inlineStr">
        <is>
          <t>Recovery-6-6h</t>
        </is>
      </c>
      <c r="G109" s="9" t="inlineStr">
        <is>
          <t>BP08</t>
        </is>
      </c>
      <c r="I109" s="14" t="inlineStr">
        <is>
          <t>T524</t>
        </is>
      </c>
      <c r="K109" s="77" t="n">
        <v>45119</v>
      </c>
      <c r="N109" s="97" t="inlineStr">
        <is>
          <t>was GW2203-038</t>
        </is>
      </c>
      <c r="O109" s="14">
        <f>IFERROR(INDEX(Settings!$AC$3:$AC$95,MATCH(Gateways_DynamoDB!$F109,Settings!$B$3:$B$95,0)),"")</f>
        <v/>
      </c>
    </row>
    <row r="110" hidden="1">
      <c r="A110" s="14" t="inlineStr">
        <is>
          <t>VIEZO</t>
        </is>
      </c>
      <c r="B110" s="14">
        <f>IFERROR(INDEX(Companies!$A$3:$A$101,MATCH(A110,Companies!$B$3:$B$101,0)),"")</f>
        <v/>
      </c>
      <c r="C110" s="83" t="inlineStr">
        <is>
          <t>e00fce685a8c991535a21b50</t>
        </is>
      </c>
      <c r="D110" s="14" t="inlineStr">
        <is>
          <t>P032AD227J4GXV3</t>
        </is>
      </c>
      <c r="E110" s="14" t="inlineStr">
        <is>
          <t>P032AD227J4GXV3</t>
        </is>
      </c>
      <c r="F110" s="14" t="inlineStr">
        <is>
          <t>New FW Test</t>
        </is>
      </c>
      <c r="I110" s="14" t="inlineStr">
        <is>
          <t>T524</t>
        </is>
      </c>
      <c r="K110" s="77" t="n">
        <v>44910</v>
      </c>
      <c r="O110" s="14">
        <f>IFERROR(INDEX(Settings!$AC$3:$AC$95,MATCH(Gateways_DynamoDB!$F110,Settings!$B$3:$B$95,0)),"")</f>
        <v/>
      </c>
    </row>
    <row r="111" hidden="1">
      <c r="A111" s="14" t="inlineStr">
        <is>
          <t>SCHAEFFLER</t>
        </is>
      </c>
      <c r="B111" s="14">
        <f>IFERROR(INDEX(Companies!$A$3:$A$101,MATCH(A111,Companies!$B$3:$B$101,0)),"")</f>
        <v/>
      </c>
      <c r="C111" s="83" t="inlineStr">
        <is>
          <t>e00fce68a6b7e78cf6b6acc2</t>
        </is>
      </c>
      <c r="D111" s="14" t="inlineStr">
        <is>
          <t>P032AD227GJNHV7</t>
        </is>
      </c>
      <c r="E111" s="14" t="inlineStr">
        <is>
          <t>GW2203-010</t>
        </is>
      </c>
      <c r="F111" s="14" t="inlineStr">
        <is>
          <t>Shipping</t>
        </is>
      </c>
      <c r="I111" s="14" t="inlineStr">
        <is>
          <t>T524</t>
        </is>
      </c>
      <c r="O111" s="14">
        <f>IFERROR(INDEX(Settings!$AC$3:$AC$95,MATCH(Gateways_DynamoDB!$F111,Settings!$B$3:$B$95,0)),"")</f>
        <v/>
      </c>
    </row>
    <row r="112" hidden="1">
      <c r="A112" s="14" t="inlineStr">
        <is>
          <t>MERCITALIA</t>
        </is>
      </c>
      <c r="B112" s="14">
        <f>IFERROR(INDEX(Companies!$A$3:$A$101,MATCH(A112,Companies!$B$3:$B$101,0)),"")</f>
        <v/>
      </c>
      <c r="C112" s="83" t="inlineStr">
        <is>
          <t>e00fce6890a7c4640c58e17b</t>
        </is>
      </c>
      <c r="D112" s="14" t="inlineStr">
        <is>
          <t>P032AD227MBGSHN</t>
        </is>
      </c>
      <c r="E112" s="14" t="inlineStr">
        <is>
          <t>GW2203-004</t>
        </is>
      </c>
      <c r="F112" s="74" t="inlineStr">
        <is>
          <t>Fast-1-3h</t>
        </is>
      </c>
      <c r="G112" s="9" t="inlineStr">
        <is>
          <t>31835377921-4</t>
        </is>
      </c>
      <c r="K112" s="77" t="n">
        <v>45002</v>
      </c>
      <c r="O112" s="14">
        <f>IFERROR(INDEX(Settings!$AC$3:$AC$95,MATCH(Gateways_DynamoDB!$F112,Settings!$B$3:$B$95,0)),"")</f>
        <v/>
      </c>
    </row>
    <row r="113" hidden="1">
      <c r="A113" s="14" t="inlineStr">
        <is>
          <t>MERCITALIA</t>
        </is>
      </c>
      <c r="B113" s="14">
        <f>IFERROR(INDEX(Companies!$A$3:$A$101,MATCH(A113,Companies!$B$3:$B$101,0)),"")</f>
        <v/>
      </c>
      <c r="C113" s="83" t="inlineStr">
        <is>
          <t>e00fce682c07de083cef9bb0</t>
        </is>
      </c>
      <c r="D113" s="14" t="inlineStr">
        <is>
          <t>P025AB028VN5M93</t>
        </is>
      </c>
      <c r="E113" s="14" t="inlineStr">
        <is>
          <t>GW2203-044</t>
        </is>
      </c>
      <c r="F113" s="74" t="inlineStr">
        <is>
          <t>Fast-1-3h</t>
        </is>
      </c>
      <c r="G113" s="113" t="inlineStr">
        <is>
          <t>31833916514-0</t>
        </is>
      </c>
      <c r="K113" s="77" t="n">
        <v>45111</v>
      </c>
      <c r="O113" s="14">
        <f>IFERROR(INDEX(Settings!$AC$3:$AC$95,MATCH(Gateways_DynamoDB!$F113,Settings!$B$3:$B$95,0)),"")</f>
        <v/>
      </c>
    </row>
    <row r="114" hidden="1">
      <c r="A114" s="14" t="inlineStr">
        <is>
          <t>RENFE</t>
        </is>
      </c>
      <c r="B114" s="14">
        <f>IFERROR(INDEX(Companies!$A$3:$A$101,MATCH(A114,Companies!$B$3:$B$101,0)),"")</f>
        <v/>
      </c>
      <c r="C114" s="83" t="inlineStr">
        <is>
          <t>e00fce6890ed22c52ebb55e9</t>
        </is>
      </c>
      <c r="D114" s="14" t="inlineStr">
        <is>
          <t>P025AB1108AXLKN</t>
        </is>
      </c>
      <c r="E114" s="14" t="inlineStr">
        <is>
          <t>GW2206-004</t>
        </is>
      </c>
      <c r="F114" s="14" t="inlineStr">
        <is>
          <t>Slow-5-12h</t>
        </is>
      </c>
      <c r="G114" s="9" t="n">
        <v>527015</v>
      </c>
      <c r="O114" s="14">
        <f>IFERROR(INDEX(Settings!$AC$3:$AC$95,MATCH(Gateways_DynamoDB!$F114,Settings!$B$3:$B$95,0)),"")</f>
        <v/>
      </c>
    </row>
    <row r="115" hidden="1">
      <c r="A115" s="14" t="inlineStr">
        <is>
          <t>TANKWAGON</t>
        </is>
      </c>
      <c r="B115" s="14">
        <f>IFERROR(INDEX(Companies!$A$3:$A$101,MATCH(A115,Companies!$B$3:$B$101,0)),"")</f>
        <v/>
      </c>
      <c r="C115" s="83" t="inlineStr">
        <is>
          <t>e00fce68643e32881654e94b</t>
        </is>
      </c>
      <c r="D115" s="14" t="inlineStr">
        <is>
          <t>P032AD227Y2MUBW</t>
        </is>
      </c>
      <c r="E115" s="14" t="inlineStr">
        <is>
          <t>GW2203-040</t>
        </is>
      </c>
      <c r="F115" s="74" t="inlineStr">
        <is>
          <t>Recovery-6-6h</t>
        </is>
      </c>
      <c r="M115" s="14" t="inlineStr">
        <is>
          <t>TANKWAGON</t>
        </is>
      </c>
      <c r="O115" s="14">
        <f>IFERROR(INDEX(Settings!$AC$3:$AC$95,MATCH(Gateways_DynamoDB!$F115,Settings!$B$3:$B$95,0)),"")</f>
        <v/>
      </c>
    </row>
    <row r="116" hidden="1">
      <c r="A116" s="14" t="inlineStr">
        <is>
          <t>MERCITALIA</t>
        </is>
      </c>
      <c r="B116" s="14">
        <f>IFERROR(INDEX(Companies!$A$3:$A$101,MATCH(A116,Companies!$B$3:$B$101,0)),"")</f>
        <v/>
      </c>
      <c r="C116" s="83" t="inlineStr">
        <is>
          <t>e00fce68ddcb091e264e4453</t>
        </is>
      </c>
      <c r="D116" s="14" t="inlineStr">
        <is>
          <t>P025AB029RSWGD8</t>
        </is>
      </c>
      <c r="E116" s="14" t="inlineStr">
        <is>
          <t>GW2206-036</t>
        </is>
      </c>
      <c r="F116" s="14" t="inlineStr">
        <is>
          <t>Normal-2-6h</t>
        </is>
      </c>
      <c r="G116" s="113" t="inlineStr">
        <is>
          <t>31833916514-0</t>
        </is>
      </c>
      <c r="O116" s="14">
        <f>IFERROR(INDEX(Settings!$AC$3:$AC$95,MATCH(Gateways_DynamoDB!$F116,Settings!$B$3:$B$95,0)),"")</f>
        <v/>
      </c>
    </row>
    <row r="117" hidden="1">
      <c r="A117" s="14" t="inlineStr">
        <is>
          <t>TANKWAGON</t>
        </is>
      </c>
      <c r="B117" s="14">
        <f>IFERROR(INDEX(Companies!$A$3:$A$101,MATCH(A117,Companies!$B$3:$B$101,0)),"")</f>
        <v/>
      </c>
      <c r="C117" s="83" t="inlineStr">
        <is>
          <t>e00fce68566e148e37724e42</t>
        </is>
      </c>
      <c r="D117" s="14" t="inlineStr">
        <is>
          <t>P025AB028YU2TRF</t>
        </is>
      </c>
      <c r="E117" s="14" t="inlineStr">
        <is>
          <t>GW2206-037</t>
        </is>
      </c>
      <c r="F117" s="74" t="inlineStr">
        <is>
          <t>Recovery-6-6h</t>
        </is>
      </c>
      <c r="G117" s="9" t="inlineStr">
        <is>
          <t>33857929905-2</t>
        </is>
      </c>
      <c r="K117" s="77" t="n">
        <v>45210</v>
      </c>
      <c r="L117" s="14" t="inlineStr">
        <is>
          <t>R</t>
        </is>
      </c>
      <c r="M117" s="14" t="inlineStr">
        <is>
          <t>DD</t>
        </is>
      </c>
      <c r="O117" s="14">
        <f>IFERROR(INDEX(Settings!$AC$3:$AC$95,MATCH(Gateways_DynamoDB!$F117,Settings!$B$3:$B$95,0)),"")</f>
        <v/>
      </c>
    </row>
    <row r="118" hidden="1">
      <c r="A118" s="14" t="inlineStr">
        <is>
          <t>HVLE</t>
        </is>
      </c>
      <c r="B118" s="14">
        <f>IFERROR(INDEX(Companies!$A$3:$A$101,MATCH(A118,Companies!$B$3:$B$101,0)),"")</f>
        <v/>
      </c>
      <c r="C118" s="83" t="inlineStr">
        <is>
          <t>e00fce68221242bb43b89079</t>
        </is>
      </c>
      <c r="D118" s="14" t="inlineStr">
        <is>
          <t>P032AD2275DRWKB</t>
        </is>
      </c>
      <c r="E118" s="14" t="inlineStr">
        <is>
          <t>GW2206-TR02</t>
        </is>
      </c>
      <c r="F118" s="74" t="inlineStr">
        <is>
          <t>Recovery-6-6h</t>
        </is>
      </c>
      <c r="G118" s="9" t="inlineStr">
        <is>
          <t>83546985095-1</t>
        </is>
      </c>
      <c r="K118" s="77" t="n">
        <v>45028</v>
      </c>
      <c r="M118" s="14" t="inlineStr">
        <is>
          <t>HVLE</t>
        </is>
      </c>
      <c r="O118" s="14">
        <f>IFERROR(INDEX(Settings!$AC$3:$AC$95,MATCH(Gateways_DynamoDB!$F118,Settings!$B$3:$B$95,0)),"")</f>
        <v/>
      </c>
    </row>
    <row r="119" hidden="1">
      <c r="A119" s="14" t="inlineStr">
        <is>
          <t>TANKWAGON</t>
        </is>
      </c>
      <c r="B119" s="14">
        <f>IFERROR(INDEX(Companies!$A$3:$A$101,MATCH(A119,Companies!$B$3:$B$101,0)),"")</f>
        <v/>
      </c>
      <c r="C119" s="83" t="inlineStr">
        <is>
          <t>e00fce681046c4aba5aa7fb9</t>
        </is>
      </c>
      <c r="D119" s="14" t="inlineStr">
        <is>
          <t>P032AD227TU25GB</t>
        </is>
      </c>
      <c r="E119" s="111" t="inlineStr">
        <is>
          <t>GW2203-018</t>
        </is>
      </c>
      <c r="F119" s="14" t="inlineStr">
        <is>
          <t>Normal-2-6h</t>
        </is>
      </c>
      <c r="G119" s="9" t="inlineStr">
        <is>
          <t>33877916625-9</t>
        </is>
      </c>
      <c r="O119" s="14">
        <f>IFERROR(INDEX(Settings!$AC$3:$AC$95,MATCH(Gateways_DynamoDB!$F119,Settings!$B$3:$B$95,0)),"")</f>
        <v/>
      </c>
    </row>
    <row r="120" hidden="1">
      <c r="A120" s="14" t="inlineStr">
        <is>
          <t>TANKWAGON</t>
        </is>
      </c>
      <c r="B120" s="14">
        <f>IFERROR(INDEX(Companies!$A$3:$A$101,MATCH(A120,Companies!$B$3:$B$101,0)),"")</f>
        <v/>
      </c>
      <c r="C120" s="83" t="inlineStr">
        <is>
          <t>e00fce6896906abd8de72834</t>
        </is>
      </c>
      <c r="D120" s="14" t="inlineStr">
        <is>
          <t>P032AD227VFG25A</t>
        </is>
      </c>
      <c r="E120" s="111" t="inlineStr">
        <is>
          <t>GW2206-054</t>
        </is>
      </c>
      <c r="F120" s="14" t="inlineStr">
        <is>
          <t>Recovery-6-6h</t>
        </is>
      </c>
      <c r="G120" s="9" t="inlineStr">
        <is>
          <t>33807920015-4</t>
        </is>
      </c>
      <c r="O120" s="14">
        <f>IFERROR(INDEX(Settings!$AC$3:$AC$95,MATCH(Gateways_DynamoDB!$F120,Settings!$B$3:$B$95,0)),"")</f>
        <v/>
      </c>
    </row>
    <row r="121" hidden="1">
      <c r="A121" s="14" t="inlineStr">
        <is>
          <t>TANKWAGON</t>
        </is>
      </c>
      <c r="B121" s="14">
        <f>IFERROR(INDEX(Companies!$A$3:$A$101,MATCH(A121,Companies!$B$3:$B$101,0)),"")</f>
        <v/>
      </c>
      <c r="C121" s="83" t="inlineStr">
        <is>
          <t>e00fce68b30bf5763734a4af</t>
        </is>
      </c>
      <c r="D121" s="14" t="inlineStr">
        <is>
          <t>P032AD227BT6UNK</t>
        </is>
      </c>
      <c r="E121" s="111" t="inlineStr">
        <is>
          <t>GW2206-051</t>
        </is>
      </c>
      <c r="F121" s="14" t="inlineStr">
        <is>
          <t>Normal-2-6h</t>
        </is>
      </c>
      <c r="G121" s="9" t="inlineStr">
        <is>
          <t>33877916636-6</t>
        </is>
      </c>
      <c r="O121" s="14">
        <f>IFERROR(INDEX(Settings!$AC$3:$AC$95,MATCH(Gateways_DynamoDB!$F121,Settings!$B$3:$B$95,0)),"")</f>
        <v/>
      </c>
    </row>
    <row r="122" hidden="1">
      <c r="A122" s="14" t="inlineStr">
        <is>
          <t>RIOTINTO</t>
        </is>
      </c>
      <c r="B122" s="14">
        <f>IFERROR(INDEX(Companies!$A$3:$A$101,MATCH(A122,Companies!$B$3:$B$101,0)),"")</f>
        <v/>
      </c>
      <c r="C122" s="83" t="inlineStr">
        <is>
          <t>e00fce68398b5b589c5952dd</t>
        </is>
      </c>
      <c r="D122" s="14" t="inlineStr">
        <is>
          <t>P032AD2276Y8JHS</t>
        </is>
      </c>
      <c r="E122" s="14" t="inlineStr">
        <is>
          <t>GW2206-022</t>
        </is>
      </c>
      <c r="F122" s="14" t="inlineStr">
        <is>
          <t>Normal-2-6h</t>
        </is>
      </c>
      <c r="G122" s="9" t="inlineStr">
        <is>
          <t>BAH103</t>
        </is>
      </c>
      <c r="K122" s="77" t="n">
        <v>45301</v>
      </c>
      <c r="N122" s="97" t="inlineStr">
        <is>
          <t>was RSA, but later needed for Rio</t>
        </is>
      </c>
      <c r="O122" s="14">
        <f>IFERROR(INDEX(Settings!$AC$3:$AC$95,MATCH(Gateways_DynamoDB!$F122,Settings!$B$3:$B$95,0)),"")</f>
        <v/>
      </c>
    </row>
    <row r="123" hidden="1">
      <c r="A123" s="14" t="inlineStr">
        <is>
          <t>RIOTINTO</t>
        </is>
      </c>
      <c r="B123" s="14">
        <f>IFERROR(INDEX(Companies!$A$3:$A$101,MATCH(A123,Companies!$B$3:$B$101,0)),"")</f>
        <v/>
      </c>
      <c r="C123" s="83" t="inlineStr">
        <is>
          <t>e00fce6881b66c0610a17c32</t>
        </is>
      </c>
      <c r="D123" s="14" t="inlineStr">
        <is>
          <t>P032AD227847F9R</t>
        </is>
      </c>
      <c r="E123" s="14" t="inlineStr">
        <is>
          <t>GW2206-071</t>
        </is>
      </c>
      <c r="F123" s="14" t="inlineStr">
        <is>
          <t>Fast-1-3h</t>
        </is>
      </c>
      <c r="G123" s="9" t="inlineStr">
        <is>
          <t>BP08</t>
        </is>
      </c>
      <c r="K123" s="77" t="n">
        <v>45301</v>
      </c>
      <c r="N123" s="97" t="inlineStr">
        <is>
          <t>was RSA, but later needed for Rio</t>
        </is>
      </c>
      <c r="O123" s="14">
        <f>IFERROR(INDEX(Settings!$AC$3:$AC$95,MATCH(Gateways_DynamoDB!$F123,Settings!$B$3:$B$95,0)),"")</f>
        <v/>
      </c>
    </row>
    <row r="124" hidden="1">
      <c r="A124" s="14" t="inlineStr">
        <is>
          <t>RAILRELEASE</t>
        </is>
      </c>
      <c r="B124" s="14">
        <f>IFERROR(INDEX(Companies!$A$3:$A$101,MATCH(A124,Companies!$B$3:$B$101,0)),"")</f>
        <v/>
      </c>
      <c r="C124" s="83" t="inlineStr">
        <is>
          <t>e00fce6826212ea3c227d0f1</t>
        </is>
      </c>
      <c r="D124" s="14" t="inlineStr">
        <is>
          <t>P032AD2275WLKFN</t>
        </is>
      </c>
      <c r="E124" s="14" t="inlineStr">
        <is>
          <t>GW2206-016</t>
        </is>
      </c>
      <c r="F124" s="14" t="inlineStr">
        <is>
          <t>Normal-2-6h</t>
        </is>
      </c>
      <c r="G124" s="9" t="inlineStr">
        <is>
          <t>37844576159-6</t>
        </is>
      </c>
      <c r="K124" s="77" t="n">
        <v>45064</v>
      </c>
      <c r="M124" s="81" t="inlineStr">
        <is>
          <t>VIEZO</t>
        </is>
      </c>
      <c r="O124" s="14">
        <f>IFERROR(INDEX(Settings!$AC$3:$AC$95,MATCH(Gateways_DynamoDB!$F124,Settings!$B$3:$B$95,0)),"")</f>
        <v/>
      </c>
    </row>
    <row r="125" hidden="1">
      <c r="A125" s="14" t="inlineStr">
        <is>
          <t>TRANSWAGGON</t>
        </is>
      </c>
      <c r="B125" s="14">
        <f>IFERROR(INDEX(Companies!$A$3:$A$101,MATCH(A125,Companies!$B$3:$B$101,0)),"")</f>
        <v/>
      </c>
      <c r="C125" s="83" t="inlineStr">
        <is>
          <t>e00fce68ebe1df48b60bd985</t>
        </is>
      </c>
      <c r="D125" s="14" t="inlineStr">
        <is>
          <t>P032AD2277WUX8C</t>
        </is>
      </c>
      <c r="E125" s="14" t="inlineStr">
        <is>
          <t>GW2206-012</t>
        </is>
      </c>
      <c r="F125" s="14" t="inlineStr">
        <is>
          <t>Recovery-6-6h</t>
        </is>
      </c>
      <c r="G125" s="9" t="inlineStr">
        <is>
          <t>33802742481-5</t>
        </is>
      </c>
      <c r="O125" s="14">
        <f>IFERROR(INDEX(Settings!$AC$3:$AC$95,MATCH(Gateways_DynamoDB!$F125,Settings!$B$3:$B$95,0)),"")</f>
        <v/>
      </c>
    </row>
    <row r="126" hidden="1">
      <c r="A126" s="14" t="inlineStr">
        <is>
          <t>TRANSWAGGON</t>
        </is>
      </c>
      <c r="B126" s="14">
        <f>IFERROR(INDEX(Companies!$A$3:$A$101,MATCH(A126,Companies!$B$3:$B$101,0)),"")</f>
        <v/>
      </c>
      <c r="C126" s="83" t="inlineStr">
        <is>
          <t>e00fce685186e08089e6d8ee</t>
        </is>
      </c>
      <c r="D126" s="14" t="inlineStr">
        <is>
          <t>P032AD227LV57KS</t>
        </is>
      </c>
      <c r="E126" s="14" t="inlineStr">
        <is>
          <t>GW2206-049</t>
        </is>
      </c>
      <c r="F126" s="14" t="inlineStr">
        <is>
          <t>Recovery-6-6h</t>
        </is>
      </c>
      <c r="G126" s="9" t="inlineStr">
        <is>
          <t>33802742608-3</t>
        </is>
      </c>
      <c r="O126" s="14">
        <f>IFERROR(INDEX(Settings!$AC$3:$AC$95,MATCH(Gateways_DynamoDB!$F126,Settings!$B$3:$B$95,0)),"")</f>
        <v/>
      </c>
    </row>
    <row r="127" hidden="1">
      <c r="A127" s="14" t="inlineStr">
        <is>
          <t>TRANSWAGGON</t>
        </is>
      </c>
      <c r="B127" s="14">
        <f>IFERROR(INDEX(Companies!$A$3:$A$101,MATCH(A127,Companies!$B$3:$B$101,0)),"")</f>
        <v/>
      </c>
      <c r="C127" s="83" t="inlineStr">
        <is>
          <t>e00fce688b5f801fe0fa1961</t>
        </is>
      </c>
      <c r="D127" s="14" t="inlineStr">
        <is>
          <t>P025AB028GARXTY</t>
        </is>
      </c>
      <c r="E127" s="14" t="inlineStr">
        <is>
          <t>GW2206-042</t>
        </is>
      </c>
      <c r="F127" s="14" t="inlineStr">
        <is>
          <t>Recovery-6-6h</t>
        </is>
      </c>
      <c r="G127" s="9" t="inlineStr">
        <is>
          <t>33802742207-4</t>
        </is>
      </c>
      <c r="O127" s="14">
        <f>IFERROR(INDEX(Settings!$AC$3:$AC$95,MATCH(Gateways_DynamoDB!$F127,Settings!$B$3:$B$95,0)),"")</f>
        <v/>
      </c>
    </row>
    <row r="128" hidden="1">
      <c r="A128" t="inlineStr">
        <is>
          <t>APPLUS</t>
        </is>
      </c>
      <c r="B128" s="14">
        <f>IFERROR(INDEX(Companies!$A$3:$A$101,MATCH(A128,Companies!$B$3:$B$101,0)),"")</f>
        <v/>
      </c>
      <c r="C128" s="83" t="inlineStr">
        <is>
          <t>e00fce6897e57782843ee525</t>
        </is>
      </c>
      <c r="E128" s="14" t="inlineStr">
        <is>
          <t>ATEX-GW-1</t>
        </is>
      </c>
      <c r="F128" s="14" t="inlineStr">
        <is>
          <t>Certification</t>
        </is>
      </c>
      <c r="O128" s="14">
        <f>IFERROR(INDEX(Settings!$AC$3:$AC$95,MATCH(Gateways_DynamoDB!$F128,Settings!$B$3:$B$95,0)),"")</f>
        <v/>
      </c>
    </row>
    <row r="129" hidden="1">
      <c r="A129" s="14" t="inlineStr">
        <is>
          <t>CARGONET</t>
        </is>
      </c>
      <c r="B129" s="14">
        <f>IFERROR(INDEX(Companies!$A$3:$A$101,MATCH(A129,Companies!$B$3:$B$101,0)),"")</f>
        <v/>
      </c>
      <c r="C129" s="83" t="inlineStr">
        <is>
          <t>e00fce6891f1890767f185ae</t>
        </is>
      </c>
      <c r="D129" s="14" t="inlineStr">
        <is>
          <t>P032AD227X9PUGN</t>
        </is>
      </c>
      <c r="E129" s="14" t="inlineStr">
        <is>
          <t>GW2206-047</t>
        </is>
      </c>
      <c r="F129" s="14" t="inlineStr">
        <is>
          <t>Normal-2-6h</t>
        </is>
      </c>
      <c r="G129" s="9" t="inlineStr">
        <is>
          <t>33764955324-1</t>
        </is>
      </c>
      <c r="O129" s="14">
        <f>IFERROR(INDEX(Settings!$AC$3:$AC$95,MATCH(Gateways_DynamoDB!$F129,Settings!$B$3:$B$95,0)),"")</f>
        <v/>
      </c>
    </row>
    <row r="130" hidden="1">
      <c r="A130" s="14" t="inlineStr">
        <is>
          <t>CARGONET</t>
        </is>
      </c>
      <c r="B130" s="14">
        <f>IFERROR(INDEX(Companies!$A$3:$A$101,MATCH(A130,Companies!$B$3:$B$101,0)),"")</f>
        <v/>
      </c>
      <c r="C130" s="83" t="inlineStr">
        <is>
          <t>e00fce68ca51c5793724b80a</t>
        </is>
      </c>
      <c r="D130" s="14" t="inlineStr">
        <is>
          <t>P032AD227FTDJ6X</t>
        </is>
      </c>
      <c r="E130" s="14" t="inlineStr">
        <is>
          <t>GW2206-032</t>
        </is>
      </c>
      <c r="F130" s="14" t="inlineStr">
        <is>
          <t>Recovery-6-6h</t>
        </is>
      </c>
      <c r="O130" s="14">
        <f>IFERROR(INDEX(Settings!$AC$3:$AC$95,MATCH(Gateways_DynamoDB!$F130,Settings!$B$3:$B$95,0)),"")</f>
        <v/>
      </c>
    </row>
    <row r="131" hidden="1">
      <c r="A131" s="14" t="inlineStr">
        <is>
          <t>CARGONET</t>
        </is>
      </c>
      <c r="B131" s="14">
        <f>IFERROR(INDEX(Companies!$A$3:$A$101,MATCH(A131,Companies!$B$3:$B$101,0)),"")</f>
        <v/>
      </c>
      <c r="C131" s="83" t="inlineStr">
        <is>
          <t>e00fce68df96fd662bf54f67</t>
        </is>
      </c>
      <c r="D131" s="14" t="inlineStr">
        <is>
          <t>P032AD227CPGBSM</t>
        </is>
      </c>
      <c r="E131" s="14" t="inlineStr">
        <is>
          <t>GW2206-074</t>
        </is>
      </c>
      <c r="F131" s="14" t="inlineStr">
        <is>
          <t>Recovery-6-6h</t>
        </is>
      </c>
      <c r="G131" s="9" t="inlineStr">
        <is>
          <t>33764955305-0</t>
        </is>
      </c>
      <c r="O131" s="14">
        <f>IFERROR(INDEX(Settings!$AC$3:$AC$95,MATCH(Gateways_DynamoDB!$F131,Settings!$B$3:$B$95,0)),"")</f>
        <v/>
      </c>
    </row>
    <row r="132" hidden="1">
      <c r="A132" s="14" t="inlineStr">
        <is>
          <t>CARGONET</t>
        </is>
      </c>
      <c r="B132" s="14">
        <f>IFERROR(INDEX(Companies!$A$3:$A$101,MATCH(A132,Companies!$B$3:$B$101,0)),"")</f>
        <v/>
      </c>
      <c r="C132" s="83" t="inlineStr">
        <is>
          <t>e00fce684812f04cd2f3f3b5</t>
        </is>
      </c>
      <c r="D132" s="14" t="inlineStr">
        <is>
          <t>P032AD227XKADYN</t>
        </is>
      </c>
      <c r="E132" s="14" t="inlineStr">
        <is>
          <t>GW2206-013</t>
        </is>
      </c>
      <c r="F132" s="14" t="inlineStr">
        <is>
          <t>Slow-5-12h</t>
        </is>
      </c>
      <c r="G132" s="9" t="inlineStr">
        <is>
          <t>33764955324-1</t>
        </is>
      </c>
      <c r="O132" s="14">
        <f>IFERROR(INDEX(Settings!$AC$3:$AC$95,MATCH(Gateways_DynamoDB!$F132,Settings!$B$3:$B$95,0)),"")</f>
        <v/>
      </c>
    </row>
    <row r="133" hidden="1">
      <c r="A133" s="14" t="inlineStr">
        <is>
          <t>TANKWAGON</t>
        </is>
      </c>
      <c r="B133" s="14">
        <f>IFERROR(INDEX(Companies!$A$3:$A$101,MATCH(A133,Companies!$B$3:$B$101,0)),"")</f>
        <v/>
      </c>
      <c r="C133" s="83" t="inlineStr">
        <is>
          <t>e00fce68eb876af9d26a2989</t>
        </is>
      </c>
      <c r="D133" s="14" t="inlineStr">
        <is>
          <t>P025AB029CV8U4S</t>
        </is>
      </c>
      <c r="E133" s="111" t="inlineStr">
        <is>
          <t>GW2203-013</t>
        </is>
      </c>
      <c r="F133" s="14" t="inlineStr">
        <is>
          <t>Normal-2-6h</t>
        </is>
      </c>
      <c r="G133" s="9" t="inlineStr">
        <is>
          <t>33877916671-3</t>
        </is>
      </c>
      <c r="O133" s="14">
        <f>IFERROR(INDEX(Settings!$AC$3:$AC$95,MATCH(Gateways_DynamoDB!$F133,Settings!$B$3:$B$95,0)),"")</f>
        <v/>
      </c>
    </row>
    <row r="134" hidden="1">
      <c r="A134" s="14" t="inlineStr">
        <is>
          <t>TALGO</t>
        </is>
      </c>
      <c r="B134" s="14">
        <f>IFERROR(INDEX(Companies!$A$3:$A$101,MATCH(A134,Companies!$B$3:$B$101,0)),"")</f>
        <v/>
      </c>
      <c r="C134" s="83" t="inlineStr">
        <is>
          <t>e00fce6821662206e3645603</t>
        </is>
      </c>
      <c r="D134" s="14" t="inlineStr">
        <is>
          <t>P032AD227B7EUXT</t>
        </is>
      </c>
      <c r="E134" s="14" t="inlineStr">
        <is>
          <t>GW2206-030</t>
        </is>
      </c>
      <c r="F134" s="14" t="inlineStr">
        <is>
          <t>DD_ONLY_discovery</t>
        </is>
      </c>
      <c r="J134" s="2" t="inlineStr">
        <is>
          <t>Ni-MH</t>
        </is>
      </c>
      <c r="O134" s="14">
        <f>IFERROR(INDEX(Settings!$AC$3:$AC$95,MATCH(Gateways_DynamoDB!$F134,Settings!$B$3:$B$95,0)),"")</f>
        <v/>
      </c>
    </row>
    <row r="135" hidden="1">
      <c r="A135" s="14" t="inlineStr">
        <is>
          <t>TRANSWAGGON</t>
        </is>
      </c>
      <c r="B135" s="14">
        <f>IFERROR(INDEX(Companies!$A$3:$A$101,MATCH(A135,Companies!$B$3:$B$101,0)),"")</f>
        <v/>
      </c>
      <c r="C135" s="83" t="inlineStr">
        <is>
          <t>e00fce6855ab30284b3f8422</t>
        </is>
      </c>
      <c r="D135" s="14" t="inlineStr">
        <is>
          <t>P032AD22757JPVM</t>
        </is>
      </c>
      <c r="E135" s="14" t="inlineStr">
        <is>
          <t>GW2206-082</t>
        </is>
      </c>
      <c r="F135" s="14" t="inlineStr">
        <is>
          <t>Normal-2-6h</t>
        </is>
      </c>
      <c r="G135" s="9" t="inlineStr">
        <is>
          <t>33802742207-4</t>
        </is>
      </c>
      <c r="J135" s="2" t="inlineStr">
        <is>
          <t>Ni-MH</t>
        </is>
      </c>
      <c r="O135" s="14">
        <f>IFERROR(INDEX(Settings!$AC$3:$AC$95,MATCH(Gateways_DynamoDB!$F135,Settings!$B$3:$B$95,0)),"")</f>
        <v/>
      </c>
    </row>
    <row r="136" hidden="1">
      <c r="A136" s="14" t="inlineStr">
        <is>
          <t>TALGO</t>
        </is>
      </c>
      <c r="B136" s="14">
        <f>IFERROR(INDEX(Companies!$A$3:$A$101,MATCH(A136,Companies!$B$3:$B$101,0)),"")</f>
        <v/>
      </c>
      <c r="C136" s="83" t="inlineStr">
        <is>
          <t>e00fce68483f936620657da1</t>
        </is>
      </c>
      <c r="D136" s="14" t="inlineStr">
        <is>
          <t>P032AD227872JAS</t>
        </is>
      </c>
      <c r="E136" s="14" t="inlineStr">
        <is>
          <t>GW2206-034</t>
        </is>
      </c>
      <c r="F136" s="14" t="inlineStr">
        <is>
          <t>Shipping</t>
        </is>
      </c>
      <c r="J136" s="2" t="inlineStr">
        <is>
          <t>Ni-MH</t>
        </is>
      </c>
      <c r="O136" s="14">
        <f>IFERROR(INDEX(Settings!$AC$3:$AC$95,MATCH(Gateways_DynamoDB!$F136,Settings!$B$3:$B$95,0)),"")</f>
        <v/>
      </c>
    </row>
    <row r="137" hidden="1">
      <c r="A137" s="14" t="inlineStr">
        <is>
          <t>TALGO</t>
        </is>
      </c>
      <c r="B137" s="14">
        <f>IFERROR(INDEX(Companies!$A$3:$A$101,MATCH(A137,Companies!$B$3:$B$101,0)),"")</f>
        <v/>
      </c>
      <c r="C137" s="83" t="inlineStr">
        <is>
          <t>e00fce6849ebd92417fc1ef0</t>
        </is>
      </c>
      <c r="D137" s="14" t="inlineStr">
        <is>
          <t>P032AD227N8PCMY</t>
        </is>
      </c>
      <c r="E137" s="14" t="inlineStr">
        <is>
          <t>GW2206-053</t>
        </is>
      </c>
      <c r="F137" s="14" t="inlineStr">
        <is>
          <t>Shipping</t>
        </is>
      </c>
      <c r="J137" s="2" t="inlineStr">
        <is>
          <t>Ni-MH</t>
        </is>
      </c>
      <c r="O137" s="14">
        <f>IFERROR(INDEX(Settings!$AC$3:$AC$95,MATCH(Gateways_DynamoDB!$F137,Settings!$B$3:$B$95,0)),"")</f>
        <v/>
      </c>
    </row>
    <row r="138" hidden="1">
      <c r="A138" s="14" t="inlineStr">
        <is>
          <t>TALGO</t>
        </is>
      </c>
      <c r="B138" s="14">
        <f>IFERROR(INDEX(Companies!$A$3:$A$101,MATCH(A138,Companies!$B$3:$B$101,0)),"")</f>
        <v/>
      </c>
      <c r="C138" s="83" t="inlineStr">
        <is>
          <t>e00fce68bf735c983fdfd7c0</t>
        </is>
      </c>
      <c r="D138" s="14" t="inlineStr">
        <is>
          <t>P032AD227BALMXE</t>
        </is>
      </c>
      <c r="E138" s="14" t="inlineStr">
        <is>
          <t>GW2206-081</t>
        </is>
      </c>
      <c r="F138" s="14" t="inlineStr">
        <is>
          <t>Shipping</t>
        </is>
      </c>
      <c r="J138" s="2" t="inlineStr">
        <is>
          <t>Ni-MH</t>
        </is>
      </c>
      <c r="O138" s="14">
        <f>IFERROR(INDEX(Settings!$AC$3:$AC$95,MATCH(Gateways_DynamoDB!$F138,Settings!$B$3:$B$95,0)),"")</f>
        <v/>
      </c>
    </row>
    <row r="139" hidden="1">
      <c r="A139" s="14" t="inlineStr">
        <is>
          <t>TALGO</t>
        </is>
      </c>
      <c r="B139" s="14">
        <f>IFERROR(INDEX(Companies!$A$3:$A$101,MATCH(A139,Companies!$B$3:$B$101,0)),"")</f>
        <v/>
      </c>
      <c r="C139" s="83" t="inlineStr">
        <is>
          <t>e00fce684a147cc93213dbfe</t>
        </is>
      </c>
      <c r="D139" s="14" t="inlineStr">
        <is>
          <t>P032AD227K2E5T6</t>
        </is>
      </c>
      <c r="E139" s="14" t="inlineStr">
        <is>
          <t>GW2206-020</t>
        </is>
      </c>
      <c r="F139" s="14" t="inlineStr">
        <is>
          <t>Shipping</t>
        </is>
      </c>
      <c r="J139" s="2" t="inlineStr">
        <is>
          <t>Ni-MH</t>
        </is>
      </c>
      <c r="O139" s="14">
        <f>IFERROR(INDEX(Settings!$AC$3:$AC$95,MATCH(Gateways_DynamoDB!$F139,Settings!$B$3:$B$95,0)),"")</f>
        <v/>
      </c>
    </row>
    <row r="140" hidden="1">
      <c r="A140" s="14" t="inlineStr">
        <is>
          <t>TRANSWAGGON</t>
        </is>
      </c>
      <c r="B140" s="14">
        <f>IFERROR(INDEX(Companies!$A$3:$A$101,MATCH(A140,Companies!$B$3:$B$101,0)),"")</f>
        <v/>
      </c>
      <c r="C140" s="83" t="inlineStr">
        <is>
          <t>e00fce68d64dc3027f38fc5f</t>
        </is>
      </c>
      <c r="D140" s="14" t="inlineStr">
        <is>
          <t>P032AD227HWX2U5</t>
        </is>
      </c>
      <c r="E140" s="14" t="inlineStr">
        <is>
          <t>GW2206-076</t>
        </is>
      </c>
      <c r="F140" s="14" t="inlineStr">
        <is>
          <t>Slow-5-12h</t>
        </is>
      </c>
      <c r="J140" s="2" t="inlineStr">
        <is>
          <t>Ni-MH</t>
        </is>
      </c>
      <c r="O140" s="14">
        <f>IFERROR(INDEX(Settings!$AC$3:$AC$95,MATCH(Gateways_DynamoDB!$F140,Settings!$B$3:$B$95,0)),"")</f>
        <v/>
      </c>
    </row>
    <row r="141" hidden="1">
      <c r="A141" s="14" t="inlineStr">
        <is>
          <t>TALGO</t>
        </is>
      </c>
      <c r="B141" s="14">
        <f>IFERROR(INDEX(Companies!$A$3:$A$101,MATCH(A141,Companies!$B$3:$B$101,0)),"")</f>
        <v/>
      </c>
      <c r="C141" s="83" t="inlineStr">
        <is>
          <t>e00fce686715edcf69b81a0c</t>
        </is>
      </c>
      <c r="D141" s="14" t="inlineStr">
        <is>
          <t>P032AD2274PAYN8</t>
        </is>
      </c>
      <c r="E141" s="14" t="inlineStr">
        <is>
          <t>GW2206-088</t>
        </is>
      </c>
      <c r="F141" s="14" t="inlineStr">
        <is>
          <t>Shipping</t>
        </is>
      </c>
      <c r="J141" s="2" t="inlineStr">
        <is>
          <t>Ni-MH</t>
        </is>
      </c>
      <c r="O141" s="14">
        <f>IFERROR(INDEX(Settings!$AC$3:$AC$95,MATCH(Gateways_DynamoDB!$F141,Settings!$B$3:$B$95,0)),"")</f>
        <v/>
      </c>
    </row>
    <row r="142" hidden="1">
      <c r="A142" s="14" t="inlineStr">
        <is>
          <t>TALGO</t>
        </is>
      </c>
      <c r="B142" s="14">
        <f>IFERROR(INDEX(Companies!$A$3:$A$101,MATCH(A142,Companies!$B$3:$B$101,0)),"")</f>
        <v/>
      </c>
      <c r="C142" s="83" t="inlineStr">
        <is>
          <t>e00fce68e678878f8ed20ea9</t>
        </is>
      </c>
      <c r="D142" s="14" t="inlineStr">
        <is>
          <t>P032AD227SP6CLV</t>
        </is>
      </c>
      <c r="E142" s="14" t="inlineStr">
        <is>
          <t>GW2206-011</t>
        </is>
      </c>
      <c r="F142" s="14" t="inlineStr">
        <is>
          <t>DD_ONLY_discovery</t>
        </is>
      </c>
      <c r="J142" s="2" t="inlineStr">
        <is>
          <t>Ni-MH</t>
        </is>
      </c>
      <c r="O142" s="14">
        <f>IFERROR(INDEX(Settings!$AC$3:$AC$95,MATCH(Gateways_DynamoDB!$F142,Settings!$B$3:$B$95,0)),"")</f>
        <v/>
      </c>
    </row>
    <row r="143" hidden="1">
      <c r="A143" s="14" t="inlineStr">
        <is>
          <t>TALGO</t>
        </is>
      </c>
      <c r="B143" s="14">
        <f>IFERROR(INDEX(Companies!$A$3:$A$101,MATCH(A143,Companies!$B$3:$B$101,0)),"")</f>
        <v/>
      </c>
      <c r="C143" s="83" t="inlineStr">
        <is>
          <t>e00fce68b1185013c4956393</t>
        </is>
      </c>
      <c r="D143" s="14" t="inlineStr">
        <is>
          <t>P032AD227DJ38SC</t>
        </is>
      </c>
      <c r="E143" s="14" t="inlineStr">
        <is>
          <t>GW2206-085</t>
        </is>
      </c>
      <c r="F143" s="14" t="inlineStr">
        <is>
          <t>Shipping</t>
        </is>
      </c>
      <c r="J143" s="2" t="inlineStr">
        <is>
          <t>Ni-MH</t>
        </is>
      </c>
      <c r="O143" s="14">
        <f>IFERROR(INDEX(Settings!$AC$3:$AC$95,MATCH(Gateways_DynamoDB!$F143,Settings!$B$3:$B$95,0)),"")</f>
        <v/>
      </c>
    </row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</sheetData>
  <autoFilter ref="A1:N218">
    <filterColumn colId="0" hiddenButton="0" showButton="1">
      <filters>
        <filter val="CFLCARGO"/>
      </filters>
    </filterColumn>
    <sortState ref="A2:N143">
      <sortCondition sortBy="cellColor" ref="E1:E218" dxfId="94"/>
    </sortState>
  </autoFilter>
  <conditionalFormatting sqref="A31">
    <cfRule type="duplicateValues" priority="9" dxfId="15"/>
    <cfRule type="duplicateValues" priority="10" dxfId="15"/>
  </conditionalFormatting>
  <conditionalFormatting sqref="A81">
    <cfRule type="duplicateValues" priority="863" dxfId="15"/>
  </conditionalFormatting>
  <conditionalFormatting sqref="A108">
    <cfRule type="duplicateValues" priority="862" dxfId="15"/>
  </conditionalFormatting>
  <conditionalFormatting sqref="A109">
    <cfRule type="duplicateValues" priority="861" dxfId="15"/>
  </conditionalFormatting>
  <conditionalFormatting sqref="C1:C46 C48:C1048576 D47">
    <cfRule type="duplicateValues" priority="878" dxfId="15"/>
    <cfRule type="duplicateValues" priority="874" dxfId="15"/>
  </conditionalFormatting>
  <conditionalFormatting sqref="D1:D1048576">
    <cfRule type="duplicateValues" priority="873" dxfId="15"/>
  </conditionalFormatting>
  <conditionalFormatting sqref="E1:E9 E11:E41 E43:E66 E68 E70:E109 E111:E1048576">
    <cfRule type="duplicateValues" priority="876" dxfId="15"/>
    <cfRule type="duplicateValues" priority="865" dxfId="15"/>
  </conditionalFormatting>
  <conditionalFormatting sqref="E42">
    <cfRule type="duplicateValues" priority="8" dxfId="15"/>
  </conditionalFormatting>
  <conditionalFormatting sqref="E67">
    <cfRule type="duplicateValues" priority="7" dxfId="15"/>
  </conditionalFormatting>
  <conditionalFormatting sqref="E69">
    <cfRule type="duplicateValues" priority="6" dxfId="15"/>
  </conditionalFormatting>
  <conditionalFormatting sqref="E110">
    <cfRule type="duplicateValues" priority="5" dxfId="15"/>
  </conditionalFormatting>
  <conditionalFormatting sqref="F1:F16 F18:F22 F26:F29 F34 F38 F42 F44 F50:F51 F54 F59:F61 F65:F66 F73 F75:F76 F80:F83 F86 F88:F89 F93 F98 F110:F111 F116">
    <cfRule type="cellIs" priority="860" operator="equal" dxfId="35">
      <formula>"Dev2"</formula>
    </cfRule>
    <cfRule type="cellIs" priority="859" operator="equal" dxfId="35">
      <formula>"Dev3"</formula>
    </cfRule>
    <cfRule type="cellIs" priority="864" operator="equal" dxfId="34">
      <formula>"Dev1"</formula>
    </cfRule>
  </conditionalFormatting>
  <conditionalFormatting sqref="F1:F1048576">
    <cfRule type="cellIs" priority="2" operator="equal" dxfId="76">
      <formula>"Fast-1-3h"</formula>
    </cfRule>
    <cfRule type="cellIs" priority="3" operator="equal" dxfId="75">
      <formula>"NO_SPEED_2h"</formula>
    </cfRule>
    <cfRule type="cellIs" priority="34" operator="equal" dxfId="2">
      <formula>"Slow-5-12h"</formula>
    </cfRule>
    <cfRule type="cellIs" priority="35" operator="equal" dxfId="1">
      <formula>"Shipping"</formula>
    </cfRule>
    <cfRule type="cellIs" priority="1" operator="equal" dxfId="72">
      <formula>"DD_ONLY_discovery"</formula>
    </cfRule>
    <cfRule type="cellIs" priority="27" operator="equal" dxfId="71">
      <formula>"Normal-V33"</formula>
    </cfRule>
    <cfRule type="cellIs" priority="28" operator="equal" dxfId="13">
      <formula>"Discovery"</formula>
    </cfRule>
    <cfRule type="cellIs" priority="29" operator="equal" dxfId="12">
      <formula>"Normal-2-6h"</formula>
    </cfRule>
    <cfRule type="cellIs" priority="31" operator="equal" dxfId="10">
      <formula>"TEST_F1-30min-4h"</formula>
    </cfRule>
    <cfRule type="cellIs" priority="32" operator="equal" dxfId="4">
      <formula>"Normal-4-12h"</formula>
    </cfRule>
    <cfRule type="cellIs" priority="33" operator="equal" dxfId="3">
      <formula>"Super Fast-20min-1h"</formula>
    </cfRule>
  </conditionalFormatting>
  <conditionalFormatting sqref="F30:F33">
    <cfRule type="cellIs" priority="219" operator="equal" dxfId="11">
      <formula>"TEST_F2-30min-1h"</formula>
    </cfRule>
  </conditionalFormatting>
  <conditionalFormatting sqref="F35:F37">
    <cfRule type="cellIs" priority="570" operator="equal" dxfId="11">
      <formula>"TEST_F2-30min-1h"</formula>
    </cfRule>
  </conditionalFormatting>
  <conditionalFormatting sqref="F39:F41">
    <cfRule type="cellIs" priority="552" operator="equal" dxfId="11">
      <formula>"TEST_F2-30min-1h"</formula>
    </cfRule>
  </conditionalFormatting>
  <conditionalFormatting sqref="F43">
    <cfRule type="cellIs" priority="822" operator="equal" dxfId="11">
      <formula>"TEST_F2-30min-1h"</formula>
    </cfRule>
  </conditionalFormatting>
  <conditionalFormatting sqref="F45:F49">
    <cfRule type="cellIs" priority="489" operator="equal" dxfId="11">
      <formula>"TEST_F2-30min-1h"</formula>
    </cfRule>
  </conditionalFormatting>
  <conditionalFormatting sqref="F52:F53">
    <cfRule type="cellIs" priority="471" operator="equal" dxfId="11">
      <formula>"TEST_F2-30min-1h"</formula>
    </cfRule>
  </conditionalFormatting>
  <conditionalFormatting sqref="F55:F58">
    <cfRule type="cellIs" priority="435" operator="equal" dxfId="11">
      <formula>"TEST_F2-30min-1h"</formula>
    </cfRule>
  </conditionalFormatting>
  <conditionalFormatting sqref="F62:F64">
    <cfRule type="cellIs" priority="210" operator="equal" dxfId="11">
      <formula>"TEST_F2-30min-1h"</formula>
    </cfRule>
  </conditionalFormatting>
  <conditionalFormatting sqref="F67:F72">
    <cfRule type="cellIs" priority="165" operator="equal" dxfId="11">
      <formula>"TEST_F2-30min-1h"</formula>
    </cfRule>
  </conditionalFormatting>
  <conditionalFormatting sqref="F74">
    <cfRule type="cellIs" priority="156" operator="equal" dxfId="11">
      <formula>"TEST_F2-30min-1h"</formula>
    </cfRule>
  </conditionalFormatting>
  <conditionalFormatting sqref="F17 F23:F25 F77:F79">
    <cfRule type="cellIs" priority="642" operator="equal" dxfId="11">
      <formula>"TEST_F2-30min-1h"</formula>
    </cfRule>
  </conditionalFormatting>
  <conditionalFormatting sqref="F78">
    <cfRule type="cellIs" priority="18" operator="equal" dxfId="34">
      <formula>"Dev1"</formula>
    </cfRule>
    <cfRule type="cellIs" priority="17" operator="equal" dxfId="35">
      <formula>"Dev2"</formula>
    </cfRule>
    <cfRule type="cellIs" priority="16" operator="equal" dxfId="35">
      <formula>"Dev3"</formula>
    </cfRule>
    <cfRule type="cellIs" priority="15" operator="equal" dxfId="37">
      <formula>"TEST_F2-30min-1h"</formula>
    </cfRule>
  </conditionalFormatting>
  <conditionalFormatting sqref="F84:F85">
    <cfRule type="cellIs" priority="399" operator="equal" dxfId="11">
      <formula>"TEST_F2-30min-1h"</formula>
    </cfRule>
  </conditionalFormatting>
  <conditionalFormatting sqref="F87">
    <cfRule type="cellIs" priority="390" operator="equal" dxfId="11">
      <formula>"TEST_F2-30min-1h"</formula>
    </cfRule>
  </conditionalFormatting>
  <conditionalFormatting sqref="F90:F92">
    <cfRule type="cellIs" priority="120" operator="equal" dxfId="11">
      <formula>"TEST_F2-30min-1h"</formula>
    </cfRule>
  </conditionalFormatting>
  <conditionalFormatting sqref="F94:F97">
    <cfRule type="cellIs" priority="111" operator="equal" dxfId="11">
      <formula>"TEST_F2-30min-1h"</formula>
    </cfRule>
  </conditionalFormatting>
  <conditionalFormatting sqref="F99:F109">
    <cfRule type="cellIs" priority="84" operator="equal" dxfId="11">
      <formula>"TEST_F2-30min-1h"</formula>
    </cfRule>
  </conditionalFormatting>
  <conditionalFormatting sqref="F112:F115">
    <cfRule type="cellIs" priority="75" operator="equal" dxfId="11">
      <formula>"TEST_F2-30min-1h"</formula>
    </cfRule>
  </conditionalFormatting>
  <conditionalFormatting sqref="F117:F118">
    <cfRule type="cellIs" priority="651" operator="equal" dxfId="11">
      <formula>"TEST_F2-30min-1h"</formula>
    </cfRule>
  </conditionalFormatting>
  <conditionalFormatting sqref="F1:F16 F18:F22 F26:F29 F34 F38 F42 F44 F50:F51 F54 F59:F61 F65:F66 F73 F75:F76 F80:F83 F86 F88:F89 F93 F98 F110:F111 F116 F119:F127 F132:F1048576">
    <cfRule type="cellIs" priority="857" operator="equal" dxfId="37">
      <formula>"TEST_F2-30min-1h"</formula>
    </cfRule>
  </conditionalFormatting>
  <conditionalFormatting sqref="F119:F127">
    <cfRule type="cellIs" priority="21" operator="equal" dxfId="35">
      <formula>"Dev2"</formula>
    </cfRule>
    <cfRule type="cellIs" priority="20" operator="equal" dxfId="35">
      <formula>"Dev3"</formula>
    </cfRule>
    <cfRule type="cellIs" priority="22" operator="equal" dxfId="34">
      <formula>"Dev1"</formula>
    </cfRule>
  </conditionalFormatting>
  <conditionalFormatting sqref="F125:F132">
    <cfRule type="cellIs" priority="30" operator="equal" dxfId="11">
      <formula>"TEST_F2-30min-1h"</formula>
    </cfRule>
  </conditionalFormatting>
  <conditionalFormatting sqref="F127">
    <cfRule type="cellIs" priority="19" operator="equal" dxfId="37">
      <formula>"TEST_F2-30min-1h"</formula>
    </cfRule>
  </conditionalFormatting>
  <conditionalFormatting sqref="F131">
    <cfRule type="cellIs" priority="11" operator="equal" dxfId="37">
      <formula>"TEST_F2-30min-1h"</formula>
    </cfRule>
  </conditionalFormatting>
  <conditionalFormatting sqref="F131:F1048576">
    <cfRule type="cellIs" priority="13" operator="equal" dxfId="35">
      <formula>"Dev2"</formula>
    </cfRule>
    <cfRule type="cellIs" priority="12" operator="equal" dxfId="35">
      <formula>"Dev3"</formula>
    </cfRule>
    <cfRule type="cellIs" priority="14" operator="equal" dxfId="34">
      <formula>"Dev1"</formula>
    </cfRule>
  </conditionalFormatting>
  <conditionalFormatting sqref="I1:I1048576">
    <cfRule type="cellIs" priority="877" operator="equal" dxfId="33">
      <formula>"T524M"</formula>
    </cfRule>
  </conditionalFormatting>
  <dataValidations count="1">
    <dataValidation sqref="K1:K1048576" showDropDown="0" showInputMessage="1" showErrorMessage="1" allowBlank="0" type="date" operator="greaterThan">
      <formula1>36891</formula1>
    </dataValidation>
  </dataValidations>
  <pageMargins left="0.7" right="0.7" top="0.75" bottom="0.75" header="0.3" footer="0.3"/>
  <pageSetup orientation="portrait" paperSize="9" horizontalDpi="360" verticalDpi="360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2351"/>
  <sheetViews>
    <sheetView tabSelected="1" zoomScaleNormal="100" workbookViewId="0">
      <pane ySplit="1" topLeftCell="A2" activePane="bottomLeft" state="frozen"/>
      <selection pane="bottomLeft" activeCell="A3" sqref="A3:XFD7"/>
    </sheetView>
  </sheetViews>
  <sheetFormatPr baseColWidth="8" defaultColWidth="9.140625" defaultRowHeight="15"/>
  <cols>
    <col width="18.42578125" bestFit="1" customWidth="1" style="32" min="1" max="1"/>
    <col width="27.85546875" bestFit="1" customWidth="1" min="2" max="2"/>
    <col width="14.42578125" bestFit="1" customWidth="1" min="3" max="3"/>
    <col width="15.42578125" bestFit="1" customWidth="1" min="4" max="4"/>
    <col width="18.42578125" bestFit="1" customWidth="1" min="5" max="5"/>
    <col width="18.7109375" bestFit="1" customWidth="1" style="29" min="6" max="6"/>
    <col width="14.140625" bestFit="1" customWidth="1" style="29" min="7" max="7"/>
    <col width="22.5703125" customWidth="1" min="8" max="8"/>
    <col width="14.7109375" bestFit="1" customWidth="1" min="9" max="9"/>
    <col width="22.85546875" customWidth="1" min="10" max="10"/>
    <col width="17.42578125" bestFit="1" customWidth="1" style="27" min="11" max="11"/>
    <col width="12.85546875" bestFit="1" customWidth="1" style="27" min="12" max="12"/>
    <col width="16.42578125" bestFit="1" customWidth="1" style="61" min="13" max="13"/>
    <col width="47.7109375" bestFit="1" customWidth="1" style="99" min="14" max="14"/>
    <col width="13.140625" bestFit="1" customWidth="1" min="15" max="15"/>
    <col width="10.42578125" bestFit="1" customWidth="1" min="16" max="16"/>
    <col width="9.140625" customWidth="1" min="17" max="17"/>
  </cols>
  <sheetData>
    <row r="1" customFormat="1" s="3">
      <c r="A1" s="31" t="inlineStr">
        <is>
          <t>operator_name</t>
        </is>
      </c>
      <c r="B1" s="17" t="inlineStr">
        <is>
          <t>operator_id</t>
        </is>
      </c>
      <c r="C1" s="3" t="inlineStr">
        <is>
          <t>wagon_type</t>
        </is>
      </c>
      <c r="D1" s="3" t="inlineStr">
        <is>
          <t>mac_addr</t>
        </is>
      </c>
      <c r="E1" s="3" t="inlineStr">
        <is>
          <t>mac_addr_full</t>
        </is>
      </c>
      <c r="F1" s="31" t="inlineStr">
        <is>
          <t>installation_date</t>
        </is>
      </c>
      <c r="G1" s="31" t="inlineStr">
        <is>
          <t>installed_by</t>
        </is>
      </c>
      <c r="H1" s="3" t="inlineStr">
        <is>
          <t>sn</t>
        </is>
      </c>
      <c r="I1" s="3" t="inlineStr">
        <is>
          <t>harvester_id</t>
        </is>
      </c>
      <c r="J1" s="17" t="inlineStr">
        <is>
          <t>case_nr</t>
        </is>
      </c>
      <c r="K1" s="38" t="inlineStr">
        <is>
          <t>wagon_nr</t>
        </is>
      </c>
      <c r="L1" s="38" t="inlineStr">
        <is>
          <t>placement</t>
        </is>
      </c>
      <c r="M1" s="60" t="inlineStr">
        <is>
          <t>axle_nr</t>
        </is>
      </c>
      <c r="N1" s="98" t="inlineStr">
        <is>
          <t>note</t>
        </is>
      </c>
      <c r="O1" s="3" t="inlineStr">
        <is>
          <t>fw_version</t>
        </is>
      </c>
      <c r="P1" s="3" t="inlineStr">
        <is>
          <t>pcb_sn</t>
        </is>
      </c>
    </row>
    <row r="2">
      <c r="A2" s="32">
        <f>IFERROR(_xlfn.IFNA(INDEX(Sensors_MANU!$E$2:$E$4692,MATCH($D2,Sensors_MANU!$B$2:$B$4692,0)),INDEX(Sensors_MANU!$E$2:$E$4692,MATCH($P2,Sensors_MANU!$A$2:$A$4692,0))),"")</f>
        <v/>
      </c>
      <c r="B2" s="24">
        <f>IFERROR(INDEX(Companies!$A$3:$A$101,MATCH(A2,Companies!$B$3:$B$101,0)),"")</f>
        <v/>
      </c>
      <c r="C2" t="inlineStr">
        <is>
          <t>Cargo</t>
        </is>
      </c>
      <c r="D2" t="inlineStr">
        <is>
          <t>EC5EDE1E5DAC</t>
        </is>
      </c>
      <c r="E2">
        <f>LEFT(D2,2)&amp;":"&amp;MID(D2,3,2)&amp;":"&amp;MID(D2,5,2)&amp;":"&amp;MID(D2,7,2)&amp;":"&amp;MID(D2,9,2)&amp;":"&amp;RIGHT(D2,2)</f>
        <v/>
      </c>
      <c r="H2" t="inlineStr">
        <is>
          <t>9BD0F696F03648E2</t>
        </is>
      </c>
      <c r="I2" s="6">
        <f>IFERROR(_xlfn.IFNA(INDEX(Sensors_MANU!$C$2:$C$4692,MATCH($D2,Sensors_MANU!$B$2:$B$4692,0)),INDEX(Sensors_MANU!$C$2:$C$4692,MATCH($P2,Sensors_MANU!$A$2:$A$4692,0))),"")</f>
        <v/>
      </c>
      <c r="J2">
        <f>IFERROR(_xlfn.IFNA(INDEX(Sensors_MANU!$D$2:$D$4692,MATCH($D2,Sensors_MANU!$B$2:$B$4692,0)),INDEX(Sensors_MANU!$D$2:$D$4692,MATCH($P2,Sensors_MANU!$A$2:$A$4692,0))),"")</f>
        <v/>
      </c>
      <c r="K2" s="35" t="n"/>
      <c r="L2" s="35" t="n"/>
      <c r="M2" s="35" t="n"/>
      <c r="N2" s="99">
        <f>IFERROR(INDEX(Sensors_MANU!$G$2:$G$4692,MATCH($P2,Sensors_MANU!$A$2:$A$4692,0)),)</f>
        <v/>
      </c>
      <c r="O2" s="6" t="inlineStr">
        <is>
          <t>v15</t>
        </is>
      </c>
      <c r="P2" t="n">
        <v>4978893</v>
      </c>
    </row>
    <row r="3">
      <c r="B3" s="24" t="n"/>
      <c r="D3" t="inlineStr">
        <is>
          <t>FFD3024FF294</t>
        </is>
      </c>
      <c r="H3" t="inlineStr">
        <is>
          <t>1CB77F4BF34E379E</t>
        </is>
      </c>
      <c r="I3" s="6" t="n"/>
      <c r="J3" t="inlineStr">
        <is>
          <t>VIEZO1CB77F4BF34E379E</t>
        </is>
      </c>
      <c r="K3" s="35" t="n"/>
      <c r="L3" s="35" t="n"/>
      <c r="M3" s="35" t="n"/>
      <c r="O3" s="6" t="n"/>
    </row>
    <row r="4">
      <c r="B4" s="24" t="n"/>
      <c r="D4" t="inlineStr">
        <is>
          <t>F0842AA2C9A4</t>
        </is>
      </c>
      <c r="H4" t="inlineStr">
        <is>
          <t>6771875AE0A36811</t>
        </is>
      </c>
      <c r="J4" t="inlineStr">
        <is>
          <t>VIEZO6771875AE0A36811</t>
        </is>
      </c>
      <c r="M4" s="27" t="n"/>
      <c r="O4" s="6" t="n"/>
    </row>
    <row r="5">
      <c r="B5" s="24" t="n"/>
      <c r="D5" t="inlineStr">
        <is>
          <t>F81E2490F9EC</t>
        </is>
      </c>
      <c r="H5" t="inlineStr">
        <is>
          <t>08BE71E6F7DB7373</t>
        </is>
      </c>
      <c r="J5" t="inlineStr">
        <is>
          <t>VIEZO08BE71E6F7DB7373</t>
        </is>
      </c>
      <c r="M5" s="27" t="n"/>
      <c r="O5" s="6" t="n"/>
    </row>
    <row r="6">
      <c r="B6" s="24" t="n"/>
      <c r="M6" s="27" t="n"/>
      <c r="O6" s="6" t="n"/>
    </row>
    <row r="7">
      <c r="B7" s="24" t="n"/>
      <c r="M7" s="27" t="n"/>
      <c r="O7" s="6" t="n"/>
    </row>
    <row r="8">
      <c r="B8" s="24" t="n"/>
      <c r="M8" s="27" t="n"/>
      <c r="O8" s="6" t="n"/>
    </row>
    <row r="9">
      <c r="B9" s="24" t="n"/>
      <c r="M9" s="27" t="n"/>
      <c r="O9" s="6" t="n"/>
    </row>
    <row r="10">
      <c r="B10" s="24" t="n"/>
      <c r="M10" s="27" t="n"/>
      <c r="O10" s="6" t="n"/>
    </row>
    <row r="11">
      <c r="B11" s="24" t="n"/>
      <c r="M11" s="27" t="n"/>
      <c r="O11" s="6" t="n"/>
    </row>
    <row r="12">
      <c r="B12" s="24" t="n"/>
      <c r="M12" s="27" t="n"/>
      <c r="O12" s="6" t="n"/>
    </row>
    <row r="13">
      <c r="B13" s="24" t="n"/>
      <c r="M13" s="27" t="n"/>
      <c r="O13" s="6" t="n"/>
    </row>
    <row r="14">
      <c r="B14" s="24" t="n"/>
      <c r="M14" s="27" t="n"/>
      <c r="O14" s="6" t="n"/>
    </row>
    <row r="15">
      <c r="B15" s="24" t="n"/>
      <c r="I15" s="6" t="n"/>
      <c r="K15" s="35" t="n"/>
      <c r="L15" s="35" t="n"/>
      <c r="M15" s="35" t="n"/>
      <c r="O15" s="6" t="n"/>
    </row>
    <row r="16">
      <c r="B16" s="24" t="n"/>
      <c r="I16" s="6" t="n"/>
      <c r="K16" s="35" t="n"/>
      <c r="L16" s="35" t="n"/>
      <c r="M16" s="35" t="n"/>
      <c r="O16" s="6" t="n"/>
    </row>
    <row r="17">
      <c r="B17" s="24" t="n"/>
      <c r="I17" s="6" t="n"/>
      <c r="K17" s="35" t="n"/>
      <c r="L17" s="35" t="n"/>
      <c r="M17" s="35" t="n"/>
      <c r="O17" s="6" t="n"/>
    </row>
    <row r="18">
      <c r="B18" s="24" t="n"/>
      <c r="I18" s="6" t="n"/>
      <c r="K18" s="35" t="n"/>
      <c r="L18" s="35" t="n"/>
      <c r="M18" s="35" t="n"/>
      <c r="O18" s="6" t="n"/>
    </row>
    <row r="19">
      <c r="B19" s="24" t="n"/>
      <c r="I19" s="6" t="n"/>
      <c r="K19" s="35" t="n"/>
      <c r="L19" s="35" t="n"/>
      <c r="M19" s="35" t="n"/>
      <c r="O19" s="6" t="n"/>
    </row>
    <row r="20">
      <c r="B20" s="24" t="n"/>
      <c r="I20" s="6" t="n"/>
      <c r="K20" s="35" t="n"/>
      <c r="L20" s="35" t="n"/>
      <c r="M20" s="35" t="n"/>
      <c r="O20" s="6" t="n"/>
    </row>
    <row r="21">
      <c r="B21" s="24" t="n"/>
      <c r="I21" s="6" t="n"/>
      <c r="K21" s="35" t="n"/>
      <c r="L21" s="35" t="n"/>
      <c r="M21" s="35" t="n"/>
      <c r="O21" s="6" t="n"/>
    </row>
    <row r="22">
      <c r="B22" s="24" t="n"/>
      <c r="I22" s="6" t="n"/>
      <c r="K22" s="35" t="n"/>
      <c r="L22" s="35" t="n"/>
      <c r="M22" s="35" t="n"/>
      <c r="O22" s="6" t="n"/>
    </row>
    <row r="23">
      <c r="B23" s="24" t="n"/>
      <c r="M23" s="27" t="n"/>
      <c r="O23" s="6" t="n"/>
    </row>
    <row r="24">
      <c r="B24" s="24" t="n"/>
      <c r="M24" s="27" t="n"/>
      <c r="O24" s="6" t="n"/>
    </row>
    <row r="25">
      <c r="B25" s="24" t="n"/>
      <c r="M25" s="27" t="n"/>
      <c r="O25" s="6" t="n"/>
    </row>
    <row r="26">
      <c r="B26" s="24" t="n"/>
      <c r="M26" s="27" t="n"/>
      <c r="O26" s="6" t="n"/>
    </row>
    <row r="27">
      <c r="B27" s="24" t="n"/>
      <c r="M27" s="27" t="n"/>
      <c r="O27" s="6" t="n"/>
    </row>
    <row r="28">
      <c r="B28" s="24" t="n"/>
      <c r="O28" s="6" t="n"/>
    </row>
    <row r="29">
      <c r="B29" s="24" t="n"/>
      <c r="D29" s="25" t="n"/>
      <c r="E29" s="24" t="n"/>
      <c r="O29" s="6" t="n"/>
    </row>
    <row r="30">
      <c r="B30" s="24" t="n"/>
    </row>
    <row r="31">
      <c r="B31" s="24" t="n"/>
    </row>
    <row r="32">
      <c r="B32" s="24" t="n"/>
    </row>
    <row r="33">
      <c r="B33" s="24" t="n"/>
    </row>
    <row r="34">
      <c r="B34" s="24" t="n"/>
    </row>
    <row r="35">
      <c r="B35" s="24" t="n"/>
    </row>
    <row r="36">
      <c r="B36" s="24" t="n"/>
      <c r="M36" s="27" t="n"/>
      <c r="O36" s="6" t="n"/>
    </row>
    <row r="37">
      <c r="B37" s="24" t="n"/>
      <c r="M37" s="27" t="n"/>
      <c r="O37" s="6" t="n"/>
    </row>
    <row r="38">
      <c r="B38" s="24" t="n"/>
      <c r="M38" s="27" t="n"/>
      <c r="O38" s="6" t="n"/>
    </row>
    <row r="39">
      <c r="B39" s="24" t="n"/>
      <c r="O39" s="6" t="n"/>
    </row>
    <row r="40">
      <c r="B40" s="24" t="n"/>
      <c r="M40" s="27" t="n"/>
      <c r="O40" s="6" t="n"/>
    </row>
    <row r="41">
      <c r="B41" s="24" t="n"/>
      <c r="M41" s="27" t="n"/>
      <c r="O41" s="6" t="n"/>
    </row>
    <row r="42">
      <c r="B42" s="24" t="n"/>
      <c r="M42" s="27" t="n"/>
      <c r="O42" s="6" t="n"/>
    </row>
    <row r="43">
      <c r="B43" s="24" t="n"/>
      <c r="M43" s="27" t="n"/>
      <c r="O43" s="6" t="n"/>
    </row>
    <row r="44">
      <c r="B44" s="24" t="n"/>
      <c r="M44" s="27" t="n"/>
      <c r="O44" s="6" t="n"/>
    </row>
    <row r="45">
      <c r="B45" s="24" t="n"/>
      <c r="J45" s="7" t="n"/>
      <c r="M45" s="27" t="n"/>
      <c r="O45" s="6" t="n"/>
    </row>
    <row r="46">
      <c r="B46" s="24" t="n"/>
      <c r="M46" s="27" t="n"/>
      <c r="O46" s="6" t="n"/>
    </row>
    <row r="47">
      <c r="B47" s="24" t="n"/>
      <c r="M47" s="27" t="n"/>
      <c r="O47" s="6" t="n"/>
    </row>
    <row r="48">
      <c r="B48" s="24" t="n"/>
      <c r="M48" s="27" t="n"/>
      <c r="O48" s="6" t="n"/>
    </row>
    <row r="49">
      <c r="B49" s="24" t="n"/>
      <c r="J49" s="7" t="n"/>
      <c r="M49" s="27" t="n"/>
      <c r="O49" s="6" t="n"/>
    </row>
    <row r="50">
      <c r="B50" s="24" t="n"/>
      <c r="M50" s="27" t="n"/>
      <c r="O50" s="6" t="n"/>
    </row>
    <row r="51">
      <c r="B51" s="24" t="n"/>
      <c r="M51" s="27" t="n"/>
      <c r="O51" s="6" t="n"/>
    </row>
    <row r="52">
      <c r="B52" s="24" t="n"/>
      <c r="M52" s="27" t="n"/>
      <c r="O52" s="6" t="n"/>
    </row>
    <row r="53">
      <c r="B53" s="24" t="n"/>
      <c r="J53" s="7" t="n"/>
      <c r="M53" s="27" t="n"/>
      <c r="O53" s="6" t="n"/>
    </row>
    <row r="54">
      <c r="B54" s="24" t="n"/>
      <c r="M54" s="27" t="n"/>
      <c r="O54" s="6" t="n"/>
    </row>
    <row r="55">
      <c r="B55" s="24" t="n"/>
      <c r="M55" s="27" t="n"/>
      <c r="O55" s="6" t="n"/>
    </row>
    <row r="56">
      <c r="B56" s="24" t="n"/>
      <c r="M56" s="27" t="n"/>
      <c r="O56" s="6" t="n"/>
    </row>
    <row r="57">
      <c r="B57" s="24" t="n"/>
      <c r="M57" s="27" t="n"/>
      <c r="O57" s="6" t="n"/>
    </row>
    <row r="58">
      <c r="B58" s="24" t="n"/>
      <c r="M58" s="27" t="n"/>
      <c r="O58" s="6" t="n"/>
    </row>
    <row r="59">
      <c r="B59" s="24" t="n"/>
      <c r="M59" s="27" t="n"/>
      <c r="O59" s="6" t="n"/>
    </row>
    <row r="60">
      <c r="B60" s="24" t="n"/>
      <c r="M60" s="27" t="n"/>
      <c r="O60" s="6" t="n"/>
    </row>
    <row r="61">
      <c r="B61" s="24" t="n"/>
      <c r="M61" s="27" t="n"/>
      <c r="O61" s="6" t="n"/>
    </row>
    <row r="62">
      <c r="B62" s="24" t="n"/>
      <c r="M62" s="27" t="n"/>
      <c r="O62" s="6" t="n"/>
    </row>
    <row r="63">
      <c r="B63" s="24" t="n"/>
      <c r="M63" s="27" t="n"/>
      <c r="O63" s="6" t="n"/>
    </row>
    <row r="64">
      <c r="B64" s="24" t="n"/>
      <c r="M64" s="27" t="n"/>
      <c r="O64" s="6" t="n"/>
    </row>
    <row r="65">
      <c r="B65" s="24" t="n"/>
      <c r="M65" s="27" t="n"/>
      <c r="O65" s="6" t="n"/>
    </row>
    <row r="66">
      <c r="B66" s="24" t="n"/>
      <c r="D66" s="50" t="n"/>
      <c r="E66" s="24" t="n"/>
      <c r="H66" s="26" t="n"/>
      <c r="O66" s="6" t="n"/>
    </row>
    <row r="67">
      <c r="B67" s="24" t="n"/>
      <c r="D67" s="25" t="n"/>
      <c r="E67" s="24" t="n"/>
      <c r="O67" s="6" t="n"/>
    </row>
    <row r="68">
      <c r="B68" s="24" t="n"/>
      <c r="D68" s="25" t="n"/>
      <c r="E68" s="24" t="n"/>
      <c r="O68" s="6" t="n"/>
    </row>
    <row r="69">
      <c r="B69" s="24" t="n"/>
      <c r="D69" s="25" t="n"/>
      <c r="E69" s="24" t="n"/>
      <c r="O69" s="6" t="n"/>
    </row>
    <row r="70">
      <c r="B70" s="24" t="n"/>
      <c r="D70" s="25" t="n"/>
      <c r="E70" s="24" t="n"/>
      <c r="O70" s="6" t="n"/>
    </row>
    <row r="71">
      <c r="B71" s="24" t="n"/>
      <c r="E71" s="24" t="n"/>
      <c r="O71" s="6" t="n"/>
    </row>
    <row r="72">
      <c r="B72" s="24" t="n"/>
      <c r="E72" s="24" t="n"/>
      <c r="O72" s="6" t="n"/>
    </row>
    <row r="73">
      <c r="B73" s="24" t="n"/>
      <c r="E73" s="24" t="n"/>
      <c r="O73" s="6" t="n"/>
    </row>
    <row r="74">
      <c r="B74" s="24" t="n"/>
      <c r="E74" s="24" t="n"/>
      <c r="O74" s="6" t="n"/>
    </row>
    <row r="75">
      <c r="B75" s="24" t="n"/>
      <c r="E75" s="24" t="n"/>
      <c r="O75" s="6" t="n"/>
    </row>
    <row r="76">
      <c r="B76" s="24" t="n"/>
      <c r="E76" s="24" t="n"/>
      <c r="O76" s="6" t="n"/>
    </row>
    <row r="77">
      <c r="B77" s="24" t="n"/>
      <c r="E77" s="24" t="n"/>
      <c r="O77" s="6" t="n"/>
    </row>
    <row r="78">
      <c r="B78" s="24" t="n"/>
      <c r="E78" s="24" t="n"/>
      <c r="O78" s="6" t="n"/>
    </row>
    <row r="79">
      <c r="B79" s="24" t="n"/>
      <c r="D79" s="25" t="n"/>
      <c r="E79" s="24" t="n"/>
      <c r="O79" s="6" t="n"/>
    </row>
    <row r="80">
      <c r="B80" s="24" t="n"/>
      <c r="D80" s="25" t="n"/>
      <c r="E80" s="24" t="n"/>
      <c r="O80" s="6" t="n"/>
    </row>
    <row r="81">
      <c r="B81" s="24" t="n"/>
      <c r="D81" s="25" t="n"/>
      <c r="E81" s="24" t="n"/>
      <c r="O81" s="6" t="n"/>
    </row>
    <row r="82">
      <c r="B82" s="24" t="n"/>
      <c r="E82" s="24" t="n"/>
      <c r="O82" s="6" t="n"/>
    </row>
    <row r="83">
      <c r="B83" s="24" t="n"/>
      <c r="E83" s="24" t="n"/>
      <c r="O83" s="6" t="n"/>
    </row>
    <row r="84">
      <c r="B84" s="24" t="n"/>
      <c r="E84" s="24" t="n"/>
      <c r="O84" s="6" t="n"/>
    </row>
    <row r="85">
      <c r="B85" s="24" t="n"/>
      <c r="E85" s="24" t="n"/>
      <c r="O85" s="6" t="n"/>
    </row>
    <row r="86">
      <c r="B86" s="24" t="n"/>
      <c r="E86" s="24" t="n"/>
      <c r="O86" s="6" t="n"/>
    </row>
    <row r="87">
      <c r="B87" s="24" t="n"/>
      <c r="E87" s="24" t="n"/>
      <c r="O87" s="6" t="n"/>
    </row>
    <row r="88">
      <c r="B88" s="24" t="n"/>
      <c r="E88" s="24" t="n"/>
      <c r="O88" s="6" t="n"/>
    </row>
    <row r="89">
      <c r="B89" s="24" t="n"/>
    </row>
    <row r="90">
      <c r="B90" s="24" t="n"/>
    </row>
    <row r="91">
      <c r="B91" s="24" t="n"/>
    </row>
    <row r="92">
      <c r="E92" s="24" t="n"/>
      <c r="N92" s="102" t="n"/>
    </row>
    <row r="93">
      <c r="B93" s="24" t="n"/>
      <c r="E93" s="24" t="n"/>
    </row>
    <row r="94">
      <c r="E94" s="24" t="n"/>
    </row>
    <row r="95">
      <c r="E95" s="24" t="n"/>
    </row>
    <row r="96">
      <c r="E96" s="24" t="n"/>
    </row>
    <row r="97">
      <c r="E97" s="24" t="n"/>
    </row>
    <row r="98">
      <c r="E98" s="24" t="n"/>
    </row>
    <row r="99">
      <c r="E99" s="24" t="n"/>
    </row>
    <row r="100">
      <c r="E100" s="24" t="n"/>
    </row>
    <row r="101">
      <c r="E101" s="24" t="n"/>
    </row>
    <row r="102">
      <c r="E102" s="24" t="n"/>
    </row>
    <row r="103">
      <c r="E103" s="24" t="n"/>
    </row>
    <row r="104">
      <c r="E104" s="24" t="n"/>
    </row>
    <row r="105">
      <c r="E105" s="24" t="n"/>
    </row>
    <row r="106">
      <c r="E106" s="24" t="n"/>
    </row>
    <row r="107">
      <c r="E107" s="24" t="n"/>
    </row>
    <row r="108">
      <c r="E108" s="24" t="n"/>
    </row>
    <row r="109">
      <c r="E109" s="24" t="n"/>
    </row>
    <row r="110">
      <c r="E110" s="24" t="n"/>
    </row>
    <row r="111">
      <c r="E111" s="24" t="n"/>
    </row>
    <row r="112">
      <c r="E112" s="24" t="n"/>
    </row>
    <row r="113">
      <c r="E113" s="24" t="n"/>
    </row>
    <row r="114">
      <c r="E114" s="24" t="n"/>
    </row>
    <row r="115">
      <c r="E115" s="24" t="n"/>
    </row>
    <row r="116">
      <c r="E116" s="24" t="n"/>
    </row>
    <row r="117">
      <c r="E117" s="24" t="n"/>
    </row>
    <row r="118">
      <c r="E118" s="24" t="n"/>
    </row>
    <row r="119">
      <c r="E119" s="24" t="n"/>
    </row>
    <row r="120">
      <c r="E120" s="24" t="n"/>
    </row>
    <row r="121">
      <c r="E121" s="24" t="n"/>
    </row>
    <row r="122">
      <c r="E122" s="24" t="n"/>
    </row>
    <row r="123">
      <c r="E123" s="24" t="n"/>
    </row>
    <row r="124">
      <c r="E124" s="24" t="n"/>
    </row>
    <row r="125">
      <c r="E125" s="24" t="n"/>
    </row>
    <row r="126">
      <c r="E126" s="24" t="n"/>
    </row>
    <row r="127">
      <c r="E127" s="24" t="n"/>
    </row>
    <row r="128">
      <c r="E128" s="24" t="n"/>
    </row>
    <row r="129">
      <c r="E129" s="24" t="n"/>
    </row>
    <row r="130">
      <c r="E130" s="24" t="n"/>
    </row>
    <row r="131">
      <c r="E131" s="24" t="n"/>
    </row>
    <row r="132">
      <c r="E132" s="24" t="n"/>
    </row>
    <row r="133">
      <c r="E133" s="24" t="n"/>
    </row>
    <row r="134">
      <c r="E134" s="24" t="n"/>
    </row>
    <row r="135">
      <c r="E135" s="24" t="n"/>
    </row>
    <row r="136">
      <c r="E136" s="24" t="n"/>
    </row>
    <row r="137">
      <c r="E137" s="24" t="n"/>
    </row>
    <row r="138">
      <c r="E138" s="24" t="n"/>
    </row>
    <row r="139">
      <c r="E139" s="24" t="n"/>
    </row>
    <row r="140">
      <c r="E140" s="24" t="n"/>
    </row>
    <row r="141">
      <c r="E141" s="24" t="n"/>
    </row>
    <row r="142">
      <c r="E142" s="24" t="n"/>
    </row>
    <row r="143">
      <c r="E143" s="24" t="n"/>
    </row>
    <row r="144">
      <c r="E144" s="24" t="n"/>
    </row>
    <row r="145">
      <c r="E145" s="24" t="n"/>
    </row>
    <row r="146">
      <c r="E146" s="24" t="n"/>
    </row>
    <row r="147">
      <c r="E147" s="24" t="n"/>
    </row>
    <row r="148">
      <c r="E148" s="24" t="n"/>
    </row>
    <row r="149">
      <c r="A149" s="110" t="n"/>
      <c r="E149" s="24" t="n"/>
    </row>
    <row r="150">
      <c r="E150" s="24" t="n"/>
    </row>
    <row r="151">
      <c r="E151" s="24" t="n"/>
    </row>
    <row r="152">
      <c r="E152" s="24" t="n"/>
    </row>
    <row r="153">
      <c r="E153" s="24" t="n"/>
    </row>
    <row r="154">
      <c r="E154" s="24" t="n"/>
    </row>
    <row r="155">
      <c r="E155" s="24" t="n"/>
    </row>
    <row r="156">
      <c r="E156" s="24" t="n"/>
    </row>
    <row r="157">
      <c r="E157" s="24" t="n"/>
    </row>
    <row r="158">
      <c r="E158" s="24" t="n"/>
    </row>
    <row r="159">
      <c r="A159" s="110" t="n"/>
      <c r="E159" s="24" t="n"/>
    </row>
    <row r="160">
      <c r="A160" s="110" t="n"/>
      <c r="E160" s="24" t="n"/>
    </row>
    <row r="161">
      <c r="E161" s="24" t="n"/>
    </row>
    <row r="162">
      <c r="B162" s="24" t="n"/>
      <c r="C162" s="4" t="n"/>
      <c r="D162" s="4" t="n"/>
      <c r="F162" s="33" t="n"/>
      <c r="G162" s="33" t="n"/>
      <c r="H162" s="4" t="n"/>
      <c r="I162" s="5" t="n"/>
      <c r="J162" s="62" t="n"/>
      <c r="K162" s="32" t="n"/>
      <c r="L162" s="32" t="n"/>
      <c r="M162" s="32" t="n"/>
      <c r="N162" s="100" t="n"/>
      <c r="O162" s="6" t="n"/>
    </row>
    <row r="163">
      <c r="B163" s="24" t="n"/>
      <c r="C163" s="4" t="n"/>
      <c r="D163" s="4" t="n"/>
      <c r="F163" s="33" t="n"/>
      <c r="G163" s="33" t="n"/>
      <c r="H163" s="4" t="n"/>
      <c r="I163" s="5" t="n"/>
      <c r="J163" s="62" t="n"/>
      <c r="K163" s="32" t="n"/>
      <c r="L163" s="32" t="n"/>
      <c r="M163" s="32" t="n"/>
      <c r="N163" s="100" t="n"/>
      <c r="O163" s="6" t="n"/>
    </row>
    <row r="164">
      <c r="B164" s="24" t="n"/>
      <c r="C164" s="4" t="n"/>
      <c r="D164" s="4" t="n"/>
      <c r="F164" s="33" t="n"/>
      <c r="G164" s="33" t="n"/>
      <c r="H164" s="4" t="n"/>
      <c r="I164" s="5" t="n"/>
      <c r="J164" s="62" t="n"/>
      <c r="K164" s="32" t="n"/>
      <c r="L164" s="32" t="n"/>
      <c r="M164" s="32" t="n"/>
      <c r="N164" s="100" t="n"/>
      <c r="O164" s="6" t="n"/>
    </row>
    <row r="165">
      <c r="B165" s="24" t="n"/>
      <c r="C165" s="4" t="n"/>
      <c r="D165" s="4" t="n"/>
      <c r="F165" s="33" t="n"/>
      <c r="G165" s="33" t="n"/>
      <c r="H165" s="4" t="n"/>
      <c r="I165" s="5" t="n"/>
      <c r="J165" s="62" t="n"/>
      <c r="K165" s="32" t="n"/>
      <c r="L165" s="32" t="n"/>
      <c r="M165" s="32" t="n"/>
      <c r="N165" s="100" t="n"/>
      <c r="O165" s="6" t="n"/>
    </row>
    <row r="166">
      <c r="B166" s="24" t="n"/>
      <c r="C166" s="4" t="n"/>
      <c r="D166" s="4" t="n"/>
      <c r="F166" s="33" t="n"/>
      <c r="G166" s="33" t="n"/>
      <c r="H166" s="4" t="n"/>
      <c r="I166" s="5" t="n"/>
      <c r="J166" s="62" t="n"/>
      <c r="K166" s="32" t="n"/>
      <c r="L166" s="32" t="n"/>
      <c r="M166" s="32" t="n"/>
      <c r="N166" s="100" t="n"/>
      <c r="O166" s="6" t="n"/>
    </row>
    <row r="167">
      <c r="B167" s="24" t="n"/>
      <c r="C167" s="4" t="n"/>
      <c r="D167" s="4" t="n"/>
      <c r="F167" s="33" t="n"/>
      <c r="G167" s="33" t="n"/>
      <c r="H167" s="4" t="n"/>
      <c r="I167" s="5" t="n"/>
      <c r="J167" s="62" t="n"/>
      <c r="K167" s="32" t="n"/>
      <c r="L167" s="32" t="n"/>
      <c r="M167" s="32" t="n"/>
      <c r="N167" s="100" t="n"/>
      <c r="O167" s="6" t="n"/>
    </row>
    <row r="168">
      <c r="B168" s="24" t="n"/>
      <c r="C168" s="4" t="n"/>
      <c r="D168" s="4" t="n"/>
      <c r="F168" s="33" t="n"/>
      <c r="G168" s="33" t="n"/>
      <c r="H168" s="4" t="n"/>
      <c r="I168" s="5" t="n"/>
      <c r="J168" s="62" t="n"/>
      <c r="K168" s="36" t="n"/>
      <c r="L168" s="36" t="n"/>
      <c r="M168" s="36" t="n"/>
      <c r="N168" s="100" t="n"/>
      <c r="O168" s="6" t="n"/>
    </row>
    <row r="169">
      <c r="B169" s="24" t="n"/>
      <c r="I169" s="6" t="n"/>
      <c r="J169" s="9" t="n"/>
      <c r="K169" s="35" t="n"/>
      <c r="L169" s="35" t="n"/>
      <c r="M169" s="35" t="n"/>
      <c r="O169" s="6" t="n"/>
    </row>
    <row r="170">
      <c r="B170" s="24" t="n"/>
      <c r="I170" s="6" t="n"/>
      <c r="J170" s="9" t="n"/>
      <c r="K170" s="35" t="n"/>
      <c r="L170" s="35" t="n"/>
      <c r="M170" s="35" t="n"/>
      <c r="O170" s="6" t="n"/>
    </row>
    <row r="171">
      <c r="B171" s="24" t="n"/>
      <c r="I171" s="6" t="n"/>
      <c r="J171" s="9" t="n"/>
      <c r="K171" s="35" t="n"/>
      <c r="L171" s="35" t="n"/>
      <c r="M171" s="35" t="n"/>
      <c r="O171" s="6" t="n"/>
    </row>
    <row r="172">
      <c r="B172" s="24" t="n"/>
      <c r="I172" s="6" t="n"/>
      <c r="J172" s="9" t="n"/>
      <c r="K172" s="35" t="n"/>
      <c r="L172" s="35" t="n"/>
      <c r="M172" s="35" t="n"/>
      <c r="N172" s="101" t="n"/>
      <c r="O172" s="6" t="n"/>
    </row>
    <row r="173">
      <c r="B173" s="24" t="n"/>
      <c r="I173" s="6" t="n"/>
      <c r="J173" s="9" t="n"/>
      <c r="K173" s="35" t="n"/>
      <c r="L173" s="35" t="n"/>
      <c r="M173" s="35" t="n"/>
      <c r="O173" s="6" t="n"/>
    </row>
    <row r="174">
      <c r="B174" s="24" t="n"/>
      <c r="I174" s="6" t="n"/>
      <c r="J174" s="9" t="n"/>
      <c r="K174" s="35" t="n"/>
      <c r="L174" s="35" t="n"/>
      <c r="M174" s="35" t="n"/>
      <c r="O174" s="6" t="n"/>
    </row>
    <row r="175">
      <c r="B175" s="24" t="n"/>
      <c r="I175" s="6" t="n"/>
      <c r="J175" s="9" t="n"/>
      <c r="K175" s="35" t="n"/>
      <c r="L175" s="35" t="n"/>
      <c r="M175" s="35" t="n"/>
      <c r="N175" s="101" t="n"/>
      <c r="O175" s="6" t="n"/>
    </row>
    <row r="176">
      <c r="B176" s="24" t="n"/>
      <c r="I176" s="6" t="n"/>
      <c r="J176" s="9" t="n"/>
      <c r="K176" s="35" t="n"/>
      <c r="L176" s="35" t="n"/>
      <c r="M176" s="35" t="n"/>
      <c r="N176" s="101" t="n"/>
      <c r="O176" s="6" t="n"/>
    </row>
    <row r="177">
      <c r="B177" s="24" t="n"/>
      <c r="I177" s="6" t="n"/>
      <c r="J177" s="9" t="n"/>
      <c r="K177" s="35" t="n"/>
      <c r="L177" s="35" t="n"/>
      <c r="M177" s="35" t="n"/>
      <c r="O177" s="6" t="n"/>
    </row>
    <row r="178">
      <c r="B178" s="24" t="n"/>
      <c r="I178" s="6" t="n"/>
      <c r="J178" s="9" t="n"/>
      <c r="K178" s="35" t="n"/>
      <c r="L178" s="35" t="n"/>
      <c r="M178" s="35" t="n"/>
      <c r="O178" s="6" t="n"/>
    </row>
    <row r="179">
      <c r="B179" s="24" t="n"/>
      <c r="I179" s="6" t="n"/>
      <c r="J179" s="9" t="n"/>
      <c r="K179" s="35" t="n"/>
      <c r="L179" s="35" t="n"/>
      <c r="M179" s="35" t="n"/>
      <c r="O179" s="6" t="n"/>
    </row>
    <row r="180">
      <c r="B180" s="24" t="n"/>
      <c r="I180" s="6" t="n"/>
      <c r="J180" s="9" t="n"/>
      <c r="K180" s="35" t="n"/>
      <c r="L180" s="35" t="n"/>
      <c r="M180" s="35" t="n"/>
      <c r="O180" s="6" t="n"/>
    </row>
    <row r="181">
      <c r="B181" s="24" t="n"/>
      <c r="I181" s="6" t="n"/>
      <c r="J181" s="9" t="n"/>
      <c r="K181" s="35" t="n"/>
      <c r="L181" s="35" t="n"/>
      <c r="M181" s="35" t="n"/>
      <c r="O181" s="6" t="n"/>
    </row>
    <row r="182">
      <c r="B182" s="24" t="n"/>
      <c r="I182" s="6" t="n"/>
      <c r="J182" s="9" t="n"/>
      <c r="K182" s="35" t="n"/>
      <c r="L182" s="35" t="n"/>
      <c r="M182" s="35" t="n"/>
      <c r="O182" s="6" t="n"/>
    </row>
    <row r="183">
      <c r="B183" s="24" t="n"/>
      <c r="I183" s="6" t="n"/>
      <c r="J183" s="9" t="n"/>
      <c r="K183" s="35" t="n"/>
      <c r="L183" s="35" t="n"/>
      <c r="M183" s="35" t="n"/>
      <c r="O183" s="6" t="n"/>
    </row>
    <row r="184">
      <c r="B184" s="24" t="n"/>
      <c r="I184" s="6" t="n"/>
      <c r="J184" s="9" t="n"/>
      <c r="K184" s="35" t="n"/>
      <c r="L184" s="35" t="n"/>
      <c r="M184" s="35" t="n"/>
      <c r="O184" s="6" t="n"/>
    </row>
    <row r="185">
      <c r="B185" s="24" t="n"/>
      <c r="I185" s="6" t="n"/>
      <c r="J185" s="9" t="n"/>
      <c r="K185" s="35" t="n"/>
      <c r="L185" s="35" t="n"/>
      <c r="M185" s="35" t="n"/>
      <c r="O185" s="6" t="n"/>
    </row>
    <row r="186">
      <c r="B186" s="24" t="n"/>
      <c r="I186" s="6" t="n"/>
      <c r="J186" s="9" t="n"/>
      <c r="K186" s="35" t="n"/>
      <c r="L186" s="35" t="n"/>
      <c r="M186" s="35" t="n"/>
      <c r="O186" s="6" t="n"/>
    </row>
    <row r="187">
      <c r="B187" s="24" t="n"/>
      <c r="I187" s="6" t="n"/>
      <c r="J187" s="9" t="n"/>
      <c r="K187" s="35" t="n"/>
      <c r="L187" s="35" t="n"/>
      <c r="M187" s="35" t="n"/>
      <c r="O187" s="6" t="n"/>
    </row>
    <row r="188">
      <c r="B188" s="24" t="n"/>
      <c r="I188" s="6" t="n"/>
      <c r="J188" s="9" t="n"/>
      <c r="K188" s="35" t="n"/>
      <c r="L188" s="35" t="n"/>
      <c r="M188" s="35" t="n"/>
      <c r="O188" s="6" t="n"/>
    </row>
    <row r="189">
      <c r="B189" s="24" t="n"/>
      <c r="I189" s="6" t="n"/>
      <c r="J189" s="9" t="n"/>
      <c r="K189" s="35" t="n"/>
      <c r="L189" s="35" t="n"/>
      <c r="M189" s="35" t="n"/>
      <c r="O189" s="6" t="n"/>
    </row>
    <row r="190">
      <c r="B190" s="24" t="n"/>
      <c r="I190" s="6" t="n"/>
      <c r="J190" s="9" t="n"/>
      <c r="K190" s="35" t="n"/>
      <c r="L190" s="35" t="n"/>
      <c r="M190" s="35" t="n"/>
      <c r="O190" s="6" t="n"/>
    </row>
    <row r="191">
      <c r="B191" s="24" t="n"/>
      <c r="I191" s="6" t="n"/>
      <c r="J191" s="9" t="n"/>
      <c r="K191" s="35" t="n"/>
      <c r="L191" s="35" t="n"/>
      <c r="M191" s="35" t="n"/>
      <c r="O191" s="6" t="n"/>
    </row>
    <row r="192">
      <c r="B192" s="24" t="n"/>
      <c r="I192" s="6" t="n"/>
      <c r="J192" s="9" t="n"/>
      <c r="K192" s="35" t="n"/>
      <c r="L192" s="35" t="n"/>
      <c r="M192" s="35" t="n"/>
      <c r="O192" s="6" t="n"/>
    </row>
    <row r="193">
      <c r="B193" s="24" t="n"/>
      <c r="D193" s="10" t="n"/>
      <c r="H193" s="10" t="n"/>
      <c r="I193" s="12" t="n"/>
      <c r="J193" s="9" t="n"/>
      <c r="K193" s="35" t="n"/>
      <c r="L193" s="35" t="n"/>
      <c r="M193" s="35" t="n"/>
      <c r="O193" s="6" t="n"/>
    </row>
    <row r="194">
      <c r="B194" s="24" t="n"/>
      <c r="D194" s="10" t="n"/>
      <c r="H194" s="10" t="n"/>
      <c r="I194" s="11" t="n"/>
      <c r="J194" s="9" t="n"/>
      <c r="K194" s="35" t="n"/>
      <c r="L194" s="35" t="n"/>
      <c r="M194" s="35" t="n"/>
      <c r="O194" s="6" t="n"/>
    </row>
    <row r="195">
      <c r="B195" s="24" t="n"/>
      <c r="D195" s="10" t="n"/>
      <c r="H195" s="10" t="n"/>
      <c r="I195" s="12" t="n"/>
      <c r="J195" s="9" t="n"/>
      <c r="K195" s="35" t="n"/>
      <c r="L195" s="35" t="n"/>
      <c r="M195" s="35" t="n"/>
      <c r="O195" s="6" t="n"/>
    </row>
    <row r="196">
      <c r="B196" s="24" t="n"/>
      <c r="D196" s="10" t="n"/>
      <c r="H196" s="10" t="n"/>
      <c r="I196" s="12" t="n"/>
      <c r="J196" s="9" t="n"/>
      <c r="K196" s="35" t="n"/>
      <c r="L196" s="35" t="n"/>
      <c r="M196" s="35" t="n"/>
      <c r="N196" s="101" t="n"/>
      <c r="O196" s="6" t="n"/>
    </row>
    <row r="197">
      <c r="B197" s="24" t="n"/>
      <c r="D197" s="10" t="n"/>
      <c r="H197" s="10" t="n"/>
      <c r="I197" s="12" t="n"/>
      <c r="J197" s="9" t="n"/>
      <c r="K197" s="35" t="n"/>
      <c r="L197" s="35" t="n"/>
      <c r="M197" s="35" t="n"/>
      <c r="O197" s="6" t="n"/>
    </row>
    <row r="198">
      <c r="B198" s="24" t="n"/>
      <c r="D198" s="10" t="n"/>
      <c r="H198" s="10" t="n"/>
      <c r="I198" s="12" t="n"/>
      <c r="J198" s="9" t="n"/>
      <c r="K198" s="35" t="n"/>
      <c r="L198" s="35" t="n"/>
      <c r="M198" s="35" t="n"/>
      <c r="O198" s="6" t="n"/>
    </row>
    <row r="199">
      <c r="B199" s="24" t="n"/>
      <c r="D199" s="10" t="n"/>
      <c r="H199" s="10" t="n"/>
      <c r="I199" s="12" t="n"/>
      <c r="J199" s="9" t="n"/>
      <c r="K199" s="35" t="n"/>
      <c r="L199" s="35" t="n"/>
      <c r="M199" s="35" t="n"/>
      <c r="N199" s="101" t="n"/>
      <c r="O199" s="6" t="n"/>
    </row>
    <row r="200">
      <c r="B200" s="24" t="n"/>
      <c r="D200" s="13" t="n"/>
      <c r="H200" s="13" t="n"/>
      <c r="I200" s="12" t="n"/>
      <c r="J200" s="9" t="n"/>
      <c r="K200" s="35" t="n"/>
      <c r="L200" s="35" t="n"/>
      <c r="M200" s="35" t="n"/>
      <c r="O200" s="6" t="n"/>
    </row>
    <row r="201">
      <c r="B201" s="24" t="n"/>
      <c r="D201" s="25" t="n"/>
      <c r="E201" s="24" t="n"/>
      <c r="O201" s="6" t="n"/>
    </row>
    <row r="202">
      <c r="B202" s="24" t="n"/>
      <c r="E202" s="24" t="n"/>
      <c r="O202" s="6" t="n"/>
    </row>
    <row r="203">
      <c r="B203" s="24" t="n"/>
      <c r="M203" s="27" t="n"/>
      <c r="O203" s="6" t="n"/>
    </row>
    <row r="204">
      <c r="B204" s="24" t="n"/>
      <c r="E204" s="24" t="n"/>
      <c r="O204" s="6" t="n"/>
    </row>
    <row r="205">
      <c r="B205" s="24" t="n"/>
      <c r="D205" s="25" t="n"/>
      <c r="E205" s="24" t="n"/>
      <c r="O205" s="6" t="n"/>
    </row>
    <row r="206">
      <c r="B206" s="24" t="n"/>
      <c r="E206" s="24" t="n"/>
      <c r="O206" s="6" t="n"/>
    </row>
    <row r="207">
      <c r="B207" s="24" t="n"/>
      <c r="D207" s="25" t="n"/>
      <c r="E207" s="24" t="n"/>
      <c r="O207" s="6" t="n"/>
    </row>
    <row r="208">
      <c r="B208" s="24" t="n"/>
      <c r="E208" s="24" t="n"/>
      <c r="O208" s="6" t="n"/>
    </row>
    <row r="209">
      <c r="B209" s="24" t="n"/>
      <c r="C209" s="4" t="n"/>
      <c r="D209" s="4" t="n"/>
      <c r="F209" s="33" t="n"/>
      <c r="G209" s="33" t="n"/>
      <c r="H209" s="4" t="n"/>
      <c r="I209" s="5" t="n"/>
      <c r="J209" s="24" t="n"/>
      <c r="K209" s="32" t="n"/>
      <c r="L209" s="32" t="n"/>
      <c r="M209" s="32" t="n"/>
      <c r="N209" s="100" t="n"/>
      <c r="O209" s="6" t="n"/>
    </row>
    <row r="210">
      <c r="F210" s="30" t="n"/>
    </row>
    <row r="211">
      <c r="F211" s="30" t="n"/>
    </row>
    <row r="212">
      <c r="B212" s="24" t="n"/>
    </row>
    <row r="213">
      <c r="E213" s="24" t="n"/>
      <c r="N213" s="102" t="n"/>
    </row>
    <row r="214">
      <c r="E214" s="24" t="n"/>
      <c r="N214" s="102" t="n"/>
    </row>
    <row r="215">
      <c r="E215" s="24" t="n"/>
      <c r="N215" s="102" t="n"/>
    </row>
    <row r="216">
      <c r="E216" s="24" t="n"/>
    </row>
    <row r="217">
      <c r="F217" s="30" t="n"/>
    </row>
    <row r="218">
      <c r="F218" s="30" t="n"/>
    </row>
    <row r="219">
      <c r="F219" s="30" t="n"/>
    </row>
    <row r="220">
      <c r="F220" s="30" t="n"/>
    </row>
    <row r="221">
      <c r="F221" s="30" t="n"/>
    </row>
    <row r="222">
      <c r="F222" s="30" t="n"/>
    </row>
    <row r="223">
      <c r="F223" s="30" t="n"/>
    </row>
    <row r="224">
      <c r="F224" s="30" t="n"/>
    </row>
    <row r="225">
      <c r="B225" s="24" t="n"/>
      <c r="M225" s="27" t="n"/>
      <c r="O225" s="6" t="n"/>
    </row>
    <row r="226">
      <c r="B226" s="24" t="n"/>
      <c r="C226" s="7" t="n"/>
      <c r="D226" s="7" t="n"/>
      <c r="F226" s="34" t="n"/>
      <c r="G226" s="34" t="n"/>
      <c r="H226" s="7" t="n"/>
      <c r="I226" s="8" t="n"/>
      <c r="J226" s="7" t="n"/>
      <c r="K226" s="37" t="n"/>
      <c r="L226" s="37" t="n"/>
      <c r="M226" s="37" t="n"/>
      <c r="N226" s="103" t="n"/>
      <c r="O226" s="8" t="n"/>
    </row>
    <row r="227">
      <c r="B227" s="24" t="n"/>
      <c r="H227" s="18" t="n"/>
      <c r="M227" s="27" t="n"/>
      <c r="O227" s="6" t="n"/>
    </row>
    <row r="228">
      <c r="B228" s="24" t="n"/>
      <c r="E228" s="24" t="n"/>
      <c r="O228" s="6" t="n"/>
    </row>
    <row r="229">
      <c r="B229" s="24" t="n"/>
      <c r="I229" s="6" t="n"/>
      <c r="J229" s="9" t="n"/>
      <c r="K229" s="35" t="n"/>
      <c r="L229" s="35" t="n"/>
      <c r="M229" s="35" t="n"/>
      <c r="O229" s="6" t="n"/>
    </row>
    <row r="230">
      <c r="B230" s="24" t="n"/>
      <c r="M230" s="27" t="n"/>
      <c r="O230" s="6" t="n"/>
    </row>
    <row r="231">
      <c r="B231" s="24" t="n"/>
      <c r="E231" s="24" t="n"/>
      <c r="O231" s="6" t="n"/>
    </row>
    <row r="232">
      <c r="B232" s="24" t="n"/>
      <c r="E232" s="24" t="n"/>
      <c r="H232" s="18" t="n"/>
      <c r="O232" s="6" t="n"/>
    </row>
    <row r="233"/>
    <row r="234"/>
    <row r="235">
      <c r="E235" s="13" t="n"/>
    </row>
    <row r="236"/>
    <row r="237">
      <c r="B237" s="24" t="n"/>
      <c r="E237" s="24" t="n"/>
      <c r="J237" s="64" t="n"/>
      <c r="O237" s="6" t="n"/>
    </row>
    <row r="238">
      <c r="B238" s="24" t="n"/>
      <c r="E238" s="24" t="n"/>
      <c r="O238" s="6" t="n"/>
    </row>
    <row r="239">
      <c r="B239" s="24" t="n"/>
      <c r="E239" s="24" t="n"/>
      <c r="O239" s="6" t="n"/>
    </row>
    <row r="240">
      <c r="B240" s="24" t="n"/>
      <c r="E240" s="24" t="n"/>
      <c r="O240" s="6" t="n"/>
    </row>
    <row r="241">
      <c r="B241" s="24" t="n"/>
      <c r="E241" s="24" t="n"/>
      <c r="J241" s="25" t="n"/>
      <c r="O241" s="6" t="n"/>
    </row>
    <row r="242">
      <c r="B242" s="24" t="n"/>
      <c r="E242" s="24" t="n"/>
      <c r="O242" s="6" t="n"/>
    </row>
    <row r="243">
      <c r="B243" s="24" t="n"/>
      <c r="E243" s="24" t="n"/>
      <c r="O243" s="6" t="n"/>
    </row>
    <row r="244">
      <c r="B244" s="24" t="n"/>
      <c r="M244" s="27" t="n"/>
      <c r="O244" s="6" t="n"/>
    </row>
    <row r="245">
      <c r="B245" s="24" t="n"/>
      <c r="H245" s="18" t="n"/>
      <c r="M245" s="27" t="n"/>
      <c r="O245" s="6" t="n"/>
    </row>
    <row r="246">
      <c r="B246" s="24" t="n"/>
      <c r="E246" s="24" t="n"/>
      <c r="O246" s="6" t="n"/>
    </row>
    <row r="247">
      <c r="B247" s="24" t="n"/>
      <c r="E247" s="24" t="n"/>
      <c r="O247" s="6" t="n"/>
    </row>
    <row r="248">
      <c r="B248" s="24" t="n"/>
      <c r="E248" s="24" t="n"/>
      <c r="J248" s="64" t="n"/>
      <c r="O248" s="6" t="n"/>
    </row>
    <row r="249">
      <c r="B249" s="24" t="n"/>
      <c r="M249" s="27" t="n"/>
      <c r="O249" s="6" t="n"/>
    </row>
    <row r="250">
      <c r="B250" s="24" t="n"/>
      <c r="E250" s="24" t="n"/>
      <c r="O250" s="6" t="n"/>
    </row>
    <row r="251">
      <c r="B251" s="24" t="n"/>
      <c r="E251" s="24" t="n"/>
      <c r="J251" s="68" t="n"/>
      <c r="O251" s="6" t="n"/>
    </row>
    <row r="252">
      <c r="B252" s="24" t="n"/>
      <c r="E252" s="24" t="n"/>
      <c r="J252" s="71" t="n"/>
      <c r="O252" s="6" t="n"/>
    </row>
    <row r="253">
      <c r="B253" s="24" t="n"/>
      <c r="E253" s="24" t="n"/>
      <c r="O253" s="6" t="n"/>
    </row>
    <row r="254">
      <c r="B254" s="24" t="n"/>
    </row>
    <row r="255">
      <c r="B255" s="24" t="n"/>
      <c r="E255" s="24" t="n"/>
      <c r="J255" s="71" t="n"/>
      <c r="O255" s="6" t="n"/>
    </row>
    <row r="256">
      <c r="B256" s="24" t="n"/>
      <c r="E256" s="24" t="n"/>
      <c r="O256" s="6" t="n"/>
    </row>
    <row r="257">
      <c r="B257" s="24" t="n"/>
      <c r="E257" s="24" t="n"/>
      <c r="O257" s="6" t="n"/>
    </row>
    <row r="258">
      <c r="B258" s="24" t="n"/>
      <c r="E258" s="24" t="n"/>
      <c r="O258" s="6" t="n"/>
    </row>
    <row r="259">
      <c r="B259" s="24" t="n"/>
      <c r="M259" s="27" t="n"/>
      <c r="O259" s="6" t="n"/>
    </row>
    <row r="260">
      <c r="B260" s="24" t="n"/>
      <c r="J260" s="68" t="n"/>
      <c r="M260" s="27" t="n"/>
      <c r="O260" s="6" t="n"/>
    </row>
    <row r="261">
      <c r="B261" s="24" t="n"/>
      <c r="M261" s="27" t="n"/>
      <c r="O261" s="6" t="n"/>
    </row>
    <row r="262">
      <c r="B262" s="24" t="n"/>
      <c r="E262" s="24" t="n"/>
      <c r="O262" s="6" t="n"/>
    </row>
    <row r="263">
      <c r="B263" s="24" t="n"/>
      <c r="M263" s="27" t="n"/>
      <c r="O263" s="6" t="n"/>
    </row>
    <row r="264">
      <c r="B264" s="24" t="n"/>
      <c r="M264" s="27" t="n"/>
      <c r="O264" s="6" t="n"/>
    </row>
    <row r="265">
      <c r="B265" s="24" t="n"/>
      <c r="J265" s="7" t="n"/>
      <c r="M265" s="27" t="n"/>
      <c r="O265" s="6" t="n"/>
    </row>
    <row r="266">
      <c r="B266" s="24" t="n"/>
      <c r="M266" s="27" t="n"/>
      <c r="O266" s="6" t="n"/>
    </row>
    <row r="267">
      <c r="B267" s="24" t="n"/>
      <c r="D267" s="104" t="n"/>
      <c r="E267" s="24" t="n"/>
      <c r="O267" s="6" t="n"/>
    </row>
    <row r="268">
      <c r="B268" s="24" t="n"/>
      <c r="M268" s="27" t="n"/>
      <c r="O268" s="6" t="n"/>
    </row>
    <row r="269">
      <c r="B269" s="24" t="n"/>
      <c r="E269" s="24" t="n"/>
      <c r="J269" s="25" t="n"/>
      <c r="O269" s="6" t="n"/>
    </row>
    <row r="270">
      <c r="B270" s="24" t="n"/>
      <c r="M270" s="27" t="n"/>
      <c r="O270" s="6" t="n"/>
    </row>
    <row r="271">
      <c r="B271" s="24" t="n"/>
      <c r="M271" s="27" t="n"/>
      <c r="O271" s="6" t="n"/>
    </row>
    <row r="272">
      <c r="B272" s="24" t="n"/>
      <c r="E272" s="24" t="n"/>
      <c r="J272" s="64" t="n"/>
      <c r="O272" s="6" t="n"/>
    </row>
    <row r="273">
      <c r="B273" s="24" t="n"/>
      <c r="M273" s="27" t="n"/>
      <c r="O273" s="6" t="n"/>
    </row>
    <row r="274">
      <c r="B274" s="24" t="n"/>
      <c r="M274" s="27" t="n"/>
      <c r="O274" s="6" t="n"/>
    </row>
    <row r="275">
      <c r="B275" s="24" t="n"/>
      <c r="M275" s="27" t="n"/>
      <c r="O275" s="6" t="n"/>
    </row>
    <row r="276">
      <c r="B276" s="24" t="n"/>
      <c r="M276" s="27" t="n"/>
      <c r="O276" s="6" t="n"/>
    </row>
    <row r="277">
      <c r="B277" s="24" t="n"/>
      <c r="M277" s="27" t="n"/>
      <c r="O277" s="6" t="n"/>
    </row>
    <row r="278">
      <c r="B278" s="24" t="n"/>
      <c r="O278" s="6" t="n"/>
    </row>
    <row r="279">
      <c r="B279" s="24" t="n"/>
      <c r="M279" s="27" t="n"/>
      <c r="O279" s="6" t="n"/>
    </row>
    <row r="280">
      <c r="B280" s="24" t="n"/>
      <c r="M280" s="27" t="n"/>
      <c r="O280" s="6" t="n"/>
    </row>
    <row r="281">
      <c r="B281" s="24" t="n"/>
      <c r="E281" s="24" t="n"/>
      <c r="O281" s="6" t="n"/>
    </row>
    <row r="282">
      <c r="B282" s="24" t="n"/>
      <c r="M282" s="27" t="n"/>
      <c r="O282" s="6" t="n"/>
    </row>
    <row r="283">
      <c r="B283" s="24" t="n"/>
      <c r="J283" s="71" t="n"/>
      <c r="M283" s="27" t="n"/>
      <c r="O283" s="6" t="n"/>
    </row>
    <row r="284">
      <c r="B284" s="24" t="n"/>
      <c r="M284" s="27" t="n"/>
      <c r="O284" s="6" t="n"/>
    </row>
    <row r="285">
      <c r="B285" s="24" t="n"/>
      <c r="E285" s="24" t="n"/>
      <c r="O285" s="6" t="n"/>
    </row>
    <row r="286">
      <c r="B286" s="24" t="n"/>
      <c r="M286" s="27" t="n"/>
      <c r="O286" s="6" t="n"/>
    </row>
    <row r="287">
      <c r="B287" s="24" t="n"/>
      <c r="M287" s="27" t="n"/>
      <c r="O287" s="6" t="n"/>
    </row>
    <row r="288">
      <c r="B288" s="24" t="n"/>
      <c r="M288" s="27" t="n"/>
      <c r="O288" s="6" t="n"/>
    </row>
    <row r="289">
      <c r="B289" s="24" t="n"/>
      <c r="E289" s="24" t="n"/>
      <c r="J289" s="68" t="n"/>
      <c r="O289" s="6" t="n"/>
    </row>
    <row r="290">
      <c r="B290" s="24" t="n"/>
      <c r="M290" s="27" t="n"/>
      <c r="O290" s="6" t="n"/>
    </row>
    <row r="291">
      <c r="B291" s="24" t="n"/>
      <c r="M291" s="27" t="n"/>
      <c r="O291" s="6" t="n"/>
    </row>
    <row r="292">
      <c r="B292" s="24" t="n"/>
      <c r="M292" s="27" t="n"/>
      <c r="O292" s="6" t="n"/>
    </row>
    <row r="293">
      <c r="B293" s="24" t="n"/>
      <c r="H293" s="18" t="n"/>
      <c r="M293" s="27" t="n"/>
      <c r="O293" s="6" t="n"/>
    </row>
    <row r="294">
      <c r="B294" s="24" t="n"/>
      <c r="M294" s="27" t="n"/>
      <c r="O294" s="6" t="n"/>
    </row>
    <row r="295">
      <c r="B295" s="24" t="n"/>
      <c r="D295" s="25" t="n"/>
      <c r="E295" s="24" t="n"/>
      <c r="O295" s="6" t="n"/>
    </row>
    <row r="296">
      <c r="B296" s="24" t="n"/>
      <c r="M296" s="27" t="n"/>
      <c r="O296" s="6" t="n"/>
    </row>
    <row r="297">
      <c r="B297" s="24" t="n"/>
      <c r="E297" s="24" t="n"/>
      <c r="O297" s="6" t="n"/>
    </row>
    <row r="298">
      <c r="B298" s="24" t="n"/>
      <c r="M298" s="27" t="n"/>
      <c r="O298" s="6" t="n"/>
    </row>
    <row r="299">
      <c r="B299" s="24" t="n"/>
      <c r="E299" s="24" t="n"/>
      <c r="J299" s="71" t="n"/>
      <c r="O299" s="6" t="n"/>
    </row>
    <row r="300">
      <c r="B300" s="24" t="n"/>
      <c r="M300" s="27" t="n"/>
      <c r="O300" s="6" t="n"/>
    </row>
    <row r="301">
      <c r="B301" s="24" t="n"/>
      <c r="M301" s="27" t="n"/>
      <c r="O301" s="6" t="n"/>
    </row>
    <row r="302">
      <c r="B302" s="24" t="n"/>
      <c r="M302" s="27" t="n"/>
      <c r="O302" s="6" t="n"/>
    </row>
    <row r="303">
      <c r="B303" s="24" t="n"/>
      <c r="M303" s="27" t="n"/>
      <c r="O303" s="6" t="n"/>
    </row>
    <row r="304">
      <c r="B304" s="24" t="n"/>
      <c r="M304" s="27" t="n"/>
      <c r="O304" s="6" t="n"/>
    </row>
    <row r="305">
      <c r="B305" s="24" t="n"/>
      <c r="M305" s="27" t="n"/>
      <c r="O305" s="6" t="n"/>
    </row>
    <row r="306">
      <c r="B306" s="24" t="n"/>
    </row>
    <row r="307">
      <c r="B307" s="24" t="n"/>
      <c r="M307" s="27" t="n"/>
      <c r="O307" s="6" t="n"/>
    </row>
    <row r="308">
      <c r="B308" s="24" t="n"/>
      <c r="M308" s="27" t="n"/>
      <c r="O308" s="6" t="n"/>
    </row>
    <row r="309">
      <c r="B309" s="24" t="n"/>
      <c r="M309" s="27" t="n"/>
      <c r="O309" s="6" t="n"/>
    </row>
    <row r="310">
      <c r="B310" s="24" t="n"/>
      <c r="M310" s="27" t="n"/>
      <c r="O310" s="6" t="n"/>
    </row>
    <row r="311">
      <c r="B311" s="24" t="n"/>
    </row>
    <row r="312">
      <c r="B312" s="24" t="n"/>
      <c r="M312" s="27" t="n"/>
      <c r="O312" s="6" t="n"/>
    </row>
    <row r="313">
      <c r="B313" s="24" t="n"/>
      <c r="I313" s="6" t="n"/>
      <c r="J313" s="9" t="n"/>
      <c r="K313" s="32" t="n"/>
      <c r="M313" s="27" t="n"/>
      <c r="O313" s="6" t="n"/>
    </row>
    <row r="314">
      <c r="B314" s="24" t="n"/>
      <c r="K314" s="32" t="n"/>
      <c r="L314" s="32" t="n"/>
      <c r="M314" s="32" t="n"/>
      <c r="O314" s="6" t="n"/>
    </row>
    <row r="315">
      <c r="B315" s="24" t="n"/>
      <c r="D315" s="25" t="n"/>
      <c r="E315" s="24" t="n"/>
      <c r="O315" s="6" t="n"/>
    </row>
    <row r="316">
      <c r="B316" s="24" t="n"/>
      <c r="M316" s="27" t="n"/>
      <c r="O316" s="6" t="n"/>
    </row>
    <row r="317">
      <c r="B317" s="24" t="n"/>
      <c r="K317" s="32" t="n"/>
      <c r="L317" s="32" t="n"/>
      <c r="M317" s="32" t="n"/>
      <c r="N317" s="97" t="n"/>
      <c r="O317" s="6" t="n"/>
    </row>
    <row r="318">
      <c r="B318" s="24" t="n"/>
      <c r="M318" s="27" t="n"/>
      <c r="O318" s="6" t="n"/>
    </row>
    <row r="319">
      <c r="B319" s="24" t="n"/>
      <c r="M319" s="27" t="n"/>
      <c r="O319" s="6" t="n"/>
    </row>
    <row r="320">
      <c r="B320" s="24" t="n"/>
      <c r="M320" s="27" t="n"/>
      <c r="O320" s="6" t="n"/>
    </row>
    <row r="321">
      <c r="B321" s="24" t="n"/>
      <c r="K321" s="32" t="n"/>
      <c r="L321" s="32" t="n"/>
      <c r="M321" s="32" t="n"/>
      <c r="O321" s="6" t="n"/>
    </row>
    <row r="322">
      <c r="B322" s="24" t="n"/>
      <c r="D322" s="25" t="n"/>
      <c r="E322" s="24" t="n"/>
      <c r="O322" s="6" t="n"/>
    </row>
    <row r="323">
      <c r="B323" s="24" t="n"/>
      <c r="M323" s="27" t="n"/>
      <c r="O323" s="6" t="n"/>
    </row>
    <row r="324">
      <c r="B324" s="24" t="n"/>
      <c r="E324" s="24" t="n"/>
      <c r="O324" s="6" t="n"/>
    </row>
    <row r="325">
      <c r="B325" s="24" t="n"/>
      <c r="M325" s="27" t="n"/>
      <c r="O325" s="6" t="n"/>
    </row>
    <row r="326">
      <c r="B326" s="24" t="n"/>
      <c r="O326" s="6" t="n"/>
    </row>
    <row r="327">
      <c r="B327" s="24" t="n"/>
      <c r="M327" s="27" t="n"/>
      <c r="O327" s="6" t="n"/>
    </row>
    <row r="328">
      <c r="B328" s="24" t="n"/>
      <c r="M328" s="27" t="n"/>
      <c r="O328" s="6" t="n"/>
    </row>
    <row r="329">
      <c r="B329" s="24" t="n"/>
      <c r="M329" s="27" t="n"/>
      <c r="O329" s="6" t="n"/>
    </row>
    <row r="330">
      <c r="B330" s="24" t="n"/>
      <c r="E330" s="24" t="n"/>
      <c r="O330" s="6" t="n"/>
    </row>
    <row r="331">
      <c r="B331" s="24" t="n"/>
      <c r="M331" s="27" t="n"/>
      <c r="O331" s="6" t="n"/>
    </row>
    <row r="332">
      <c r="B332" s="24" t="n"/>
      <c r="M332" s="27" t="n"/>
      <c r="O332" s="6" t="n"/>
    </row>
    <row r="333">
      <c r="B333" s="24" t="n"/>
      <c r="M333" s="27" t="n"/>
      <c r="O333" s="6" t="n"/>
    </row>
    <row r="334">
      <c r="B334" s="24" t="n"/>
      <c r="M334" s="27" t="n"/>
      <c r="O334" s="6" t="n"/>
    </row>
    <row r="335">
      <c r="B335" s="24" t="n"/>
      <c r="M335" s="27" t="n"/>
      <c r="O335" s="6" t="n"/>
    </row>
    <row r="336">
      <c r="B336" s="24" t="n"/>
      <c r="M336" s="27" t="n"/>
      <c r="O336" s="6" t="n"/>
    </row>
    <row r="337">
      <c r="B337" s="24" t="n"/>
      <c r="M337" s="27" t="n"/>
      <c r="O337" s="6" t="n"/>
    </row>
    <row r="338">
      <c r="B338" s="24" t="n"/>
      <c r="K338" s="32" t="n"/>
      <c r="L338" s="32" t="n"/>
      <c r="M338" s="32" t="n"/>
      <c r="O338" s="6" t="n"/>
    </row>
    <row r="339">
      <c r="B339" s="24" t="n"/>
      <c r="M339" s="27" t="n"/>
      <c r="O339" s="6" t="n"/>
    </row>
    <row r="340">
      <c r="A340" s="26" t="n"/>
      <c r="B340" s="24" t="n"/>
      <c r="M340" s="27" t="n"/>
      <c r="O340" s="6" t="n"/>
    </row>
    <row r="341">
      <c r="B341" s="24" t="n"/>
      <c r="E341" s="24" t="n"/>
    </row>
    <row r="342">
      <c r="B342" s="24" t="n"/>
    </row>
    <row r="343">
      <c r="B343" s="24" t="n"/>
    </row>
    <row r="344">
      <c r="B344" s="24" t="n"/>
      <c r="E344" s="24" t="n"/>
      <c r="O344" s="6" t="n"/>
    </row>
    <row r="345">
      <c r="B345" s="24" t="n"/>
      <c r="J345" s="7" t="n"/>
      <c r="M345" s="27" t="n"/>
      <c r="O345" s="6" t="n"/>
    </row>
    <row r="346">
      <c r="B346" s="24" t="n"/>
      <c r="M346" s="27" t="n"/>
      <c r="O346" s="6" t="n"/>
    </row>
    <row r="347">
      <c r="B347" s="24" t="n"/>
      <c r="E347" s="24" t="n"/>
      <c r="O347" s="6" t="n"/>
    </row>
    <row r="348">
      <c r="B348" s="24" t="n"/>
      <c r="M348" s="27" t="n"/>
      <c r="O348" s="6" t="n"/>
    </row>
    <row r="349">
      <c r="B349" s="24" t="n"/>
      <c r="M349" s="27" t="n"/>
      <c r="O349" s="6" t="n"/>
    </row>
    <row r="350">
      <c r="B350" s="24" t="n"/>
      <c r="J350" s="109" t="n"/>
      <c r="M350" s="27" t="n"/>
      <c r="O350" s="6" t="n"/>
    </row>
    <row r="351">
      <c r="B351" s="24" t="n"/>
      <c r="M351" s="27" t="n"/>
      <c r="O351" s="6" t="n"/>
    </row>
    <row r="352">
      <c r="B352" s="24" t="n"/>
      <c r="M352" s="27" t="n"/>
      <c r="O352" s="6" t="n"/>
    </row>
    <row r="353">
      <c r="B353" s="24" t="n"/>
      <c r="M353" s="27" t="n"/>
      <c r="O353" s="6" t="n"/>
    </row>
    <row r="354">
      <c r="B354" s="24" t="n"/>
      <c r="M354" s="27" t="n"/>
      <c r="O354" s="6" t="n"/>
    </row>
    <row r="355">
      <c r="B355" s="24" t="n"/>
      <c r="M355" s="27" t="n"/>
      <c r="O355" s="6" t="n"/>
    </row>
    <row r="356">
      <c r="B356" s="24" t="n"/>
      <c r="M356" s="27" t="n"/>
      <c r="O356" s="6" t="n"/>
    </row>
    <row r="357">
      <c r="B357" s="24" t="n"/>
      <c r="M357" s="27" t="n"/>
      <c r="O357" s="6" t="n"/>
    </row>
    <row r="358">
      <c r="B358" s="24" t="n"/>
      <c r="M358" s="27" t="n"/>
      <c r="O358" s="6" t="n"/>
    </row>
    <row r="359">
      <c r="B359" s="24" t="n"/>
      <c r="E359" s="24" t="n"/>
      <c r="J359" s="64" t="n"/>
      <c r="O359" s="6" t="n"/>
    </row>
    <row r="360">
      <c r="B360" s="24" t="n"/>
      <c r="M360" s="27" t="n"/>
      <c r="O360" s="6" t="n"/>
    </row>
    <row r="361">
      <c r="B361" s="24" t="n"/>
      <c r="M361" s="27" t="n"/>
      <c r="O361" s="6" t="n"/>
    </row>
    <row r="362">
      <c r="B362" s="24" t="n"/>
      <c r="M362" s="27" t="n"/>
      <c r="O362" s="6" t="n"/>
    </row>
    <row r="363">
      <c r="B363" s="24" t="n"/>
      <c r="E363" s="24" t="n"/>
      <c r="J363" s="68" t="n"/>
      <c r="O363" s="6" t="n"/>
    </row>
    <row r="364">
      <c r="B364" s="24" t="n"/>
      <c r="M364" s="27" t="n"/>
      <c r="O364" s="6" t="n"/>
    </row>
    <row r="365">
      <c r="B365" s="24" t="n"/>
      <c r="J365" s="64" t="n"/>
      <c r="M365" s="27" t="n"/>
      <c r="O365" s="6" t="n"/>
    </row>
    <row r="366">
      <c r="B366" s="24" t="n"/>
      <c r="M366" s="27" t="n"/>
      <c r="O366" s="6" t="n"/>
    </row>
    <row r="367">
      <c r="B367" s="24" t="n"/>
      <c r="M367" s="27" t="n"/>
      <c r="O367" s="6" t="n"/>
    </row>
    <row r="368">
      <c r="B368" s="24" t="n"/>
      <c r="M368" s="27" t="n"/>
      <c r="O368" s="6" t="n"/>
    </row>
    <row r="369">
      <c r="B369" s="24" t="n"/>
      <c r="E369" s="24" t="n"/>
      <c r="J369" s="71" t="n"/>
      <c r="O369" s="6" t="n"/>
    </row>
    <row r="370">
      <c r="B370" s="24" t="n"/>
      <c r="E370" s="24" t="n"/>
      <c r="O370" s="6" t="n"/>
    </row>
    <row r="371">
      <c r="B371" s="24" t="n"/>
      <c r="M371" s="27" t="n"/>
      <c r="O371" s="6" t="n"/>
    </row>
    <row r="372">
      <c r="B372" s="24" t="n"/>
      <c r="H372" s="25" t="n"/>
      <c r="M372" s="27" t="n"/>
      <c r="O372" s="6" t="n"/>
    </row>
    <row r="373">
      <c r="B373" s="24" t="n"/>
      <c r="M373" s="27" t="n"/>
      <c r="O373" s="6" t="n"/>
    </row>
    <row r="374">
      <c r="B374" s="24" t="n"/>
      <c r="M374" s="27" t="n"/>
      <c r="O374" s="6" t="n"/>
    </row>
    <row r="375">
      <c r="B375" s="24" t="n"/>
      <c r="J375" s="25" t="n"/>
      <c r="M375" s="27" t="n"/>
      <c r="O375" s="6" t="n"/>
    </row>
    <row r="376">
      <c r="B376" s="24" t="n"/>
      <c r="M376" s="27" t="n"/>
      <c r="O376" s="6" t="n"/>
    </row>
    <row r="377">
      <c r="B377" s="24" t="n"/>
      <c r="M377" s="27" t="n"/>
      <c r="O377" s="6" t="n"/>
    </row>
    <row r="378">
      <c r="B378" s="24" t="n"/>
      <c r="E378" s="24" t="n"/>
      <c r="J378" s="71" t="n"/>
      <c r="O378" s="6" t="n"/>
    </row>
    <row r="379">
      <c r="B379" s="24" t="n"/>
      <c r="K379" s="32" t="n"/>
      <c r="L379" s="32" t="n"/>
      <c r="M379" s="32" t="n"/>
      <c r="N379" s="97" t="n"/>
      <c r="O379" s="6" t="n"/>
    </row>
    <row r="380">
      <c r="B380" s="24" t="n"/>
      <c r="J380" s="7" t="n"/>
      <c r="M380" s="27" t="n"/>
      <c r="O380" s="6" t="n"/>
    </row>
    <row r="381">
      <c r="B381" s="24" t="n"/>
      <c r="M381" s="27" t="n"/>
      <c r="O381" s="6" t="n"/>
    </row>
    <row r="382">
      <c r="B382" s="24" t="n"/>
      <c r="M382" s="27" t="n"/>
      <c r="O382" s="6" t="n"/>
    </row>
    <row r="383">
      <c r="B383" s="24" t="n"/>
      <c r="M383" s="27" t="n"/>
      <c r="O383" s="6" t="n"/>
    </row>
    <row r="384">
      <c r="B384" s="24" t="n"/>
      <c r="E384" s="24" t="n"/>
      <c r="O384" s="6" t="n"/>
    </row>
    <row r="385">
      <c r="B385" s="24" t="n"/>
      <c r="M385" s="27" t="n"/>
      <c r="O385" s="6" t="n"/>
    </row>
    <row r="386">
      <c r="B386" s="24" t="n"/>
      <c r="M386" s="27" t="n"/>
      <c r="O386" s="6" t="n"/>
    </row>
    <row r="387">
      <c r="B387" s="24" t="n"/>
      <c r="M387" s="27" t="n"/>
      <c r="O387" s="6" t="n"/>
    </row>
    <row r="388">
      <c r="B388" s="24" t="n"/>
      <c r="E388" s="24" t="n"/>
      <c r="O388" s="6" t="n"/>
    </row>
    <row r="389">
      <c r="B389" s="24" t="n"/>
      <c r="M389" s="27" t="n"/>
      <c r="O389" s="6" t="n"/>
    </row>
    <row r="390">
      <c r="B390" s="24" t="n"/>
      <c r="M390" s="27" t="n"/>
      <c r="O390" s="6" t="n"/>
    </row>
    <row r="391">
      <c r="B391" s="24" t="n"/>
      <c r="M391" s="27" t="n"/>
      <c r="O391" s="6" t="n"/>
    </row>
    <row r="392">
      <c r="B392" s="24" t="n"/>
      <c r="M392" s="27" t="n"/>
      <c r="O392" s="6" t="n"/>
    </row>
    <row r="393">
      <c r="B393" s="24" t="n"/>
      <c r="M393" s="27" t="n"/>
      <c r="O393" s="6" t="n"/>
    </row>
    <row r="394">
      <c r="B394" s="24" t="n"/>
      <c r="M394" s="27" t="n"/>
      <c r="O394" s="6" t="n"/>
    </row>
    <row r="395">
      <c r="B395" s="24" t="n"/>
      <c r="M395" s="27" t="n"/>
      <c r="O395" s="6" t="n"/>
    </row>
    <row r="396">
      <c r="B396" s="24" t="n"/>
      <c r="E396" s="24" t="n"/>
      <c r="J396" s="25" t="n"/>
      <c r="O396" s="6" t="n"/>
    </row>
    <row r="397">
      <c r="B397" s="24" t="n"/>
      <c r="M397" s="27" t="n"/>
      <c r="O397" s="6" t="n"/>
    </row>
    <row r="398">
      <c r="B398" s="24" t="n"/>
      <c r="M398" s="27" t="n"/>
      <c r="O398" s="6" t="n"/>
    </row>
    <row r="399">
      <c r="B399" s="24" t="n"/>
      <c r="M399" s="27" t="n"/>
      <c r="O399" s="6" t="n"/>
    </row>
    <row r="400">
      <c r="B400" s="24" t="n"/>
      <c r="E400" s="24" t="n"/>
      <c r="O400" s="6" t="n"/>
    </row>
    <row r="401">
      <c r="B401" s="24" t="n"/>
      <c r="M401" s="27" t="n"/>
      <c r="O401" s="6" t="n"/>
    </row>
    <row r="402">
      <c r="B402" s="24" t="n"/>
      <c r="E402" s="24" t="n"/>
      <c r="O402" s="6" t="n"/>
    </row>
    <row r="403">
      <c r="B403" s="24" t="n"/>
      <c r="M403" s="27" t="n"/>
      <c r="O403" s="6" t="n"/>
    </row>
    <row r="404">
      <c r="B404" s="24" t="n"/>
      <c r="E404" s="24" t="n"/>
      <c r="J404" s="64" t="n"/>
      <c r="O404" s="6" t="n"/>
    </row>
    <row r="405">
      <c r="B405" s="24" t="n"/>
      <c r="M405" s="27" t="n"/>
      <c r="O405" s="6" t="n"/>
    </row>
    <row r="406">
      <c r="B406" s="24" t="n"/>
      <c r="E406" s="24" t="n"/>
      <c r="O406" s="6" t="n"/>
    </row>
    <row r="407">
      <c r="B407" s="24" t="n"/>
      <c r="M407" s="27" t="n"/>
      <c r="O407" s="6" t="n"/>
    </row>
    <row r="408">
      <c r="B408" s="24" t="n"/>
      <c r="O408" s="6" t="n"/>
    </row>
    <row r="409">
      <c r="B409" s="24" t="n"/>
    </row>
    <row r="410">
      <c r="B410" s="24" t="n"/>
      <c r="E410" s="24" t="n"/>
      <c r="O410" s="6" t="n"/>
    </row>
    <row r="411">
      <c r="B411" s="24" t="n"/>
      <c r="E411" s="24" t="n"/>
      <c r="O411" s="6" t="n"/>
    </row>
    <row r="412">
      <c r="B412" s="24" t="n"/>
      <c r="E412" s="24" t="n"/>
      <c r="J412" s="65" t="n"/>
      <c r="O412" s="6" t="n"/>
    </row>
    <row r="413">
      <c r="B413" s="24" t="n"/>
      <c r="E413" s="24" t="n"/>
      <c r="O413" s="6" t="n"/>
    </row>
    <row r="414">
      <c r="A414" s="26" t="n"/>
      <c r="B414" s="24" t="n"/>
      <c r="M414" s="27" t="n"/>
      <c r="O414" s="6" t="n"/>
    </row>
    <row r="415">
      <c r="B415" s="24" t="n"/>
      <c r="E415" s="41" t="n"/>
      <c r="O415" s="6" t="n"/>
    </row>
    <row r="416">
      <c r="B416" s="24" t="n"/>
      <c r="E416" s="41" t="n"/>
      <c r="M416" s="27" t="n"/>
      <c r="O416" s="6" t="n"/>
    </row>
    <row r="417">
      <c r="B417" s="24" t="n"/>
      <c r="M417" s="27" t="n"/>
      <c r="O417" s="6" t="n"/>
    </row>
    <row r="418">
      <c r="B418" s="24" t="n"/>
      <c r="M418" s="27" t="n"/>
      <c r="O418" s="6" t="n"/>
    </row>
    <row r="419">
      <c r="B419" s="24" t="n"/>
      <c r="M419" s="27" t="n"/>
      <c r="O419" s="6" t="n"/>
    </row>
    <row r="420">
      <c r="B420" s="24" t="n"/>
      <c r="D420" s="104" t="n"/>
      <c r="M420" s="27" t="n"/>
      <c r="O420" s="6" t="n"/>
    </row>
    <row r="421">
      <c r="B421" s="24" t="n"/>
      <c r="M421" s="27" t="n"/>
      <c r="O421" s="6" t="n"/>
    </row>
    <row r="422">
      <c r="B422" s="24" t="n"/>
      <c r="E422" s="24" t="n"/>
      <c r="O422" s="6" t="n"/>
    </row>
    <row r="423">
      <c r="B423" s="24" t="n"/>
      <c r="E423" s="24" t="n"/>
      <c r="O423" s="6" t="n"/>
    </row>
    <row r="424">
      <c r="B424" s="24" t="n"/>
    </row>
    <row r="425">
      <c r="B425" s="24" t="n"/>
      <c r="M425" s="27" t="n"/>
      <c r="O425" s="6" t="n"/>
    </row>
    <row r="426">
      <c r="B426" s="24" t="n"/>
      <c r="E426" s="24" t="n"/>
      <c r="O426" s="6" t="n"/>
    </row>
    <row r="427">
      <c r="B427" s="24" t="n"/>
      <c r="E427" s="24" t="n"/>
      <c r="O427" s="6" t="n"/>
    </row>
    <row r="428">
      <c r="B428" s="24" t="n"/>
      <c r="E428" s="24" t="n"/>
      <c r="O428" s="6" t="n"/>
    </row>
    <row r="429">
      <c r="B429" s="24" t="n"/>
      <c r="E429" s="24" t="n"/>
      <c r="O429" s="6" t="n"/>
    </row>
    <row r="430">
      <c r="B430" s="24" t="n"/>
    </row>
    <row r="431">
      <c r="B431" s="24" t="n"/>
    </row>
    <row r="432">
      <c r="B432" s="24" t="n"/>
    </row>
    <row r="433">
      <c r="B433" s="24" t="n"/>
      <c r="M433" s="35" t="n"/>
      <c r="O433" s="6" t="n"/>
    </row>
    <row r="434">
      <c r="B434" s="24" t="n"/>
      <c r="J434" s="7" t="n"/>
      <c r="M434" s="27" t="n"/>
      <c r="O434" s="6" t="n"/>
    </row>
    <row r="435">
      <c r="B435" s="24" t="n"/>
      <c r="E435" s="41" t="n"/>
      <c r="M435" s="27" t="n"/>
      <c r="O435" s="6" t="n"/>
    </row>
    <row r="436">
      <c r="B436" s="24" t="n"/>
      <c r="M436" s="27" t="n"/>
      <c r="O436" s="6" t="n"/>
    </row>
    <row r="437">
      <c r="B437" s="24" t="n"/>
      <c r="M437" s="27" t="n"/>
      <c r="O437" s="6" t="n"/>
    </row>
    <row r="438">
      <c r="B438" s="24" t="n"/>
      <c r="E438" s="41" t="n"/>
      <c r="M438" s="27" t="n"/>
      <c r="O438" s="6" t="n"/>
    </row>
    <row r="439">
      <c r="B439" s="24" t="n"/>
      <c r="D439" s="25" t="n"/>
      <c r="E439" s="24" t="n"/>
      <c r="O439" s="6" t="n"/>
    </row>
    <row r="440">
      <c r="B440" s="24" t="n"/>
    </row>
    <row r="441">
      <c r="B441" s="24" t="n"/>
      <c r="M441" s="27" t="n"/>
      <c r="O441" s="6" t="n"/>
    </row>
    <row r="442">
      <c r="B442" s="24" t="n"/>
      <c r="M442" s="27" t="n"/>
      <c r="O442" s="6" t="n"/>
    </row>
    <row r="443">
      <c r="B443" s="24" t="n"/>
      <c r="E443" s="24" t="n"/>
      <c r="O443" s="6" t="n"/>
    </row>
    <row r="444">
      <c r="B444" s="24" t="n"/>
      <c r="M444" s="27" t="n"/>
      <c r="O444" s="6" t="n"/>
    </row>
    <row r="445">
      <c r="B445" s="24" t="n"/>
      <c r="E445" s="24" t="n"/>
      <c r="J445" s="70" t="n"/>
      <c r="O445" s="6" t="n"/>
    </row>
    <row r="446">
      <c r="B446" s="24" t="n"/>
      <c r="E446" s="24" t="n"/>
      <c r="O446" s="6" t="n"/>
    </row>
    <row r="447">
      <c r="B447" s="24" t="n"/>
      <c r="D447" s="25" t="n"/>
      <c r="E447" s="24" t="n"/>
      <c r="O447" s="6" t="n"/>
    </row>
    <row r="448">
      <c r="B448" s="24" t="n"/>
      <c r="D448" s="104" t="n"/>
      <c r="M448" s="27" t="n"/>
      <c r="O448" s="6" t="n"/>
    </row>
    <row r="449">
      <c r="B449" s="24" t="n"/>
      <c r="O449" s="6" t="n"/>
    </row>
    <row r="450">
      <c r="B450" s="24" t="n"/>
      <c r="M450" s="27" t="n"/>
      <c r="O450" s="6" t="n"/>
    </row>
    <row r="451">
      <c r="B451" s="24" t="n"/>
      <c r="J451" s="7" t="n"/>
      <c r="M451" s="27" t="n"/>
      <c r="O451" s="6" t="n"/>
    </row>
    <row r="452">
      <c r="B452" s="24" t="n"/>
      <c r="M452" s="27" t="n"/>
      <c r="O452" s="6" t="n"/>
    </row>
    <row r="453">
      <c r="B453" s="24" t="n"/>
      <c r="M453" s="27" t="n"/>
      <c r="O453" s="6" t="n"/>
    </row>
    <row r="454">
      <c r="B454" s="24" t="n"/>
    </row>
    <row r="455">
      <c r="A455" s="26" t="n"/>
      <c r="B455" s="24" t="n"/>
      <c r="J455" s="109" t="n"/>
      <c r="M455" s="27" t="n"/>
      <c r="O455" s="6" t="n"/>
    </row>
    <row r="456">
      <c r="B456" s="24" t="n"/>
    </row>
    <row r="457">
      <c r="B457" s="24" t="n"/>
      <c r="J457" s="72" t="n"/>
      <c r="M457" s="27" t="n"/>
      <c r="O457" s="6" t="n"/>
    </row>
    <row r="458">
      <c r="B458" s="24" t="n"/>
      <c r="E458" s="41" t="n"/>
      <c r="O458" s="6" t="n"/>
    </row>
    <row r="459">
      <c r="B459" s="24" t="n"/>
      <c r="J459" s="109" t="n"/>
      <c r="M459" s="27" t="n"/>
      <c r="O459" s="6" t="n"/>
    </row>
    <row r="460">
      <c r="B460" s="24" t="n"/>
    </row>
    <row r="461">
      <c r="B461" s="24" t="n"/>
      <c r="J461" s="109" t="n"/>
      <c r="O461" s="6" t="n"/>
    </row>
    <row r="462">
      <c r="B462" s="24" t="n"/>
      <c r="E462" s="24" t="n"/>
      <c r="O462" s="6" t="n"/>
    </row>
    <row r="463">
      <c r="B463" s="24" t="n"/>
      <c r="E463" s="24" t="n"/>
      <c r="J463" s="25" t="n"/>
      <c r="O463" s="6" t="n"/>
    </row>
    <row r="464">
      <c r="B464" s="24" t="n"/>
      <c r="I464" s="6" t="n"/>
      <c r="K464" s="32" t="n"/>
      <c r="L464" s="32" t="n"/>
      <c r="M464" s="32" t="n"/>
      <c r="O464" s="6" t="n"/>
    </row>
    <row r="465">
      <c r="B465" s="24" t="n"/>
    </row>
    <row r="466">
      <c r="B466" s="24" t="n"/>
      <c r="M466" s="27" t="n"/>
      <c r="O466" s="6" t="n"/>
    </row>
    <row r="467">
      <c r="B467" s="24" t="n"/>
      <c r="M467" s="27" t="n"/>
      <c r="O467" s="6" t="n"/>
    </row>
    <row r="468">
      <c r="B468" s="24" t="n"/>
      <c r="E468" s="24" t="n"/>
      <c r="O468" s="6" t="n"/>
    </row>
    <row r="469">
      <c r="B469" s="24" t="n"/>
      <c r="E469" s="41" t="n"/>
      <c r="O469" s="6" t="n"/>
    </row>
    <row r="470">
      <c r="B470" s="24" t="n"/>
      <c r="J470" s="107" t="n"/>
      <c r="K470" s="35" t="n"/>
      <c r="L470" s="35" t="n"/>
      <c r="M470" s="35" t="n"/>
      <c r="O470" s="6" t="n"/>
    </row>
    <row r="471">
      <c r="B471" s="24" t="n"/>
      <c r="E471" s="24" t="n"/>
      <c r="O471" s="6" t="n"/>
    </row>
    <row r="472">
      <c r="B472" s="24" t="n"/>
      <c r="J472" s="109" t="n"/>
      <c r="M472" s="27" t="n"/>
      <c r="O472" s="6" t="n"/>
    </row>
    <row r="473">
      <c r="B473" s="24" t="n"/>
      <c r="M473" s="27" t="n"/>
      <c r="O473" s="6" t="n"/>
    </row>
    <row r="474">
      <c r="B474" s="24" t="n"/>
      <c r="M474" s="27" t="n"/>
      <c r="O474" s="6" t="n"/>
    </row>
    <row r="475">
      <c r="B475" s="24" t="n"/>
      <c r="J475" s="71" t="n"/>
      <c r="M475" s="27" t="n"/>
      <c r="O475" s="6" t="n"/>
    </row>
    <row r="476">
      <c r="B476" s="24" t="n"/>
      <c r="J476" s="71" t="n"/>
      <c r="M476" s="27" t="n"/>
      <c r="O476" s="6" t="n"/>
    </row>
    <row r="477">
      <c r="B477" s="24" t="n"/>
      <c r="J477" s="71" t="n"/>
      <c r="M477" s="27" t="n"/>
      <c r="O477" s="6" t="n"/>
    </row>
    <row r="478">
      <c r="B478" s="24" t="n"/>
      <c r="D478" s="104" t="n"/>
      <c r="M478" s="27" t="n"/>
      <c r="O478" s="6" t="n"/>
    </row>
    <row r="479">
      <c r="B479" s="24" t="n"/>
      <c r="M479" s="27" t="n"/>
      <c r="O479" s="6" t="n"/>
    </row>
    <row r="480">
      <c r="B480" s="24" t="n"/>
    </row>
    <row r="481">
      <c r="B481" s="24" t="n"/>
      <c r="M481" s="27" t="n"/>
      <c r="O481" s="6" t="n"/>
    </row>
    <row r="482">
      <c r="B482" s="24" t="n"/>
      <c r="E482" s="24" t="n"/>
      <c r="O482" s="6" t="n"/>
    </row>
    <row r="483">
      <c r="B483" s="24" t="n"/>
      <c r="J483" s="107" t="n"/>
      <c r="M483" s="27" t="n"/>
      <c r="O483" s="6" t="n"/>
    </row>
    <row r="484">
      <c r="B484" s="24" t="n"/>
      <c r="D484" s="104" t="n"/>
      <c r="M484" s="27" t="n"/>
      <c r="O484" s="6" t="n"/>
    </row>
    <row r="485">
      <c r="B485" s="24" t="n"/>
      <c r="D485" s="25" t="n"/>
      <c r="E485" s="24" t="n"/>
      <c r="O485" s="6" t="n"/>
    </row>
    <row r="486">
      <c r="B486" s="24" t="n"/>
    </row>
    <row r="487">
      <c r="B487" s="24" t="n"/>
      <c r="E487" s="24" t="n"/>
      <c r="J487" s="71" t="n"/>
      <c r="O487" s="6" t="n"/>
    </row>
    <row r="488">
      <c r="B488" s="24" t="n"/>
      <c r="M488" s="27" t="n"/>
      <c r="O488" s="6" t="n"/>
    </row>
    <row r="489">
      <c r="B489" s="24" t="n"/>
      <c r="D489" s="50" t="n"/>
      <c r="E489" s="24" t="n"/>
      <c r="H489" s="26" t="n"/>
      <c r="O489" s="6" t="n"/>
    </row>
    <row r="490">
      <c r="B490" s="24" t="n"/>
    </row>
    <row r="491">
      <c r="B491" s="24" t="n"/>
      <c r="M491" s="27" t="n"/>
      <c r="O491" s="6" t="n"/>
    </row>
    <row r="492">
      <c r="B492" s="24" t="n"/>
      <c r="E492" s="24" t="n"/>
      <c r="J492" s="64" t="n"/>
      <c r="O492" s="6" t="n"/>
    </row>
    <row r="493">
      <c r="B493" s="24" t="n"/>
      <c r="M493" s="27" t="n"/>
      <c r="O493" s="6" t="n"/>
    </row>
    <row r="494">
      <c r="B494" s="24" t="n"/>
      <c r="M494" s="27" t="n"/>
      <c r="O494" s="6" t="n"/>
    </row>
    <row r="495">
      <c r="B495" s="24" t="n"/>
      <c r="M495" s="27" t="n"/>
      <c r="O495" s="6" t="n"/>
    </row>
    <row r="496">
      <c r="B496" s="24" t="n"/>
      <c r="J496" s="71" t="n"/>
      <c r="M496" s="27" t="n"/>
      <c r="O496" s="6" t="n"/>
    </row>
    <row r="497">
      <c r="B497" s="24" t="n"/>
      <c r="E497" s="24" t="n"/>
      <c r="J497" s="64" t="n"/>
      <c r="O497" s="6" t="n"/>
    </row>
    <row r="498">
      <c r="B498" s="24" t="n"/>
      <c r="E498" s="24" t="n"/>
      <c r="O498" s="6" t="n"/>
    </row>
    <row r="499">
      <c r="B499" s="24" t="n"/>
      <c r="M499" s="27" t="n"/>
      <c r="O499" s="6" t="n"/>
    </row>
    <row r="500">
      <c r="B500" s="24" t="n"/>
      <c r="E500" s="24" t="n"/>
      <c r="O500" s="6" t="n"/>
    </row>
    <row r="501">
      <c r="B501" s="24" t="n"/>
      <c r="E501" s="24" t="n"/>
      <c r="O501" s="6" t="n"/>
    </row>
    <row r="502">
      <c r="B502" s="24" t="n"/>
      <c r="E502" s="24" t="n"/>
    </row>
    <row r="503">
      <c r="B503" s="24" t="n"/>
      <c r="E503" s="24" t="n"/>
      <c r="M503" s="27" t="n"/>
      <c r="O503" s="6" t="n"/>
    </row>
    <row r="504">
      <c r="B504" s="24" t="n"/>
      <c r="E504" s="24" t="n"/>
      <c r="J504" s="109" t="n"/>
      <c r="O504" s="6" t="n"/>
    </row>
    <row r="505">
      <c r="A505" s="26" t="n"/>
      <c r="B505" s="24" t="n"/>
      <c r="M505" s="27" t="n"/>
      <c r="O505" s="6" t="n"/>
    </row>
    <row r="506">
      <c r="B506" s="24" t="n"/>
      <c r="I506" s="6" t="n"/>
      <c r="M506" s="27" t="n"/>
      <c r="O506" s="6" t="n"/>
    </row>
    <row r="507">
      <c r="B507" s="24" t="n"/>
      <c r="D507" s="25" t="n"/>
      <c r="E507" s="24" t="n"/>
      <c r="O507" s="6" t="n"/>
    </row>
    <row r="508">
      <c r="B508" s="24" t="n"/>
      <c r="D508" s="25" t="n"/>
      <c r="E508" s="24" t="n"/>
      <c r="J508" s="109" t="n"/>
      <c r="O508" s="6" t="n"/>
    </row>
    <row r="509">
      <c r="B509" s="24" t="n"/>
      <c r="E509" s="7" t="n"/>
      <c r="J509" s="71" t="n"/>
      <c r="O509" s="6" t="n"/>
    </row>
    <row r="510">
      <c r="B510" s="24" t="n"/>
      <c r="J510" s="68" t="n"/>
      <c r="M510" s="27" t="n"/>
      <c r="O510" s="6" t="n"/>
    </row>
    <row r="511">
      <c r="A511" s="26" t="n"/>
      <c r="B511" s="24" t="n"/>
      <c r="M511" s="27" t="n"/>
      <c r="O511" s="6" t="n"/>
    </row>
    <row r="512">
      <c r="B512" s="24" t="n"/>
      <c r="D512" s="25" t="n"/>
      <c r="E512" s="24" t="n"/>
      <c r="O512" s="6" t="n"/>
    </row>
    <row r="513">
      <c r="B513" s="24" t="n"/>
      <c r="M513" s="27" t="n"/>
      <c r="O513" s="6" t="n"/>
    </row>
    <row r="514">
      <c r="B514" s="24" t="n"/>
      <c r="E514" s="24" t="n"/>
      <c r="O514" s="6" t="n"/>
    </row>
    <row r="515">
      <c r="B515" s="24" t="n"/>
      <c r="M515" s="27" t="n"/>
      <c r="O515" s="6" t="n"/>
    </row>
    <row r="516">
      <c r="B516" s="24" t="n"/>
      <c r="E516" s="24" t="n"/>
      <c r="O516" s="6" t="n"/>
    </row>
    <row r="517">
      <c r="B517" s="24" t="n"/>
      <c r="J517" s="108" t="n"/>
      <c r="M517" s="27" t="n"/>
      <c r="O517" s="6" t="n"/>
    </row>
    <row r="518">
      <c r="B518" s="24" t="n"/>
      <c r="E518" s="24" t="n"/>
      <c r="O518" s="6" t="n"/>
    </row>
    <row r="519">
      <c r="B519" s="24" t="n"/>
      <c r="M519" s="27" t="n"/>
      <c r="O519" s="6" t="n"/>
    </row>
    <row r="520">
      <c r="B520" s="24" t="n"/>
      <c r="M520" s="27" t="n"/>
      <c r="O520" s="6" t="n"/>
    </row>
    <row r="521">
      <c r="B521" s="24" t="n"/>
    </row>
    <row r="522">
      <c r="B522" s="24" t="n"/>
      <c r="D522" s="104" t="n"/>
      <c r="M522" s="27" t="n"/>
      <c r="O522" s="6" t="n"/>
    </row>
    <row r="523">
      <c r="B523" s="24" t="n"/>
      <c r="O523" s="6" t="n"/>
    </row>
    <row r="524">
      <c r="B524" s="24" t="n"/>
      <c r="D524" s="25" t="n"/>
      <c r="E524" s="24" t="n"/>
      <c r="O524" s="6" t="n"/>
    </row>
    <row r="525">
      <c r="B525" s="24" t="n"/>
      <c r="E525" s="24" t="n"/>
      <c r="O525" s="6" t="n"/>
    </row>
    <row r="526">
      <c r="B526" s="24" t="n"/>
      <c r="M526" s="27" t="n"/>
      <c r="O526" s="6" t="n"/>
    </row>
    <row r="527">
      <c r="B527" s="24" t="n"/>
    </row>
    <row r="528">
      <c r="B528" s="24" t="n"/>
    </row>
    <row r="529">
      <c r="B529" s="24" t="n"/>
      <c r="D529" s="104" t="n"/>
      <c r="M529" s="27" t="n"/>
      <c r="O529" s="6" t="n"/>
    </row>
    <row r="530">
      <c r="B530" s="24" t="n"/>
      <c r="M530" s="27" t="n"/>
      <c r="O530" s="6" t="n"/>
    </row>
    <row r="531">
      <c r="B531" s="24" t="n"/>
      <c r="M531" s="27" t="n"/>
      <c r="O531" s="6" t="n"/>
    </row>
    <row r="532">
      <c r="B532" s="24" t="n"/>
    </row>
    <row r="533">
      <c r="B533" s="24" t="n"/>
      <c r="M533" s="27" t="n"/>
      <c r="O533" s="6" t="n"/>
    </row>
    <row r="534">
      <c r="B534" s="24" t="n"/>
    </row>
    <row r="535">
      <c r="B535" s="24" t="n"/>
    </row>
    <row r="536">
      <c r="B536" s="24" t="n"/>
      <c r="O536" s="6" t="n"/>
    </row>
    <row r="537">
      <c r="B537" s="24" t="n"/>
      <c r="E537" s="24" t="n"/>
      <c r="O537" s="6" t="n"/>
    </row>
    <row r="538">
      <c r="B538" s="24" t="n"/>
    </row>
    <row r="539">
      <c r="B539" s="24" t="n"/>
      <c r="D539" s="104" t="n"/>
      <c r="M539" s="27" t="n"/>
      <c r="O539" s="6" t="n"/>
    </row>
    <row r="540">
      <c r="B540" s="24" t="n"/>
      <c r="M540" s="27" t="n"/>
      <c r="O540" s="6" t="n"/>
    </row>
    <row r="541">
      <c r="B541" s="24" t="n"/>
      <c r="M541" s="27" t="n"/>
      <c r="O541" s="6" t="n"/>
    </row>
    <row r="542">
      <c r="B542" s="24" t="n"/>
      <c r="M542" s="27" t="n"/>
      <c r="O542" s="6" t="n"/>
    </row>
    <row r="543">
      <c r="B543" s="24" t="n"/>
      <c r="M543" s="27" t="n"/>
      <c r="O543" s="6" t="n"/>
    </row>
    <row r="544">
      <c r="B544" s="24" t="n"/>
      <c r="E544" s="24" t="n"/>
      <c r="O544" s="6" t="n"/>
    </row>
    <row r="545">
      <c r="B545" s="24" t="n"/>
      <c r="E545" s="24" t="n"/>
      <c r="O545" s="6" t="n"/>
    </row>
    <row r="546">
      <c r="B546" s="24" t="n"/>
      <c r="E546" s="24" t="n"/>
      <c r="O546" s="6" t="n"/>
    </row>
    <row r="547">
      <c r="B547" s="24" t="n"/>
    </row>
    <row r="548">
      <c r="B548" s="24" t="n"/>
    </row>
    <row r="549">
      <c r="B549" s="24" t="n"/>
      <c r="E549" s="24" t="n"/>
      <c r="O549" s="6" t="n"/>
    </row>
    <row r="550">
      <c r="B550" s="24" t="n"/>
      <c r="E550" s="24" t="n"/>
      <c r="O550" s="6" t="n"/>
    </row>
    <row r="551">
      <c r="B551" s="24" t="n"/>
      <c r="J551" s="24" t="n"/>
      <c r="M551" s="27" t="n"/>
      <c r="O551" s="6" t="n"/>
    </row>
    <row r="552">
      <c r="B552" s="24" t="n"/>
      <c r="D552" s="25" t="n"/>
      <c r="E552" s="24" t="n"/>
      <c r="J552" s="109" t="n"/>
      <c r="O552" s="6" t="n"/>
    </row>
    <row r="553">
      <c r="B553" s="24" t="n"/>
      <c r="E553" s="24" t="n"/>
      <c r="J553" s="64" t="n"/>
      <c r="O553" s="6" t="n"/>
    </row>
    <row r="554">
      <c r="B554" s="24" t="n"/>
      <c r="M554" s="27" t="n"/>
      <c r="O554" s="6" t="n"/>
    </row>
    <row r="555">
      <c r="B555" s="24" t="n"/>
      <c r="M555" s="27" t="n"/>
      <c r="O555" s="6" t="n"/>
    </row>
    <row r="556">
      <c r="B556" s="24" t="n"/>
      <c r="M556" s="27" t="n"/>
      <c r="O556" s="6" t="n"/>
    </row>
    <row r="557">
      <c r="B557" s="24" t="n"/>
      <c r="D557" s="25" t="n"/>
      <c r="E557" s="24" t="n"/>
      <c r="J557" s="71" t="n"/>
      <c r="O557" s="6" t="n"/>
    </row>
    <row r="558">
      <c r="B558" s="24" t="n"/>
    </row>
    <row r="559">
      <c r="B559" s="24" t="n"/>
      <c r="E559" s="24" t="n"/>
      <c r="O559" s="6" t="n"/>
    </row>
    <row r="560">
      <c r="B560" s="24" t="n"/>
    </row>
    <row r="561">
      <c r="B561" s="24" t="n"/>
      <c r="M561" s="27" t="n"/>
      <c r="O561" s="6" t="n"/>
    </row>
    <row r="562">
      <c r="B562" s="24" t="n"/>
      <c r="O562" s="6" t="n"/>
    </row>
    <row r="563">
      <c r="A563" s="26" t="n"/>
      <c r="B563" s="24" t="n"/>
      <c r="M563" s="27" t="n"/>
      <c r="O563" s="6" t="n"/>
    </row>
    <row r="564">
      <c r="B564" s="24" t="n"/>
      <c r="M564" s="27" t="n"/>
      <c r="O564" s="6" t="n"/>
    </row>
    <row r="565">
      <c r="B565" s="24" t="n"/>
    </row>
    <row r="566">
      <c r="B566" s="24" t="n"/>
      <c r="H566" s="18" t="n"/>
      <c r="M566" s="27" t="n"/>
      <c r="O566" s="6" t="n"/>
    </row>
    <row r="567">
      <c r="B567" s="24" t="n"/>
      <c r="M567" s="27" t="n"/>
      <c r="O567" s="6" t="n"/>
    </row>
    <row r="568">
      <c r="B568" s="24" t="n"/>
      <c r="M568" s="27" t="n"/>
      <c r="O568" s="6" t="n"/>
    </row>
    <row r="569">
      <c r="B569" s="24" t="n"/>
      <c r="E569" s="24" t="n"/>
      <c r="O569" s="6" t="n"/>
    </row>
    <row r="570">
      <c r="B570" s="24" t="n"/>
    </row>
    <row r="571">
      <c r="B571" s="24" t="n"/>
    </row>
    <row r="572">
      <c r="B572" s="24" t="n"/>
      <c r="M572" s="27" t="n"/>
      <c r="O572" s="6" t="n"/>
    </row>
    <row r="573">
      <c r="B573" s="24" t="n"/>
    </row>
    <row r="574">
      <c r="B574" s="24" t="n"/>
    </row>
    <row r="575">
      <c r="B575" s="24" t="n"/>
      <c r="I575" s="6" t="n"/>
      <c r="J575" s="9" t="n"/>
      <c r="M575" s="27" t="n"/>
      <c r="O575" s="6" t="n"/>
    </row>
    <row r="576">
      <c r="B576" s="24" t="n"/>
      <c r="E576" s="24" t="n"/>
      <c r="O576" s="6" t="n"/>
    </row>
    <row r="577">
      <c r="B577" s="24" t="n"/>
      <c r="J577" s="107" t="n"/>
      <c r="M577" s="27" t="n"/>
      <c r="O577" s="6" t="n"/>
    </row>
    <row r="578">
      <c r="B578" s="24" t="n"/>
      <c r="M578" s="27" t="n"/>
      <c r="O578" s="6" t="n"/>
    </row>
    <row r="579">
      <c r="B579" s="24" t="n"/>
      <c r="M579" s="35" t="n"/>
      <c r="N579" s="101" t="n"/>
      <c r="O579" s="6" t="n"/>
    </row>
    <row r="580">
      <c r="B580" s="24" t="n"/>
      <c r="M580" s="27" t="n"/>
      <c r="O580" s="6" t="n"/>
    </row>
    <row r="581">
      <c r="B581" s="24" t="n"/>
      <c r="M581" s="27" t="n"/>
      <c r="O581" s="6" t="n"/>
    </row>
    <row r="582">
      <c r="B582" s="24" t="n"/>
      <c r="E582" s="24" t="n"/>
      <c r="O582" s="6" t="n"/>
    </row>
    <row r="583">
      <c r="B583" s="24" t="n"/>
      <c r="E583" s="24" t="n"/>
      <c r="O583" s="6" t="n"/>
    </row>
    <row r="584">
      <c r="B584" s="24" t="n"/>
      <c r="E584" s="24" t="n"/>
      <c r="O584" s="6" t="n"/>
    </row>
    <row r="585">
      <c r="B585" s="24" t="n"/>
      <c r="M585" s="27" t="n"/>
      <c r="O585" s="6" t="n"/>
    </row>
    <row r="586">
      <c r="B586" s="24" t="n"/>
      <c r="M586" s="27" t="n"/>
      <c r="O586" s="6" t="n"/>
    </row>
    <row r="587">
      <c r="B587" s="24" t="n"/>
      <c r="O587" s="6" t="n"/>
    </row>
    <row r="588">
      <c r="B588" s="24" t="n"/>
    </row>
    <row r="589">
      <c r="B589" s="24" t="n"/>
      <c r="E589" s="24" t="n"/>
      <c r="O589" s="6" t="n"/>
    </row>
    <row r="590">
      <c r="B590" s="24" t="n"/>
      <c r="M590" s="27" t="n"/>
      <c r="O590" s="6" t="n"/>
    </row>
    <row r="591">
      <c r="B591" s="24" t="n"/>
      <c r="M591" s="27" t="n"/>
      <c r="O591" s="6" t="n"/>
    </row>
    <row r="592">
      <c r="B592" s="24" t="n"/>
      <c r="M592" s="27" t="n"/>
      <c r="O592" s="6" t="n"/>
    </row>
    <row r="593">
      <c r="B593" s="24" t="n"/>
      <c r="M593" s="27" t="n"/>
      <c r="O593" s="6" t="n"/>
    </row>
    <row r="594">
      <c r="B594" s="24" t="n"/>
    </row>
    <row r="595">
      <c r="B595" s="24" t="n"/>
      <c r="J595" s="64" t="n"/>
      <c r="M595" s="27" t="n"/>
      <c r="O595" s="6" t="n"/>
    </row>
    <row r="596">
      <c r="B596" s="24" t="n"/>
      <c r="M596" s="27" t="n"/>
      <c r="O596" s="6" t="n"/>
    </row>
    <row r="597">
      <c r="B597" s="24" t="n"/>
      <c r="M597" s="35" t="n"/>
      <c r="O597" s="6" t="n"/>
    </row>
    <row r="598">
      <c r="B598" s="24" t="n"/>
      <c r="E598" s="24" t="n"/>
      <c r="O598" s="6" t="n"/>
    </row>
    <row r="599">
      <c r="B599" s="24" t="n"/>
      <c r="E599" s="24" t="n"/>
      <c r="O599" s="6" t="n"/>
    </row>
    <row r="600">
      <c r="B600" s="24" t="n"/>
    </row>
    <row r="601">
      <c r="B601" s="24" t="n"/>
      <c r="J601" s="25" t="n"/>
    </row>
    <row r="602">
      <c r="B602" s="24" t="n"/>
      <c r="E602" s="24" t="n"/>
      <c r="O602" s="6" t="n"/>
    </row>
    <row r="603">
      <c r="B603" s="24" t="n"/>
      <c r="E603" s="24" t="n"/>
      <c r="O603" s="6" t="n"/>
    </row>
    <row r="604">
      <c r="B604" s="24" t="n"/>
      <c r="M604" s="27" t="n"/>
      <c r="O604" s="6" t="n"/>
    </row>
    <row r="605">
      <c r="B605" s="24" t="n"/>
      <c r="M605" s="27" t="n"/>
      <c r="O605" s="6" t="n"/>
    </row>
    <row r="606">
      <c r="B606" s="24" t="n"/>
      <c r="E606" s="24" t="n"/>
    </row>
    <row r="607">
      <c r="B607" s="24" t="n"/>
    </row>
    <row r="608">
      <c r="B608" s="24" t="n"/>
      <c r="E608" s="24" t="n"/>
      <c r="O608" s="6" t="n"/>
    </row>
    <row r="609">
      <c r="B609" s="24" t="n"/>
      <c r="E609" s="24" t="n"/>
      <c r="O609" s="6" t="n"/>
    </row>
    <row r="610">
      <c r="B610" s="24" t="n"/>
      <c r="E610" s="24" t="n"/>
      <c r="O610" s="6" t="n"/>
    </row>
    <row r="611">
      <c r="B611" s="24" t="n"/>
      <c r="M611" s="27" t="n"/>
      <c r="O611" s="6" t="n"/>
    </row>
    <row r="612">
      <c r="B612" s="24" t="n"/>
      <c r="D612" s="25" t="n"/>
      <c r="E612" s="24" t="n"/>
      <c r="O612" s="6" t="n"/>
    </row>
    <row r="613">
      <c r="B613" s="24" t="n"/>
    </row>
    <row r="614">
      <c r="B614" s="24" t="n"/>
    </row>
    <row r="615">
      <c r="B615" s="24" t="n"/>
      <c r="M615" s="27" t="n"/>
      <c r="O615" s="6" t="n"/>
    </row>
    <row r="616">
      <c r="B616" s="24" t="n"/>
      <c r="J616" t="n"/>
      <c r="K616" s="35" t="n"/>
      <c r="L616" s="35" t="n"/>
      <c r="M616" s="35" t="n"/>
      <c r="O616" s="6" t="n"/>
    </row>
    <row r="617">
      <c r="B617" s="24" t="n"/>
      <c r="E617" s="24" t="n"/>
      <c r="O617" s="6" t="n"/>
    </row>
    <row r="618">
      <c r="B618" s="24" t="n"/>
      <c r="M618" s="27" t="n"/>
      <c r="O618" s="6" t="n"/>
    </row>
    <row r="619">
      <c r="B619" s="24" t="n"/>
      <c r="M619" s="27" t="n"/>
      <c r="O619" s="6" t="n"/>
    </row>
    <row r="620">
      <c r="B620" s="24" t="n"/>
      <c r="E620" s="24" t="n"/>
      <c r="O620" s="6" t="n"/>
    </row>
    <row r="621">
      <c r="B621" s="24" t="n"/>
    </row>
    <row r="622">
      <c r="B622" s="24" t="n"/>
      <c r="E622" s="24" t="n"/>
      <c r="O622" s="6" t="n"/>
    </row>
    <row r="623">
      <c r="B623" s="24" t="n"/>
      <c r="M623" s="27" t="n"/>
      <c r="O623" s="6" t="n"/>
    </row>
    <row r="624">
      <c r="B624" s="24" t="n"/>
      <c r="E624" s="24" t="n"/>
      <c r="J624" s="64" t="n"/>
      <c r="O624" s="6" t="n"/>
    </row>
    <row r="625">
      <c r="B625" s="24" t="n"/>
      <c r="E625" s="24" t="n"/>
      <c r="N625" s="97" t="n"/>
      <c r="O625" s="6" t="n"/>
    </row>
    <row r="626">
      <c r="B626" s="24" t="n"/>
      <c r="M626" s="27" t="n"/>
      <c r="O626" s="6" t="n"/>
    </row>
    <row r="627">
      <c r="B627" s="24" t="n"/>
      <c r="M627" s="27" t="n"/>
      <c r="O627" s="6" t="n"/>
    </row>
    <row r="628">
      <c r="B628" s="24" t="n"/>
      <c r="M628" s="27" t="n"/>
      <c r="O628" s="6" t="n"/>
    </row>
    <row r="629">
      <c r="B629" s="24" t="n"/>
      <c r="E629" s="24" t="n"/>
      <c r="J629" s="64" t="n"/>
      <c r="O629" s="6" t="n"/>
    </row>
    <row r="630">
      <c r="B630" s="24" t="n"/>
      <c r="E630" s="24" t="n"/>
      <c r="O630" s="6" t="n"/>
    </row>
    <row r="631">
      <c r="B631" s="24" t="n"/>
      <c r="E631" s="24" t="n"/>
      <c r="J631" s="25" t="n"/>
      <c r="O631" s="6" t="n"/>
    </row>
    <row r="632">
      <c r="B632" s="24" t="n"/>
      <c r="J632" s="68" t="n"/>
      <c r="M632" s="27" t="n"/>
      <c r="O632" s="6" t="n"/>
    </row>
    <row r="633">
      <c r="B633" s="24" t="n"/>
      <c r="D633" s="25" t="n"/>
      <c r="E633" s="24" t="n"/>
      <c r="O633" s="6" t="n"/>
    </row>
    <row r="634">
      <c r="B634" s="24" t="n"/>
      <c r="E634" s="24" t="n"/>
      <c r="O634" s="6" t="n"/>
    </row>
    <row r="635">
      <c r="B635" s="24" t="n"/>
      <c r="E635" s="24" t="n"/>
      <c r="N635" s="97" t="n"/>
      <c r="O635" s="6" t="n"/>
    </row>
    <row r="636">
      <c r="B636" s="24" t="n"/>
      <c r="M636" s="27" t="n"/>
      <c r="O636" s="6" t="n"/>
    </row>
    <row r="637">
      <c r="B637" s="24" t="n"/>
      <c r="E637" s="24" t="n"/>
      <c r="N637" s="97" t="n"/>
      <c r="O637" s="6" t="n"/>
    </row>
    <row r="638">
      <c r="B638" s="24" t="n"/>
      <c r="M638" s="27" t="n"/>
      <c r="O638" s="6" t="n"/>
    </row>
    <row r="639">
      <c r="B639" s="24" t="n"/>
      <c r="E639" s="24" t="n"/>
      <c r="O639" s="6" t="n"/>
    </row>
    <row r="640">
      <c r="B640" s="24" t="n"/>
      <c r="D640" s="25" t="n"/>
      <c r="E640" s="24" t="n"/>
      <c r="N640" s="97" t="n"/>
      <c r="O640" s="6" t="n"/>
    </row>
    <row r="641">
      <c r="B641" s="24" t="n"/>
      <c r="M641" s="27" t="n"/>
      <c r="O641" s="6" t="n"/>
    </row>
    <row r="642">
      <c r="B642" s="24" t="n"/>
    </row>
    <row r="643">
      <c r="B643" s="24" t="n"/>
      <c r="D643" s="25" t="n"/>
      <c r="E643" s="24" t="n"/>
      <c r="N643" s="97" t="n"/>
      <c r="O643" s="6" t="n"/>
    </row>
    <row r="644">
      <c r="B644" s="24" t="n"/>
      <c r="E644" s="24" t="n"/>
      <c r="O644" s="6" t="n"/>
    </row>
    <row r="645">
      <c r="B645" s="24" t="n"/>
      <c r="E645" s="24" t="n"/>
      <c r="J645" s="71" t="n"/>
      <c r="O645" s="6" t="n"/>
    </row>
    <row r="646">
      <c r="B646" s="24" t="n"/>
      <c r="M646" s="27" t="n"/>
      <c r="O646" s="6" t="n"/>
    </row>
    <row r="647">
      <c r="B647" s="24" t="n"/>
      <c r="M647" s="27" t="n"/>
      <c r="O647" s="6" t="n"/>
    </row>
    <row r="648">
      <c r="B648" s="24" t="n"/>
      <c r="E648" s="24" t="n"/>
      <c r="O648" s="6" t="n"/>
    </row>
    <row r="649" ht="14.25" customHeight="1">
      <c r="B649" s="24" t="n"/>
      <c r="I649" s="63" t="n"/>
      <c r="M649" s="35" t="n"/>
      <c r="O649" s="6" t="n"/>
    </row>
    <row r="650" ht="14.25" customHeight="1">
      <c r="B650" s="24" t="n"/>
    </row>
    <row r="651">
      <c r="B651" s="24" t="n"/>
      <c r="J651" s="71" t="n"/>
      <c r="M651" s="27" t="n"/>
      <c r="O651" s="6" t="n"/>
    </row>
    <row r="652">
      <c r="B652" s="24" t="n"/>
      <c r="H652" s="18" t="n"/>
      <c r="O652" s="6" t="n"/>
    </row>
    <row r="653">
      <c r="A653" s="26" t="n"/>
      <c r="B653" s="24" t="n"/>
      <c r="O653" s="6" t="n"/>
    </row>
    <row r="654">
      <c r="B654" s="24" t="n"/>
      <c r="D654" s="50" t="n"/>
      <c r="E654" s="24" t="n"/>
      <c r="H654" s="26" t="n"/>
      <c r="O654" s="6" t="n"/>
    </row>
    <row r="655">
      <c r="B655" s="24" t="n"/>
      <c r="D655" s="50" t="n"/>
      <c r="E655" s="24" t="n"/>
      <c r="H655" s="26" t="n"/>
      <c r="O655" s="6" t="n"/>
    </row>
    <row r="656">
      <c r="B656" s="24" t="n"/>
      <c r="E656" s="24" t="n"/>
      <c r="O656" s="6" t="n"/>
    </row>
    <row r="657">
      <c r="B657" s="24" t="n"/>
      <c r="D657" s="50" t="n"/>
      <c r="E657" s="24" t="n"/>
      <c r="H657" s="26" t="n"/>
      <c r="O657" s="6" t="n"/>
    </row>
    <row r="658">
      <c r="B658" s="24" t="n"/>
      <c r="D658" s="25" t="n"/>
      <c r="E658" s="24" t="n"/>
      <c r="O658" s="6" t="n"/>
    </row>
    <row r="659">
      <c r="B659" s="24" t="n"/>
      <c r="D659" s="25" t="n"/>
      <c r="E659" s="24" t="n"/>
      <c r="O659" s="6" t="n"/>
    </row>
    <row r="660">
      <c r="B660" s="24" t="n"/>
      <c r="D660" s="25" t="n"/>
      <c r="E660" s="24" t="n"/>
      <c r="O660" s="6" t="n"/>
    </row>
    <row r="661">
      <c r="B661" s="24" t="n"/>
      <c r="D661" s="25" t="n"/>
      <c r="E661" s="24" t="n"/>
      <c r="O661" s="6" t="n"/>
    </row>
    <row r="662">
      <c r="B662" s="24" t="n"/>
      <c r="D662" s="25" t="n"/>
      <c r="E662" s="24" t="n"/>
      <c r="O662" s="6" t="n"/>
    </row>
    <row r="663">
      <c r="B663" s="24" t="n"/>
      <c r="D663" s="50" t="n"/>
      <c r="E663" s="24" t="n"/>
      <c r="H663" s="26" t="n"/>
      <c r="O663" s="6" t="n"/>
    </row>
    <row r="664">
      <c r="B664" s="24" t="n"/>
      <c r="M664" s="27" t="n"/>
      <c r="O664" s="6" t="n"/>
    </row>
    <row r="665">
      <c r="B665" s="24" t="n"/>
      <c r="D665" s="50" t="n"/>
      <c r="E665" s="24" t="n"/>
      <c r="H665" s="26" t="n"/>
      <c r="O665" s="6" t="n"/>
    </row>
    <row r="666">
      <c r="B666" s="24" t="n"/>
      <c r="M666" s="27" t="n"/>
      <c r="O666" s="6" t="n"/>
    </row>
    <row r="667">
      <c r="B667" s="24" t="n"/>
      <c r="D667" s="50" t="n"/>
      <c r="E667" s="24" t="n"/>
      <c r="H667" s="26" t="n"/>
      <c r="O667" s="6" t="n"/>
    </row>
    <row r="668">
      <c r="B668" s="24" t="n"/>
      <c r="M668" s="27" t="n"/>
      <c r="O668" s="6" t="n"/>
    </row>
    <row r="669">
      <c r="B669" s="24" t="n"/>
      <c r="D669" s="25" t="n"/>
      <c r="E669" s="24" t="n"/>
      <c r="O669" s="6" t="n"/>
    </row>
    <row r="670">
      <c r="B670" s="24" t="n"/>
      <c r="D670" s="50" t="n"/>
      <c r="E670" s="24" t="n"/>
      <c r="H670" s="26" t="n"/>
      <c r="O670" s="6" t="n"/>
    </row>
    <row r="671">
      <c r="B671" s="24" t="n"/>
      <c r="E671" s="24" t="n"/>
      <c r="O671" s="6" t="n"/>
    </row>
    <row r="672">
      <c r="B672" s="24" t="n"/>
      <c r="E672" s="24" t="n"/>
      <c r="O672" s="6" t="n"/>
    </row>
    <row r="673">
      <c r="B673" s="24" t="n"/>
      <c r="M673" s="27" t="n"/>
      <c r="O673" s="6" t="n"/>
    </row>
    <row r="674">
      <c r="B674" s="24" t="n"/>
      <c r="D674" s="25" t="n"/>
      <c r="E674" s="24" t="n"/>
      <c r="O674" s="6" t="n"/>
    </row>
    <row r="675">
      <c r="B675" s="24" t="n"/>
      <c r="D675" s="25" t="n"/>
      <c r="E675" s="24" t="n"/>
      <c r="O675" s="6" t="n"/>
    </row>
    <row r="676">
      <c r="B676" s="24" t="n"/>
      <c r="D676" s="25" t="n"/>
      <c r="E676" s="24" t="n"/>
      <c r="O676" s="6" t="n"/>
    </row>
    <row r="677">
      <c r="B677" s="24" t="n"/>
      <c r="D677" s="50" t="n"/>
      <c r="E677" s="24" t="n"/>
      <c r="H677" s="26" t="n"/>
      <c r="O677" s="6" t="n"/>
    </row>
    <row r="678">
      <c r="B678" s="24" t="n"/>
      <c r="D678" s="25" t="n"/>
      <c r="E678" s="24" t="n"/>
      <c r="O678" s="6" t="n"/>
    </row>
    <row r="679">
      <c r="B679" s="24" t="n"/>
      <c r="D679" s="25" t="n"/>
      <c r="E679" s="24" t="n"/>
      <c r="O679" s="6" t="n"/>
    </row>
    <row r="680">
      <c r="B680" s="24" t="n"/>
      <c r="M680" s="27" t="n"/>
      <c r="O680" s="6" t="n"/>
    </row>
    <row r="681">
      <c r="B681" s="24" t="n"/>
      <c r="D681" s="25" t="n"/>
      <c r="E681" s="24" t="n"/>
      <c r="O681" s="6" t="n"/>
    </row>
    <row r="682">
      <c r="B682" s="24" t="n"/>
      <c r="D682" s="25" t="n"/>
      <c r="E682" s="24" t="n"/>
      <c r="O682" s="6" t="n"/>
    </row>
    <row r="683">
      <c r="B683" s="24" t="n"/>
      <c r="D683" s="25" t="n"/>
      <c r="E683" s="24" t="n"/>
      <c r="O683" s="6" t="n"/>
    </row>
    <row r="684">
      <c r="B684" s="24" t="n"/>
      <c r="M684" s="27" t="n"/>
      <c r="O684" s="6" t="n"/>
    </row>
    <row r="685">
      <c r="B685" s="24" t="n"/>
      <c r="D685" s="25" t="n"/>
      <c r="E685" s="24" t="n"/>
      <c r="O685" s="6" t="n"/>
    </row>
    <row r="686">
      <c r="B686" s="24" t="n"/>
      <c r="E686" s="24" t="n"/>
      <c r="O686" s="6" t="n"/>
    </row>
    <row r="687">
      <c r="B687" s="24" t="n"/>
      <c r="E687" s="24" t="n"/>
      <c r="O687" s="6" t="n"/>
    </row>
    <row r="688">
      <c r="B688" s="24" t="n"/>
      <c r="D688" s="25" t="n"/>
      <c r="E688" s="24" t="n"/>
      <c r="O688" s="6" t="n"/>
    </row>
    <row r="689">
      <c r="B689" s="24" t="n"/>
      <c r="D689" s="25" t="n"/>
      <c r="E689" s="24" t="n"/>
      <c r="O689" s="6" t="n"/>
    </row>
    <row r="690">
      <c r="B690" s="24" t="n"/>
      <c r="D690" s="25" t="n"/>
      <c r="E690" s="24" t="n"/>
      <c r="O690" s="6" t="n"/>
    </row>
    <row r="691">
      <c r="B691" s="24" t="n"/>
      <c r="M691" s="35" t="n"/>
      <c r="O691" s="6" t="n"/>
    </row>
    <row r="692">
      <c r="B692" s="24" t="n"/>
      <c r="D692" s="25" t="n"/>
      <c r="E692" s="24" t="n"/>
      <c r="O692" s="6" t="n"/>
    </row>
    <row r="693">
      <c r="B693" s="24" t="n"/>
      <c r="D693" s="25" t="n"/>
      <c r="E693" s="24" t="n"/>
      <c r="O693" s="6" t="n"/>
    </row>
    <row r="694">
      <c r="B694" s="24" t="n"/>
      <c r="D694" s="25" t="n"/>
      <c r="E694" s="24" t="n"/>
      <c r="O694" s="6" t="n"/>
    </row>
    <row r="695">
      <c r="B695" s="24" t="n"/>
      <c r="M695" s="27" t="n"/>
      <c r="O695" s="6" t="n"/>
    </row>
    <row r="696">
      <c r="B696" s="24" t="n"/>
      <c r="D696" s="25" t="n"/>
      <c r="E696" s="24" t="n"/>
      <c r="O696" s="6" t="n"/>
    </row>
    <row r="697">
      <c r="B697" s="24" t="n"/>
      <c r="D697" s="25" t="n"/>
      <c r="E697" s="24" t="n"/>
      <c r="O697" s="6" t="n"/>
    </row>
    <row r="698">
      <c r="B698" s="24" t="n"/>
      <c r="D698" s="50" t="n"/>
      <c r="E698" s="24" t="n"/>
      <c r="H698" s="26" t="n"/>
      <c r="O698" s="6" t="n"/>
    </row>
    <row r="699">
      <c r="B699" s="24" t="n"/>
      <c r="D699" s="25" t="n"/>
      <c r="E699" s="24" t="n"/>
      <c r="O699" s="6" t="n"/>
    </row>
    <row r="700">
      <c r="B700" s="24" t="n"/>
      <c r="E700" s="24" t="n"/>
      <c r="O700" s="6" t="n"/>
    </row>
    <row r="701">
      <c r="B701" s="24" t="n"/>
      <c r="D701" s="50" t="n"/>
      <c r="E701" s="24" t="n"/>
      <c r="H701" s="26" t="n"/>
      <c r="O701" s="6" t="n"/>
    </row>
    <row r="702">
      <c r="B702" s="24" t="n"/>
      <c r="I702" s="63" t="n"/>
      <c r="M702" s="35" t="n"/>
      <c r="O702" s="6" t="n"/>
    </row>
    <row r="703">
      <c r="B703" s="24" t="n"/>
      <c r="D703" s="26" t="n"/>
      <c r="E703" s="24" t="n"/>
      <c r="O703" s="6" t="n"/>
    </row>
    <row r="704">
      <c r="B704" s="24" t="n"/>
      <c r="E704" s="24" t="n"/>
      <c r="O704" s="6" t="n"/>
    </row>
    <row r="705">
      <c r="B705" s="24" t="n"/>
      <c r="D705" s="25" t="n"/>
      <c r="E705" s="24" t="n"/>
      <c r="H705" s="18" t="n"/>
      <c r="O705" s="6" t="n"/>
    </row>
    <row r="706">
      <c r="B706" s="24" t="n"/>
      <c r="D706" s="25" t="n"/>
      <c r="E706" s="24" t="n"/>
      <c r="O706" s="6" t="n"/>
    </row>
    <row r="707">
      <c r="B707" s="24" t="n"/>
      <c r="D707" s="25" t="n"/>
      <c r="E707" s="24" t="n"/>
      <c r="O707" s="6" t="n"/>
    </row>
    <row r="708">
      <c r="B708" s="24" t="n"/>
      <c r="D708" s="25" t="n"/>
      <c r="E708" s="24" t="n"/>
      <c r="O708" s="6" t="n"/>
    </row>
    <row r="709">
      <c r="B709" s="24" t="n"/>
      <c r="E709" s="24" t="n"/>
      <c r="O709" s="6" t="n"/>
    </row>
    <row r="710">
      <c r="B710" s="24" t="n"/>
      <c r="J710" s="65" t="n"/>
      <c r="M710" s="27" t="n"/>
      <c r="O710" s="6" t="n"/>
    </row>
    <row r="711">
      <c r="B711" s="24" t="n"/>
      <c r="I711" s="6" t="n"/>
      <c r="M711" s="35" t="n"/>
      <c r="O711" s="6" t="n"/>
    </row>
    <row r="712">
      <c r="B712" s="24" t="n"/>
      <c r="K712" s="32" t="n"/>
      <c r="L712" s="32" t="n"/>
      <c r="M712" s="32" t="n"/>
      <c r="O712" s="6" t="n"/>
    </row>
    <row r="713">
      <c r="B713" s="24" t="n"/>
      <c r="D713" s="25" t="n"/>
      <c r="E713" s="24" t="n"/>
      <c r="O713" s="6" t="n"/>
    </row>
    <row r="714">
      <c r="B714" s="24" t="n"/>
      <c r="E714" s="24" t="n"/>
      <c r="O714" s="6" t="n"/>
    </row>
    <row r="715">
      <c r="B715" s="24" t="n"/>
      <c r="D715" s="25" t="n"/>
      <c r="E715" s="24" t="n"/>
      <c r="H715" s="18" t="n"/>
      <c r="O715" s="6" t="n"/>
    </row>
    <row r="716">
      <c r="B716" s="24" t="n"/>
      <c r="M716" s="27" t="n"/>
      <c r="O716" s="6" t="n"/>
    </row>
    <row r="717">
      <c r="B717" s="24" t="n"/>
      <c r="E717" s="24" t="n"/>
      <c r="J717" s="65" t="n"/>
      <c r="O717" s="6" t="n"/>
    </row>
    <row r="718">
      <c r="B718" s="24" t="n"/>
      <c r="M718" s="27" t="n"/>
      <c r="O718" s="6" t="n"/>
    </row>
    <row r="719">
      <c r="B719" s="24" t="n"/>
      <c r="D719" s="25" t="n"/>
      <c r="E719" s="24" t="n"/>
      <c r="O719" s="6" t="n"/>
    </row>
    <row r="720">
      <c r="B720" s="24" t="n"/>
      <c r="D720" s="50" t="n"/>
      <c r="E720" s="24" t="n"/>
      <c r="H720" s="26" t="n"/>
      <c r="O720" s="6" t="n"/>
    </row>
    <row r="721">
      <c r="B721" s="24" t="n"/>
      <c r="D721" s="25" t="n"/>
      <c r="E721" s="24" t="n"/>
      <c r="O721" s="6" t="n"/>
    </row>
    <row r="722">
      <c r="B722" s="24" t="n"/>
      <c r="M722" s="27" t="n"/>
      <c r="O722" s="6" t="n"/>
    </row>
    <row r="723">
      <c r="B723" s="24" t="n"/>
      <c r="E723" s="24" t="n"/>
      <c r="O723" s="6" t="n"/>
    </row>
    <row r="724">
      <c r="B724" s="24" t="n"/>
      <c r="D724" s="50" t="n"/>
      <c r="E724" s="24" t="n"/>
      <c r="H724" s="26" t="n"/>
      <c r="O724" s="6" t="n"/>
    </row>
    <row r="725">
      <c r="B725" s="24" t="n"/>
      <c r="D725" s="25" t="n"/>
      <c r="E725" s="24" t="n"/>
      <c r="O725" s="6" t="n"/>
    </row>
    <row r="726">
      <c r="B726" s="24" t="n"/>
      <c r="D726" s="25" t="n"/>
      <c r="E726" s="24" t="n"/>
      <c r="O726" s="6" t="n"/>
    </row>
    <row r="727">
      <c r="B727" s="24" t="n"/>
      <c r="D727" s="25" t="n"/>
      <c r="E727" s="24" t="n"/>
      <c r="O727" s="6" t="n"/>
    </row>
    <row r="728">
      <c r="B728" s="24" t="n"/>
      <c r="D728" s="25" t="n"/>
      <c r="E728" s="24" t="n"/>
      <c r="O728" s="6" t="n"/>
    </row>
    <row r="729">
      <c r="B729" s="24" t="n"/>
      <c r="D729" s="25" t="n"/>
      <c r="E729" s="24" t="n"/>
      <c r="O729" s="6" t="n"/>
    </row>
    <row r="730">
      <c r="B730" s="24" t="n"/>
      <c r="E730" s="24" t="n"/>
      <c r="O730" s="6" t="n"/>
    </row>
    <row r="731">
      <c r="B731" s="24" t="n"/>
      <c r="D731" s="25" t="n"/>
      <c r="E731" s="24" t="n"/>
      <c r="O731" s="6" t="n"/>
    </row>
    <row r="732">
      <c r="B732" s="24" t="n"/>
      <c r="E732" s="24" t="n"/>
      <c r="O732" s="6" t="n"/>
    </row>
    <row r="733">
      <c r="B733" s="24" t="n"/>
      <c r="J733" s="65" t="n"/>
      <c r="M733" s="27" t="n"/>
      <c r="O733" s="6" t="n"/>
    </row>
    <row r="734">
      <c r="B734" s="24" t="n"/>
      <c r="E734" s="24" t="n"/>
      <c r="O734" s="6" t="n"/>
    </row>
    <row r="735">
      <c r="B735" s="24" t="n"/>
      <c r="E735" s="24" t="n"/>
      <c r="O735" s="6" t="n"/>
    </row>
    <row r="736">
      <c r="B736" s="24" t="n"/>
      <c r="E736" s="24" t="n"/>
      <c r="O736" s="6" t="n"/>
    </row>
    <row r="737">
      <c r="B737" s="24" t="n"/>
      <c r="J737" s="65" t="n"/>
      <c r="M737" s="27" t="n"/>
      <c r="O737" s="6" t="n"/>
    </row>
    <row r="738">
      <c r="B738" s="24" t="n"/>
      <c r="J738" s="65" t="n"/>
      <c r="M738" s="27" t="n"/>
      <c r="O738" s="6" t="n"/>
    </row>
    <row r="739">
      <c r="B739" s="24" t="n"/>
      <c r="E739" s="24" t="n"/>
      <c r="J739" s="65" t="n"/>
      <c r="O739" s="6" t="n"/>
    </row>
    <row r="740">
      <c r="B740" s="24" t="n"/>
      <c r="E740" s="24" t="n"/>
      <c r="O740" s="6" t="n"/>
    </row>
    <row r="741">
      <c r="B741" s="24" t="n"/>
      <c r="M741" s="27" t="n"/>
      <c r="O741" s="6" t="n"/>
    </row>
    <row r="742">
      <c r="B742" s="24" t="n"/>
      <c r="E742" s="24" t="n"/>
      <c r="O742" s="6" t="n"/>
    </row>
    <row r="743">
      <c r="B743" s="24" t="n"/>
      <c r="J743" s="65" t="n"/>
      <c r="M743" s="27" t="n"/>
      <c r="O743" s="6" t="n"/>
    </row>
    <row r="744">
      <c r="B744" s="24" t="n"/>
      <c r="E744" s="24" t="n"/>
      <c r="O744" s="6" t="n"/>
    </row>
    <row r="745">
      <c r="B745" s="24" t="n"/>
      <c r="E745" s="24" t="n"/>
      <c r="O745" s="6" t="n"/>
    </row>
    <row r="746">
      <c r="B746" s="24" t="n"/>
      <c r="E746" s="24" t="n"/>
      <c r="O746" s="6" t="n"/>
    </row>
    <row r="747">
      <c r="B747" s="24" t="n"/>
      <c r="E747" s="24" t="n"/>
      <c r="O747" s="6" t="n"/>
    </row>
    <row r="748">
      <c r="B748" s="24" t="n"/>
      <c r="E748" s="24" t="n"/>
      <c r="O748" s="6" t="n"/>
    </row>
    <row r="749">
      <c r="B749" s="24" t="n"/>
      <c r="E749" s="24" t="n"/>
      <c r="O749" s="6" t="n"/>
    </row>
    <row r="750">
      <c r="B750" s="24" t="n"/>
      <c r="M750" s="27" t="n"/>
      <c r="O750" s="6" t="n"/>
    </row>
    <row r="751">
      <c r="B751" s="24" t="n"/>
      <c r="E751" s="24" t="n"/>
      <c r="O751" s="6" t="n"/>
    </row>
    <row r="752">
      <c r="B752" s="24" t="n"/>
      <c r="E752" s="24" t="n"/>
      <c r="O752" s="6" t="n"/>
    </row>
    <row r="753">
      <c r="B753" s="24" t="n"/>
      <c r="E753" s="24" t="n"/>
      <c r="J753" s="65" t="n"/>
      <c r="O753" s="6" t="n"/>
    </row>
    <row r="754">
      <c r="B754" s="24" t="n"/>
      <c r="M754" s="27" t="n"/>
      <c r="O754" s="6" t="n"/>
    </row>
    <row r="755">
      <c r="B755" s="24" t="n"/>
      <c r="E755" s="24" t="n"/>
      <c r="J755" s="65" t="n"/>
      <c r="O755" s="6" t="n"/>
    </row>
    <row r="756">
      <c r="B756" s="24" t="n"/>
      <c r="J756" s="65" t="n"/>
      <c r="O756" s="6" t="n"/>
    </row>
    <row r="757">
      <c r="B757" s="24" t="n"/>
      <c r="E757" s="24" t="n"/>
      <c r="O757" s="6" t="n"/>
    </row>
    <row r="758">
      <c r="B758" s="24" t="n"/>
      <c r="E758" s="24" t="n"/>
      <c r="O758" s="6" t="n"/>
    </row>
    <row r="759">
      <c r="B759" s="24" t="n"/>
      <c r="D759" s="25" t="n"/>
      <c r="E759" s="24" t="n"/>
      <c r="O759" s="6" t="n"/>
    </row>
    <row r="760">
      <c r="B760" s="24" t="n"/>
      <c r="E760" s="24" t="n"/>
      <c r="O760" s="6" t="n"/>
    </row>
    <row r="761">
      <c r="B761" s="24" t="n"/>
      <c r="E761" s="24" t="n"/>
      <c r="O761" s="6" t="n"/>
    </row>
    <row r="762">
      <c r="B762" s="24" t="n"/>
      <c r="E762" s="24" t="n"/>
      <c r="O762" s="6" t="n"/>
    </row>
    <row r="763" ht="14.25" customHeight="1">
      <c r="B763" s="24" t="n"/>
      <c r="E763" s="24" t="n"/>
      <c r="O763" s="6" t="n"/>
    </row>
    <row r="764" ht="14.25" customHeight="1">
      <c r="B764" s="24" t="n"/>
      <c r="M764" s="27" t="n"/>
      <c r="O764" s="6" t="n"/>
    </row>
    <row r="765" ht="14.25" customHeight="1">
      <c r="B765" s="24" t="n"/>
      <c r="E765" s="24" t="n"/>
      <c r="O765" s="6" t="n"/>
    </row>
    <row r="766" ht="14.25" customHeight="1">
      <c r="B766" s="24" t="n"/>
      <c r="E766" s="24" t="n"/>
      <c r="O766" s="6" t="n"/>
    </row>
    <row r="767" ht="14.25" customHeight="1">
      <c r="B767" s="24" t="n"/>
      <c r="E767" s="24" t="n"/>
      <c r="O767" s="6" t="n"/>
    </row>
    <row r="768" ht="14.25" customHeight="1">
      <c r="B768" s="24" t="n"/>
      <c r="E768" s="24" t="n"/>
      <c r="O768" s="6" t="n"/>
    </row>
    <row r="769" ht="14.25" customHeight="1">
      <c r="B769" s="24" t="n"/>
      <c r="E769" s="24" t="n"/>
      <c r="O769" s="6" t="n"/>
    </row>
    <row r="770" ht="14.25" customHeight="1">
      <c r="B770" s="24" t="n"/>
      <c r="E770" s="24" t="n"/>
      <c r="O770" s="6" t="n"/>
    </row>
    <row r="771" ht="14.25" customHeight="1">
      <c r="B771" s="24" t="n"/>
      <c r="E771" s="24" t="n"/>
      <c r="O771" s="6" t="n"/>
    </row>
    <row r="772" ht="14.25" customHeight="1">
      <c r="B772" s="24" t="n"/>
      <c r="E772" s="24" t="n"/>
      <c r="O772" s="6" t="n"/>
    </row>
    <row r="773">
      <c r="B773" s="24" t="n"/>
      <c r="D773" s="25" t="n"/>
      <c r="E773" s="24" t="n"/>
      <c r="O773" s="6" t="n"/>
    </row>
    <row r="774">
      <c r="B774" s="24" t="n"/>
      <c r="E774" s="24" t="n"/>
      <c r="O774" s="6" t="n"/>
    </row>
    <row r="775">
      <c r="B775" s="24" t="n"/>
      <c r="E775" s="24" t="n"/>
      <c r="O775" s="6" t="n"/>
    </row>
    <row r="776">
      <c r="B776" s="24" t="n"/>
      <c r="E776" s="24" t="n"/>
      <c r="O776" s="6" t="n"/>
    </row>
    <row r="777">
      <c r="B777" s="24" t="n"/>
      <c r="E777" s="24" t="n"/>
      <c r="O777" s="6" t="n"/>
    </row>
    <row r="778">
      <c r="B778" s="24" t="n"/>
      <c r="E778" s="24" t="n"/>
      <c r="O778" s="6" t="n"/>
    </row>
    <row r="779">
      <c r="B779" s="24" t="n"/>
      <c r="E779" s="24" t="n"/>
      <c r="O779" s="6" t="n"/>
    </row>
    <row r="780">
      <c r="B780" s="24" t="n"/>
      <c r="E780" s="24" t="n"/>
      <c r="O780" s="6" t="n"/>
    </row>
    <row r="781">
      <c r="B781" s="24" t="n"/>
      <c r="M781" s="27" t="n"/>
      <c r="O781" s="6" t="n"/>
    </row>
    <row r="782">
      <c r="B782" s="24" t="n"/>
      <c r="H782" s="18" t="n"/>
      <c r="M782" s="27" t="n"/>
      <c r="O782" s="6" t="n"/>
    </row>
    <row r="783">
      <c r="B783" s="24" t="n"/>
      <c r="I783" s="6" t="n"/>
      <c r="J783" s="65" t="n"/>
      <c r="K783" s="35" t="n"/>
      <c r="L783" s="35" t="n"/>
      <c r="M783" s="35" t="n"/>
      <c r="O783" s="6" t="n"/>
    </row>
    <row r="784">
      <c r="B784" s="24" t="n"/>
      <c r="E784" s="24" t="n"/>
      <c r="O784" s="6" t="n"/>
    </row>
    <row r="785">
      <c r="B785" s="24" t="n"/>
      <c r="E785" s="24" t="n"/>
      <c r="O785" s="6" t="n"/>
    </row>
    <row r="786">
      <c r="B786" s="24" t="n"/>
      <c r="E786" s="24" t="n"/>
      <c r="O786" s="6" t="n"/>
    </row>
    <row r="787">
      <c r="B787" s="24" t="n"/>
      <c r="E787" s="24" t="n"/>
      <c r="O787" s="6" t="n"/>
    </row>
    <row r="788">
      <c r="B788" s="24" t="n"/>
      <c r="M788" s="27" t="n"/>
      <c r="O788" s="6" t="n"/>
    </row>
    <row r="789">
      <c r="B789" s="24" t="n"/>
      <c r="J789" s="65" t="n"/>
      <c r="M789" s="27" t="n"/>
      <c r="O789" s="6" t="n"/>
    </row>
    <row r="790">
      <c r="B790" s="24" t="n"/>
      <c r="E790" s="24" t="n"/>
      <c r="O790" s="6" t="n"/>
    </row>
    <row r="791">
      <c r="B791" s="24" t="n"/>
      <c r="E791" s="24" t="n"/>
      <c r="O791" s="6" t="n"/>
    </row>
    <row r="792">
      <c r="B792" s="24" t="n"/>
      <c r="M792" s="27" t="n"/>
      <c r="O792" s="6" t="n"/>
    </row>
    <row r="793">
      <c r="B793" s="24" t="n"/>
      <c r="E793" s="24" t="n"/>
      <c r="O793" s="6" t="n"/>
    </row>
    <row r="794">
      <c r="B794" s="24" t="n"/>
      <c r="E794" s="24" t="n"/>
      <c r="O794" s="6" t="n"/>
    </row>
    <row r="795">
      <c r="B795" s="24" t="n"/>
      <c r="E795" s="24" t="n"/>
      <c r="H795" s="18" t="n"/>
      <c r="O795" s="6" t="n"/>
    </row>
    <row r="796">
      <c r="B796" s="24" t="n"/>
      <c r="E796" s="24" t="n"/>
      <c r="O796" s="6" t="n"/>
    </row>
    <row r="797">
      <c r="B797" s="24" t="n"/>
      <c r="J797" s="65" t="n"/>
      <c r="M797" s="27" t="n"/>
      <c r="O797" s="6" t="n"/>
    </row>
    <row r="798">
      <c r="B798" s="24" t="n"/>
      <c r="E798" s="24" t="n"/>
      <c r="O798" s="6" t="n"/>
    </row>
    <row r="799">
      <c r="B799" s="24" t="n"/>
      <c r="E799" s="24" t="n"/>
      <c r="O799" s="6" t="n"/>
    </row>
    <row r="800">
      <c r="B800" s="24" t="n"/>
      <c r="E800" s="24" t="n"/>
      <c r="O800" s="6" t="n"/>
    </row>
    <row r="801">
      <c r="B801" s="24" t="n"/>
      <c r="E801" s="24" t="n"/>
      <c r="O801" s="6" t="n"/>
    </row>
    <row r="802">
      <c r="B802" s="24" t="n"/>
      <c r="E802" s="24" t="n"/>
      <c r="O802" s="6" t="n"/>
    </row>
    <row r="803">
      <c r="B803" s="24" t="n"/>
      <c r="E803" s="24" t="n"/>
      <c r="O803" s="6" t="n"/>
    </row>
    <row r="804">
      <c r="B804" s="24" t="n"/>
      <c r="E804" s="24" t="n"/>
      <c r="O804" s="6" t="n"/>
    </row>
    <row r="805">
      <c r="B805" s="24" t="n"/>
      <c r="E805" s="24" t="n"/>
      <c r="O805" s="6" t="n"/>
    </row>
    <row r="806">
      <c r="B806" s="24" t="n"/>
      <c r="E806" s="24" t="n"/>
      <c r="O806" s="6" t="n"/>
    </row>
    <row r="807">
      <c r="B807" s="24" t="n"/>
      <c r="E807" s="24" t="n"/>
      <c r="O807" s="6" t="n"/>
    </row>
    <row r="808">
      <c r="B808" s="24" t="n"/>
      <c r="E808" s="24" t="n"/>
      <c r="O808" s="6" t="n"/>
    </row>
    <row r="809">
      <c r="B809" s="24" t="n"/>
      <c r="E809" s="24" t="n"/>
      <c r="O809" s="6" t="n"/>
    </row>
    <row r="810">
      <c r="B810" s="24" t="n"/>
      <c r="E810" s="24" t="n"/>
      <c r="O810" s="6" t="n"/>
    </row>
    <row r="811">
      <c r="B811" s="24" t="n"/>
      <c r="E811" s="24" t="n"/>
      <c r="O811" s="6" t="n"/>
    </row>
    <row r="812">
      <c r="B812" s="24" t="n"/>
      <c r="E812" s="24" t="n"/>
      <c r="H812" s="18" t="n"/>
      <c r="O812" s="6" t="n"/>
    </row>
    <row r="813">
      <c r="B813" s="24" t="n"/>
      <c r="E813" s="24" t="n"/>
      <c r="O813" s="6" t="n"/>
    </row>
    <row r="814">
      <c r="B814" s="24" t="n"/>
      <c r="E814" s="24" t="n"/>
      <c r="O814" s="6" t="n"/>
    </row>
    <row r="815">
      <c r="B815" s="24" t="n"/>
      <c r="E815" s="24" t="n"/>
      <c r="O815" s="6" t="n"/>
    </row>
    <row r="816">
      <c r="B816" s="24" t="n"/>
      <c r="E816" s="24" t="n"/>
      <c r="O816" s="6" t="n"/>
    </row>
    <row r="817">
      <c r="B817" s="24" t="n"/>
      <c r="E817" s="24" t="n"/>
      <c r="O817" s="6" t="n"/>
    </row>
    <row r="818">
      <c r="B818" s="24" t="n"/>
      <c r="E818" s="24" t="n"/>
      <c r="O818" s="6" t="n"/>
    </row>
    <row r="819">
      <c r="B819" s="24" t="n"/>
      <c r="E819" s="24" t="n"/>
      <c r="O819" s="6" t="n"/>
    </row>
    <row r="820">
      <c r="B820" s="24" t="n"/>
      <c r="E820" s="24" t="n"/>
      <c r="O820" s="6" t="n"/>
    </row>
    <row r="821">
      <c r="B821" s="24" t="n"/>
      <c r="E821" s="24" t="n"/>
      <c r="O821" s="6" t="n"/>
    </row>
    <row r="822">
      <c r="B822" s="24" t="n"/>
      <c r="E822" s="24" t="n"/>
      <c r="O822" s="6" t="n"/>
    </row>
    <row r="823">
      <c r="B823" s="24" t="n"/>
      <c r="E823" s="24" t="n"/>
      <c r="O823" s="6" t="n"/>
    </row>
    <row r="824">
      <c r="B824" s="24" t="n"/>
      <c r="E824" s="24" t="n"/>
      <c r="O824" s="6" t="n"/>
    </row>
    <row r="825">
      <c r="B825" s="24" t="n"/>
      <c r="E825" s="24" t="n"/>
      <c r="O825" s="6" t="n"/>
    </row>
    <row r="826">
      <c r="B826" s="24" t="n"/>
      <c r="E826" s="24" t="n"/>
      <c r="O826" s="6" t="n"/>
    </row>
    <row r="827">
      <c r="B827" s="24" t="n"/>
      <c r="E827" s="24" t="n"/>
      <c r="O827" s="6" t="n"/>
    </row>
    <row r="828">
      <c r="B828" s="24" t="n"/>
      <c r="E828" s="24" t="n"/>
      <c r="H828" s="18" t="n"/>
      <c r="O828" s="6" t="n"/>
    </row>
    <row r="829">
      <c r="B829" s="24" t="n"/>
      <c r="E829" s="24" t="n"/>
      <c r="O829" s="6" t="n"/>
    </row>
    <row r="830">
      <c r="B830" s="24" t="n"/>
      <c r="E830" s="24" t="n"/>
      <c r="O830" s="6" t="n"/>
    </row>
    <row r="831">
      <c r="B831" s="24" t="n"/>
      <c r="E831" s="24" t="n"/>
      <c r="O831" s="6" t="n"/>
    </row>
    <row r="832">
      <c r="B832" s="24" t="n"/>
      <c r="E832" s="24" t="n"/>
      <c r="O832" s="6" t="n"/>
    </row>
    <row r="833">
      <c r="B833" s="24" t="n"/>
      <c r="E833" s="24" t="n"/>
      <c r="O833" s="6" t="n"/>
    </row>
    <row r="834">
      <c r="B834" s="24" t="n"/>
      <c r="J834" s="65" t="n"/>
      <c r="M834" s="27" t="n"/>
      <c r="O834" s="6" t="n"/>
    </row>
    <row r="835">
      <c r="B835" s="24" t="n"/>
      <c r="J835" s="65" t="n"/>
      <c r="O835" s="6" t="n"/>
    </row>
    <row r="836">
      <c r="B836" s="24" t="n"/>
      <c r="E836" s="24" t="n"/>
      <c r="O836" s="6" t="n"/>
    </row>
    <row r="837">
      <c r="B837" s="24" t="n"/>
      <c r="E837" s="24" t="n"/>
      <c r="O837" s="6" t="n"/>
    </row>
    <row r="838">
      <c r="B838" s="24" t="n"/>
      <c r="E838" s="24" t="n"/>
      <c r="O838" s="6" t="n"/>
    </row>
    <row r="839">
      <c r="B839" s="24" t="n"/>
      <c r="E839" s="24" t="n"/>
      <c r="O839" s="6" t="n"/>
    </row>
    <row r="840">
      <c r="B840" s="24" t="n"/>
      <c r="E840" s="24" t="n"/>
      <c r="O840" s="6" t="n"/>
    </row>
    <row r="841">
      <c r="B841" s="24" t="n"/>
      <c r="E841" s="24" t="n"/>
      <c r="O841" s="6" t="n"/>
    </row>
    <row r="842">
      <c r="B842" s="24" t="n"/>
      <c r="E842" s="24" t="n"/>
      <c r="J842" s="65" t="n"/>
      <c r="O842" s="6" t="n"/>
    </row>
    <row r="843">
      <c r="B843" s="24" t="n"/>
      <c r="E843" s="24" t="n"/>
      <c r="O843" s="6" t="n"/>
    </row>
    <row r="844">
      <c r="B844" s="24" t="n"/>
      <c r="J844" s="64" t="n"/>
      <c r="M844" s="27" t="n"/>
      <c r="O844" s="6" t="n"/>
    </row>
    <row r="845">
      <c r="B845" s="24" t="n"/>
      <c r="E845" s="24" t="n"/>
      <c r="O845" s="6" t="n"/>
    </row>
    <row r="846">
      <c r="B846" s="24" t="n"/>
      <c r="E846" s="24" t="n"/>
      <c r="J846" s="65" t="n"/>
      <c r="O846" s="6" t="n"/>
    </row>
    <row r="847">
      <c r="B847" s="24" t="n"/>
      <c r="E847" s="24" t="n"/>
      <c r="O847" s="6" t="n"/>
    </row>
    <row r="848">
      <c r="B848" s="24" t="n"/>
      <c r="E848" s="24" t="n"/>
      <c r="O848" s="6" t="n"/>
    </row>
    <row r="849">
      <c r="B849" s="24" t="n"/>
      <c r="E849" s="24" t="n"/>
      <c r="O849" s="6" t="n"/>
    </row>
    <row r="850">
      <c r="B850" s="24" t="n"/>
      <c r="D850" s="25" t="n"/>
      <c r="E850" s="24" t="n"/>
      <c r="O850" s="6" t="n"/>
    </row>
    <row r="851">
      <c r="B851" s="24" t="n"/>
      <c r="E851" s="24" t="n"/>
      <c r="O851" s="6" t="n"/>
    </row>
    <row r="852">
      <c r="B852" s="24" t="n"/>
      <c r="D852" s="50" t="n"/>
      <c r="E852" s="24" t="n"/>
      <c r="H852" s="26" t="n"/>
      <c r="O852" s="6" t="n"/>
    </row>
    <row r="853">
      <c r="B853" s="24" t="n"/>
      <c r="E853" s="24" t="n"/>
      <c r="O853" s="6" t="n"/>
    </row>
    <row r="854">
      <c r="B854" s="24" t="n"/>
      <c r="O854" s="6" t="n"/>
    </row>
    <row r="855">
      <c r="B855" s="24" t="n"/>
      <c r="D855" s="50" t="n"/>
      <c r="E855" s="24" t="n"/>
      <c r="H855" s="26" t="n"/>
      <c r="O855" s="6" t="n"/>
    </row>
    <row r="856">
      <c r="B856" s="24" t="n"/>
      <c r="E856" s="24" t="n"/>
      <c r="O856" s="6" t="n"/>
    </row>
    <row r="857">
      <c r="B857" s="24" t="n"/>
      <c r="E857" s="24" t="n"/>
      <c r="O857" s="6" t="n"/>
    </row>
    <row r="858">
      <c r="B858" s="24" t="n"/>
      <c r="E858" s="24" t="n"/>
      <c r="O858" s="6" t="n"/>
    </row>
    <row r="859">
      <c r="B859" s="24" t="n"/>
      <c r="E859" s="24" t="n"/>
      <c r="O859" s="6" t="n"/>
    </row>
    <row r="860">
      <c r="B860" s="24" t="n"/>
      <c r="E860" s="24" t="n"/>
      <c r="O860" s="6" t="n"/>
    </row>
    <row r="861">
      <c r="B861" s="24" t="n"/>
      <c r="E861" s="24" t="n"/>
      <c r="O861" s="6" t="n"/>
    </row>
    <row r="862">
      <c r="B862" s="24" t="n"/>
      <c r="E862" s="24" t="n"/>
      <c r="O862" s="6" t="n"/>
    </row>
    <row r="863">
      <c r="B863" s="24" t="n"/>
      <c r="E863" s="24" t="n"/>
      <c r="O863" s="6" t="n"/>
    </row>
    <row r="864">
      <c r="B864" s="24" t="n"/>
      <c r="E864" s="24" t="n"/>
      <c r="O864" s="6" t="n"/>
    </row>
    <row r="865">
      <c r="B865" s="24" t="n"/>
      <c r="M865" s="27" t="n"/>
      <c r="O865" s="6" t="n"/>
    </row>
    <row r="866">
      <c r="B866" s="24" t="n"/>
      <c r="J866" s="65" t="n"/>
      <c r="M866" s="27" t="n"/>
      <c r="O866" s="6" t="n"/>
    </row>
    <row r="867">
      <c r="B867" s="24" t="n"/>
      <c r="E867" s="24" t="n"/>
      <c r="J867" s="65" t="n"/>
      <c r="O867" s="6" t="n"/>
    </row>
    <row r="868">
      <c r="B868" s="24" t="n"/>
      <c r="D868" s="50" t="n"/>
      <c r="E868" s="24" t="n"/>
      <c r="H868" s="26" t="n"/>
      <c r="O868" s="6" t="n"/>
    </row>
    <row r="869">
      <c r="B869" s="24" t="n"/>
      <c r="E869" s="24" t="n"/>
      <c r="O869" s="6" t="n"/>
    </row>
    <row r="870">
      <c r="B870" s="24" t="n"/>
      <c r="E870" s="24" t="n"/>
      <c r="O870" s="6" t="n"/>
    </row>
    <row r="871">
      <c r="B871" s="24" t="n"/>
      <c r="J871" s="7" t="n"/>
      <c r="M871" s="27" t="n"/>
      <c r="O871" s="6" t="n"/>
    </row>
    <row r="872">
      <c r="B872" s="24" t="n"/>
      <c r="E872" s="24" t="n"/>
      <c r="O872" s="6" t="n"/>
    </row>
    <row r="873">
      <c r="B873" s="24" t="n"/>
      <c r="M873" s="27" t="n"/>
      <c r="O873" s="6" t="n"/>
    </row>
    <row r="874">
      <c r="B874" s="24" t="n"/>
      <c r="E874" s="24" t="n"/>
      <c r="O874" s="6" t="n"/>
    </row>
    <row r="875">
      <c r="B875" s="24" t="n"/>
      <c r="J875" s="7" t="n"/>
      <c r="M875" s="27" t="n"/>
      <c r="O875" s="6" t="n"/>
    </row>
    <row r="876">
      <c r="B876" s="24" t="n"/>
      <c r="E876" s="24" t="n"/>
      <c r="O876" s="6" t="n"/>
    </row>
    <row r="877">
      <c r="B877" s="24" t="n"/>
      <c r="E877" s="24" t="n"/>
      <c r="O877" s="6" t="n"/>
    </row>
    <row r="878">
      <c r="B878" s="24" t="n"/>
      <c r="E878" s="24" t="n"/>
      <c r="H878" s="18" t="n"/>
      <c r="O878" s="6" t="n"/>
    </row>
    <row r="879">
      <c r="B879" s="24" t="n"/>
      <c r="M879" s="27" t="n"/>
      <c r="O879" s="6" t="n"/>
    </row>
    <row r="880">
      <c r="B880" s="24" t="n"/>
      <c r="D880" s="25" t="n"/>
      <c r="E880" s="24" t="n"/>
      <c r="O880" s="6" t="n"/>
    </row>
    <row r="881">
      <c r="B881" s="24" t="n"/>
      <c r="E881" s="24" t="n"/>
      <c r="O881" s="6" t="n"/>
    </row>
    <row r="882">
      <c r="B882" s="24" t="n"/>
      <c r="D882" s="25" t="n"/>
      <c r="E882" s="24" t="n"/>
      <c r="O882" s="6" t="n"/>
    </row>
    <row r="883">
      <c r="B883" s="24" t="n"/>
      <c r="E883" s="24" t="n"/>
      <c r="O883" s="6" t="n"/>
    </row>
    <row r="884">
      <c r="B884" s="24" t="n"/>
      <c r="E884" s="24" t="n"/>
      <c r="O884" s="6" t="n"/>
    </row>
    <row r="885">
      <c r="B885" s="24" t="n"/>
      <c r="E885" s="24" t="n"/>
      <c r="O885" s="6" t="n"/>
    </row>
    <row r="886">
      <c r="B886" s="24" t="n"/>
      <c r="E886" s="24" t="n"/>
      <c r="O886" s="6" t="n"/>
    </row>
    <row r="887">
      <c r="B887" s="24" t="n"/>
      <c r="E887" s="24" t="n"/>
      <c r="O887" s="6" t="n"/>
    </row>
    <row r="888">
      <c r="B888" s="24" t="n"/>
      <c r="O888" s="6" t="n"/>
    </row>
    <row r="889">
      <c r="B889" s="24" t="n"/>
      <c r="E889" s="24" t="n"/>
      <c r="O889" s="6" t="n"/>
    </row>
    <row r="890">
      <c r="B890" s="24" t="n"/>
      <c r="M890" s="27" t="n"/>
      <c r="O890" s="6" t="n"/>
    </row>
    <row r="891">
      <c r="B891" s="24" t="n"/>
      <c r="D891" s="25" t="n"/>
      <c r="E891" s="24" t="n"/>
      <c r="O891" s="6" t="n"/>
    </row>
    <row r="892">
      <c r="B892" s="24" t="n"/>
      <c r="E892" s="24" t="n"/>
      <c r="J892" s="65" t="n"/>
      <c r="O892" s="6" t="n"/>
    </row>
    <row r="893">
      <c r="B893" s="24" t="n"/>
      <c r="E893" s="24" t="n"/>
      <c r="O893" s="6" t="n"/>
    </row>
    <row r="894">
      <c r="B894" s="24" t="n"/>
      <c r="M894" s="27" t="n"/>
      <c r="O894" s="6" t="n"/>
    </row>
    <row r="895">
      <c r="B895" s="24" t="n"/>
      <c r="M895" s="27" t="n"/>
      <c r="O895" s="6" t="n"/>
    </row>
    <row r="896">
      <c r="B896" s="24" t="n"/>
      <c r="E896" s="24" t="n"/>
      <c r="O896" s="6" t="n"/>
    </row>
    <row r="897">
      <c r="B897" s="24" t="n"/>
      <c r="D897" s="25" t="n"/>
      <c r="E897" s="24" t="n"/>
      <c r="O897" s="6" t="n"/>
    </row>
    <row r="898">
      <c r="B898" s="24" t="n"/>
      <c r="J898" s="64" t="n"/>
      <c r="M898" s="27" t="n"/>
      <c r="O898" s="6" t="n"/>
    </row>
    <row r="899">
      <c r="B899" s="24" t="n"/>
      <c r="E899" s="24" t="n"/>
      <c r="O899" s="6" t="n"/>
    </row>
    <row r="900">
      <c r="B900" s="24" t="n"/>
      <c r="E900" s="24" t="n"/>
      <c r="O900" s="6" t="n"/>
    </row>
    <row r="901">
      <c r="B901" s="24" t="n"/>
      <c r="D901" s="50" t="n"/>
      <c r="E901" s="24" t="n"/>
      <c r="H901" s="48" t="n"/>
      <c r="O901" s="6" t="n"/>
    </row>
    <row r="902">
      <c r="B902" s="24" t="n"/>
      <c r="E902" s="24" t="n"/>
      <c r="O902" s="6" t="n"/>
    </row>
    <row r="903">
      <c r="B903" s="24" t="n"/>
      <c r="D903" s="25" t="n"/>
      <c r="E903" s="24" t="n"/>
      <c r="O903" s="6" t="n"/>
    </row>
    <row r="904">
      <c r="B904" s="24" t="n"/>
      <c r="E904" s="24" t="n"/>
      <c r="O904" s="6" t="n"/>
    </row>
    <row r="905">
      <c r="B905" s="24" t="n"/>
      <c r="D905" s="25" t="n"/>
      <c r="E905" s="24" t="n"/>
      <c r="O905" s="6" t="n"/>
    </row>
    <row r="906">
      <c r="B906" s="24" t="n"/>
      <c r="D906" s="25" t="n"/>
      <c r="E906" s="24" t="n"/>
      <c r="O906" s="6" t="n"/>
    </row>
    <row r="907">
      <c r="B907" s="24" t="n"/>
      <c r="D907" s="25" t="n"/>
      <c r="E907" s="24" t="n"/>
      <c r="O907" s="6" t="n"/>
    </row>
    <row r="908">
      <c r="B908" s="24" t="n"/>
      <c r="E908" s="24" t="n"/>
      <c r="O908" s="6" t="n"/>
    </row>
    <row r="909">
      <c r="B909" s="24" t="n"/>
      <c r="D909" s="25" t="n"/>
      <c r="E909" s="24" t="n"/>
      <c r="O909" s="6" t="n"/>
    </row>
    <row r="910">
      <c r="B910" s="24" t="n"/>
      <c r="D910" s="25" t="n"/>
      <c r="E910" s="24" t="n"/>
      <c r="O910" s="6" t="n"/>
    </row>
    <row r="911">
      <c r="B911" s="24" t="n"/>
      <c r="D911" s="25" t="n"/>
      <c r="E911" s="24" t="n"/>
      <c r="O911" s="6" t="n"/>
    </row>
    <row r="912">
      <c r="B912" s="24" t="n"/>
      <c r="E912" s="24" t="n"/>
      <c r="H912" s="18" t="n"/>
      <c r="O912" s="6" t="n"/>
    </row>
    <row r="913">
      <c r="B913" s="24" t="n"/>
      <c r="D913" s="25" t="n"/>
      <c r="E913" s="24" t="n"/>
      <c r="O913" s="6" t="n"/>
    </row>
    <row r="914">
      <c r="B914" s="24" t="n"/>
      <c r="E914" s="24" t="n"/>
      <c r="O914" s="6" t="n"/>
    </row>
    <row r="915">
      <c r="B915" s="24" t="n"/>
      <c r="E915" s="24" t="n"/>
      <c r="O915" s="6" t="n"/>
    </row>
    <row r="916">
      <c r="B916" s="24" t="n"/>
      <c r="D916" s="25" t="n"/>
      <c r="E916" s="24" t="n"/>
      <c r="O916" s="6" t="n"/>
    </row>
    <row r="917">
      <c r="B917" s="24" t="n"/>
      <c r="D917" s="25" t="n"/>
      <c r="E917" s="24" t="n"/>
      <c r="O917" s="6" t="n"/>
    </row>
    <row r="918">
      <c r="B918" s="24" t="n"/>
      <c r="D918" s="25" t="n"/>
      <c r="E918" s="24" t="n"/>
      <c r="O918" s="6" t="n"/>
    </row>
    <row r="919">
      <c r="B919" s="24" t="n"/>
      <c r="D919" s="25" t="n"/>
      <c r="E919" s="24" t="n"/>
      <c r="O919" s="6" t="n"/>
    </row>
    <row r="920">
      <c r="B920" s="24" t="n"/>
      <c r="D920" s="25" t="n"/>
      <c r="E920" s="24" t="n"/>
      <c r="O920" s="6" t="n"/>
    </row>
    <row r="921">
      <c r="B921" s="24" t="n"/>
      <c r="J921" s="65" t="n"/>
      <c r="M921" s="27" t="n"/>
      <c r="O921" s="6" t="n"/>
    </row>
    <row r="922">
      <c r="B922" s="24" t="n"/>
      <c r="D922" s="25" t="n"/>
      <c r="E922" s="24" t="n"/>
      <c r="O922" s="6" t="n"/>
    </row>
    <row r="923">
      <c r="B923" s="24" t="n"/>
      <c r="D923" s="25" t="n"/>
      <c r="E923" s="24" t="n"/>
      <c r="O923" s="6" t="n"/>
    </row>
    <row r="924">
      <c r="B924" s="24" t="n"/>
      <c r="D924" s="25" t="n"/>
      <c r="E924" s="24" t="n"/>
      <c r="O924" s="6" t="n"/>
    </row>
    <row r="925">
      <c r="B925" s="24" t="n"/>
      <c r="D925" s="25" t="n"/>
      <c r="E925" s="24" t="n"/>
      <c r="O925" s="6" t="n"/>
    </row>
    <row r="926">
      <c r="B926" s="24" t="n"/>
      <c r="D926" s="25" t="n"/>
      <c r="E926" s="24" t="n"/>
      <c r="O926" s="6" t="n"/>
    </row>
    <row r="927">
      <c r="B927" s="24" t="n"/>
      <c r="E927" s="24" t="n"/>
      <c r="O927" s="6" t="n"/>
    </row>
    <row r="928">
      <c r="B928" s="24" t="n"/>
      <c r="E928" s="24" t="n"/>
      <c r="O928" s="6" t="n"/>
    </row>
    <row r="929">
      <c r="B929" s="24" t="n"/>
      <c r="J929" s="65" t="n"/>
      <c r="O929" s="6" t="n"/>
    </row>
    <row r="930">
      <c r="B930" s="24" t="n"/>
      <c r="E930" s="24" t="n"/>
      <c r="O930" s="6" t="n"/>
    </row>
    <row r="931">
      <c r="B931" s="24" t="n"/>
      <c r="D931" s="25" t="n"/>
      <c r="E931" s="24" t="n"/>
      <c r="O931" s="6" t="n"/>
    </row>
    <row r="932">
      <c r="B932" s="24" t="n"/>
      <c r="D932" s="25" t="n"/>
      <c r="E932" s="24" t="n"/>
      <c r="O932" s="6" t="n"/>
    </row>
    <row r="933">
      <c r="B933" s="24" t="n"/>
      <c r="E933" s="24" t="n"/>
      <c r="J933" s="65" t="n"/>
      <c r="O933" s="6" t="n"/>
    </row>
    <row r="934">
      <c r="B934" s="24" t="n"/>
      <c r="D934" s="25" t="n"/>
      <c r="E934" s="24" t="n"/>
      <c r="O934" s="6" t="n"/>
    </row>
    <row r="935">
      <c r="B935" s="24" t="n"/>
      <c r="D935" s="25" t="n"/>
      <c r="E935" s="24" t="n"/>
      <c r="O935" s="6" t="n"/>
    </row>
    <row r="936">
      <c r="B936" s="24" t="n"/>
      <c r="D936" s="25" t="n"/>
      <c r="E936" s="24" t="n"/>
      <c r="O936" s="6" t="n"/>
    </row>
    <row r="937">
      <c r="B937" s="24" t="n"/>
      <c r="D937" s="25" t="n"/>
      <c r="E937" s="24" t="n"/>
      <c r="O937" s="6" t="n"/>
    </row>
    <row r="938">
      <c r="B938" s="24" t="n"/>
      <c r="D938" s="50" t="n"/>
      <c r="E938" s="24" t="n"/>
      <c r="H938" s="26" t="n"/>
      <c r="O938" s="6" t="n"/>
    </row>
    <row r="939">
      <c r="B939" s="24" t="n"/>
      <c r="E939" s="24" t="n"/>
      <c r="O939" s="6" t="n"/>
    </row>
    <row r="940">
      <c r="B940" s="24" t="n"/>
      <c r="D940" s="50" t="n"/>
      <c r="E940" s="24" t="n"/>
      <c r="H940" s="26" t="n"/>
      <c r="O940" s="6" t="n"/>
    </row>
    <row r="941">
      <c r="B941" s="24" t="n"/>
      <c r="E941" s="24" t="n"/>
      <c r="O941" s="6" t="n"/>
    </row>
    <row r="942">
      <c r="B942" s="24" t="n"/>
      <c r="D942" s="25" t="n"/>
      <c r="E942" s="24" t="n"/>
      <c r="O942" s="6" t="n"/>
    </row>
    <row r="943">
      <c r="B943" s="24" t="n"/>
      <c r="D943" s="50" t="n"/>
      <c r="E943" s="24" t="n"/>
      <c r="H943" s="26" t="n"/>
      <c r="O943" s="6" t="n"/>
    </row>
    <row r="944">
      <c r="B944" s="24" t="n"/>
      <c r="E944" s="41" t="n"/>
      <c r="O944" s="6" t="n"/>
    </row>
    <row r="945">
      <c r="B945" s="24" t="n"/>
      <c r="D945" s="25" t="n"/>
      <c r="E945" s="24" t="n"/>
      <c r="O945" s="6" t="n"/>
    </row>
    <row r="946">
      <c r="B946" s="24" t="n"/>
      <c r="D946" s="25" t="n"/>
      <c r="E946" s="24" t="n"/>
      <c r="O946" s="6" t="n"/>
    </row>
    <row r="947">
      <c r="B947" s="24" t="n"/>
      <c r="D947" s="25" t="n"/>
      <c r="E947" s="24" t="n"/>
      <c r="O947" s="6" t="n"/>
    </row>
    <row r="948">
      <c r="B948" s="24" t="n"/>
      <c r="D948" s="25" t="n"/>
      <c r="E948" s="24" t="n"/>
      <c r="O948" s="6" t="n"/>
    </row>
    <row r="949">
      <c r="B949" s="24" t="n"/>
    </row>
    <row r="950">
      <c r="B950" s="24" t="n"/>
    </row>
    <row r="951">
      <c r="B951" s="24" t="n"/>
      <c r="J951" s="65" t="n"/>
      <c r="M951" s="27" t="n"/>
      <c r="O951" s="6" t="n"/>
    </row>
    <row r="952">
      <c r="B952" s="24" t="n"/>
    </row>
    <row r="953">
      <c r="B953" s="24" t="n"/>
      <c r="E953" s="24" t="n"/>
      <c r="O953" s="6" t="n"/>
    </row>
    <row r="954">
      <c r="B954" s="24" t="n"/>
      <c r="M954" s="27" t="n"/>
      <c r="O954" s="6" t="n"/>
    </row>
    <row r="955">
      <c r="B955" s="24" t="n"/>
      <c r="O955" s="6" t="n"/>
    </row>
    <row r="956">
      <c r="B956" s="24" t="n"/>
      <c r="O956" s="6" t="n"/>
    </row>
    <row r="957">
      <c r="B957" s="24" t="n"/>
      <c r="E957" s="24" t="n"/>
      <c r="O957" s="6" t="n"/>
    </row>
    <row r="958">
      <c r="B958" s="24" t="n"/>
      <c r="E958" s="24" t="n"/>
      <c r="O958" s="6" t="n"/>
    </row>
    <row r="959">
      <c r="B959" s="24" t="n"/>
      <c r="J959" s="65" t="n"/>
      <c r="M959" s="27" t="n"/>
      <c r="O959" s="6" t="n"/>
    </row>
    <row r="960">
      <c r="B960" s="24" t="n"/>
      <c r="J960" s="64" t="n"/>
      <c r="M960" s="27" t="n"/>
      <c r="O960" s="6" t="n"/>
    </row>
    <row r="961">
      <c r="B961" s="24" t="n"/>
      <c r="E961" s="7" t="n"/>
    </row>
    <row r="962">
      <c r="B962" s="24" t="n"/>
      <c r="E962" s="24" t="n"/>
      <c r="J962" s="65" t="n"/>
      <c r="O962" s="6" t="n"/>
    </row>
    <row r="963">
      <c r="B963" s="24" t="n"/>
      <c r="M963" s="27" t="n"/>
      <c r="O963" s="6" t="n"/>
    </row>
    <row r="964">
      <c r="B964" s="24" t="n"/>
    </row>
    <row r="965">
      <c r="B965" s="24" t="n"/>
      <c r="M965" s="27" t="n"/>
      <c r="O965" s="6" t="n"/>
    </row>
    <row r="966">
      <c r="B966" s="24" t="n"/>
    </row>
    <row r="967">
      <c r="B967" s="24" t="n"/>
      <c r="M967" s="27" t="n"/>
      <c r="O967" s="6" t="n"/>
    </row>
    <row r="968">
      <c r="B968" s="24" t="n"/>
      <c r="E968" s="24" t="n"/>
      <c r="J968" s="25" t="n"/>
      <c r="O968" s="6" t="n"/>
    </row>
    <row r="969">
      <c r="B969" s="24" t="n"/>
      <c r="M969" s="27" t="n"/>
      <c r="O969" s="6" t="n"/>
    </row>
    <row r="970">
      <c r="B970" s="24" t="n"/>
    </row>
    <row r="971">
      <c r="B971" s="24" t="n"/>
      <c r="M971" s="27" t="n"/>
      <c r="O971" s="6" t="n"/>
    </row>
    <row r="972">
      <c r="B972" s="24" t="n"/>
      <c r="D972" s="104" t="n"/>
      <c r="O972" s="6" t="n"/>
    </row>
    <row r="973">
      <c r="B973" s="24" t="n"/>
    </row>
    <row r="974">
      <c r="B974" s="24" t="n"/>
    </row>
    <row r="975">
      <c r="B975" s="24" t="n"/>
      <c r="E975" s="24" t="n"/>
      <c r="O975" s="6" t="n"/>
    </row>
    <row r="976">
      <c r="B976" s="24" t="n"/>
      <c r="E976" s="24" t="n"/>
      <c r="J976" s="65" t="n"/>
      <c r="O976" s="6" t="n"/>
    </row>
    <row r="977">
      <c r="B977" s="24" t="n"/>
      <c r="D977" s="25" t="n"/>
      <c r="E977" s="24" t="n"/>
      <c r="O977" s="6" t="n"/>
    </row>
    <row r="978">
      <c r="B978" s="24" t="n"/>
      <c r="E978" s="24" t="n"/>
      <c r="J978" s="65" t="n"/>
      <c r="O978" s="6" t="n"/>
    </row>
    <row r="979">
      <c r="B979" s="24" t="n"/>
      <c r="E979" s="24" t="n"/>
      <c r="O979" s="6" t="n"/>
    </row>
    <row r="980">
      <c r="B980" s="24" t="n"/>
      <c r="E980" s="24" t="n"/>
      <c r="O980" s="6" t="n"/>
    </row>
    <row r="981">
      <c r="B981" s="24" t="n"/>
      <c r="E981" s="24" t="n"/>
      <c r="O981" s="6" t="n"/>
    </row>
    <row r="982">
      <c r="B982" s="24" t="n"/>
      <c r="E982" s="24" t="n"/>
      <c r="J982" s="65" t="n"/>
      <c r="O982" s="6" t="n"/>
    </row>
    <row r="983">
      <c r="B983" s="24" t="n"/>
      <c r="E983" s="24" t="n"/>
      <c r="O983" s="6" t="n"/>
    </row>
    <row r="984">
      <c r="B984" s="24" t="n"/>
      <c r="E984" s="24" t="n"/>
      <c r="O984" s="6" t="n"/>
    </row>
    <row r="985">
      <c r="B985" s="24" t="n"/>
    </row>
    <row r="986">
      <c r="B986" s="24" t="n"/>
      <c r="H986" s="18" t="n"/>
    </row>
    <row r="987">
      <c r="B987" s="24" t="n"/>
      <c r="E987" s="24" t="n"/>
      <c r="J987" s="64" t="n"/>
      <c r="O987" s="6" t="n"/>
    </row>
    <row r="988">
      <c r="B988" s="24" t="n"/>
    </row>
    <row r="989">
      <c r="B989" s="24" t="n"/>
    </row>
    <row r="990">
      <c r="B990" s="24" t="n"/>
      <c r="E990" s="24" t="n"/>
      <c r="O990" s="6" t="n"/>
    </row>
    <row r="991">
      <c r="B991" s="24" t="n"/>
      <c r="E991" s="24" t="n"/>
      <c r="O991" s="6" t="n"/>
    </row>
    <row r="992">
      <c r="B992" s="24" t="n"/>
      <c r="E992" s="24" t="n"/>
      <c r="O992" s="6" t="n"/>
    </row>
    <row r="993">
      <c r="B993" s="24" t="n"/>
    </row>
    <row r="994">
      <c r="B994" s="24" t="n"/>
      <c r="C994" s="25" t="n"/>
      <c r="J994" s="64" t="n"/>
    </row>
    <row r="995">
      <c r="B995" s="24" t="n"/>
      <c r="O995" s="6" t="n"/>
    </row>
    <row r="996">
      <c r="B996" s="24" t="n"/>
      <c r="O996" s="6" t="n"/>
    </row>
    <row r="997">
      <c r="B997" s="24" t="n"/>
      <c r="M997" s="27" t="n"/>
      <c r="O997" s="6" t="n"/>
    </row>
    <row r="998">
      <c r="B998" s="24" t="n"/>
      <c r="I998" s="6" t="n"/>
      <c r="J998" s="24" t="n"/>
      <c r="M998" s="35" t="n"/>
      <c r="O998" s="6" t="n"/>
    </row>
    <row r="999">
      <c r="B999" s="24" t="n"/>
      <c r="E999" s="24" t="n"/>
      <c r="O999" s="6" t="n"/>
    </row>
    <row r="1000">
      <c r="B1000" s="24" t="n"/>
      <c r="E1000" s="24" t="n"/>
      <c r="J1000" s="65" t="n"/>
      <c r="O1000" s="6" t="n"/>
    </row>
    <row r="1001">
      <c r="B1001" s="24" t="n"/>
      <c r="D1001" s="25" t="n"/>
      <c r="E1001" s="24" t="n"/>
      <c r="J1001" s="64" t="n"/>
      <c r="O1001" s="6" t="n"/>
    </row>
    <row r="1002">
      <c r="B1002" s="24" t="n"/>
      <c r="M1002" s="27" t="n"/>
      <c r="O1002" s="6" t="n"/>
    </row>
    <row r="1003">
      <c r="B1003" s="24" t="n"/>
      <c r="O1003" s="6" t="n"/>
    </row>
    <row r="1004">
      <c r="B1004" s="24" t="n"/>
      <c r="E1004" s="24" t="n"/>
      <c r="O1004" s="6" t="n"/>
    </row>
    <row r="1005">
      <c r="B1005" s="24" t="n"/>
    </row>
    <row r="1006">
      <c r="B1006" s="24" t="n"/>
    </row>
    <row r="1007">
      <c r="B1007" s="24" t="n"/>
    </row>
    <row r="1008">
      <c r="B1008" s="24" t="n"/>
      <c r="O1008" s="6" t="n"/>
    </row>
    <row r="1009">
      <c r="B1009" s="24" t="n"/>
    </row>
    <row r="1010">
      <c r="B1010" s="24" t="n"/>
      <c r="E1010" s="24" t="n"/>
      <c r="O1010" s="6" t="n"/>
    </row>
    <row r="1011">
      <c r="B1011" s="24" t="n"/>
      <c r="E1011" s="24" t="n"/>
      <c r="J1011" s="65" t="n"/>
      <c r="O1011" s="6" t="n"/>
    </row>
    <row r="1012">
      <c r="B1012" s="24" t="n"/>
      <c r="E1012" s="24" t="n"/>
      <c r="O1012" s="6" t="n"/>
    </row>
    <row r="1013">
      <c r="B1013" s="24" t="n"/>
      <c r="J1013" s="65" t="n"/>
      <c r="M1013" s="27" t="n"/>
      <c r="O1013" s="6" t="n"/>
    </row>
    <row r="1014">
      <c r="B1014" s="24" t="n"/>
      <c r="E1014" s="24" t="n"/>
      <c r="J1014" s="68" t="n"/>
      <c r="O1014" s="6" t="n"/>
    </row>
    <row r="1015">
      <c r="B1015" s="24" t="n"/>
      <c r="E1015" s="24" t="n"/>
    </row>
    <row r="1016">
      <c r="B1016" s="24" t="n"/>
      <c r="E1016" s="24" t="n"/>
      <c r="O1016" s="6" t="n"/>
    </row>
    <row r="1017">
      <c r="B1017" s="24" t="n"/>
      <c r="E1017" s="24" t="n"/>
      <c r="O1017" s="6" t="n"/>
    </row>
    <row r="1018">
      <c r="B1018" s="24" t="n"/>
      <c r="E1018" s="24" t="n"/>
      <c r="O1018" s="6" t="n"/>
    </row>
    <row r="1019">
      <c r="B1019" s="24" t="n"/>
      <c r="E1019" s="24" t="n"/>
      <c r="O1019" s="6" t="n"/>
    </row>
    <row r="1020">
      <c r="B1020" s="24" t="n"/>
      <c r="E1020" s="24" t="n"/>
      <c r="J1020" s="65" t="n"/>
      <c r="O1020" s="6" t="n"/>
    </row>
    <row r="1021">
      <c r="B1021" s="24" t="n"/>
      <c r="E1021" s="24" t="n"/>
      <c r="O1021" s="6" t="n"/>
    </row>
    <row r="1022">
      <c r="B1022" s="24" t="n"/>
    </row>
    <row r="1023">
      <c r="B1023" s="24" t="n"/>
    </row>
    <row r="1024">
      <c r="B1024" s="24" t="n"/>
    </row>
    <row r="1025">
      <c r="B1025" s="24" t="n"/>
    </row>
    <row r="1026">
      <c r="B1026" s="24" t="n"/>
      <c r="M1026" s="27" t="n"/>
      <c r="O1026" s="6" t="n"/>
    </row>
    <row r="1027">
      <c r="B1027" s="24" t="n"/>
      <c r="M1027" s="27" t="n"/>
      <c r="O1027" s="6" t="n"/>
    </row>
    <row r="1028">
      <c r="B1028" s="24" t="n"/>
      <c r="M1028" s="27" t="n"/>
      <c r="O1028" s="6" t="n"/>
    </row>
    <row r="1029">
      <c r="B1029" s="24" t="n"/>
    </row>
    <row r="1030">
      <c r="B1030" s="24" t="n"/>
    </row>
    <row r="1031">
      <c r="B1031" s="24" t="n"/>
      <c r="I1031" s="6" t="n"/>
      <c r="M1031" s="27" t="n"/>
      <c r="O1031" s="6" t="n"/>
    </row>
    <row r="1032">
      <c r="B1032" s="24" t="n"/>
      <c r="J1032" s="65" t="n"/>
      <c r="M1032" s="27" t="n"/>
      <c r="O1032" s="6" t="n"/>
    </row>
    <row r="1033">
      <c r="B1033" s="24" t="n"/>
      <c r="H1033" s="18" t="n"/>
      <c r="J1033" s="65" t="n"/>
      <c r="M1033" s="27" t="n"/>
      <c r="O1033" s="6" t="n"/>
    </row>
    <row r="1034">
      <c r="B1034" s="24" t="n"/>
      <c r="E1034" s="24" t="n"/>
      <c r="J1034" s="65" t="n"/>
      <c r="O1034" s="6" t="n"/>
    </row>
    <row r="1035">
      <c r="B1035" s="24" t="n"/>
      <c r="J1035" s="7" t="n"/>
      <c r="O1035" s="6" t="n"/>
    </row>
    <row r="1036">
      <c r="B1036" s="24" t="n"/>
      <c r="E1036" s="24" t="n"/>
      <c r="O1036" s="6" t="n"/>
    </row>
    <row r="1037">
      <c r="B1037" s="24" t="n"/>
      <c r="E1037" s="24" t="n"/>
      <c r="O1037" s="6" t="n"/>
    </row>
    <row r="1038">
      <c r="B1038" s="24" t="n"/>
    </row>
    <row r="1039">
      <c r="B1039" s="24" t="n"/>
    </row>
    <row r="1040">
      <c r="B1040" s="24" t="n"/>
      <c r="E1040" s="24" t="n"/>
      <c r="J1040" s="65" t="n"/>
      <c r="O1040" s="6" t="n"/>
    </row>
    <row r="1041">
      <c r="B1041" s="24" t="n"/>
      <c r="D1041" s="25" t="n"/>
      <c r="E1041" s="24" t="n"/>
      <c r="O1041" s="6" t="n"/>
    </row>
    <row r="1042">
      <c r="B1042" s="24" t="n"/>
      <c r="E1042" s="24" t="n"/>
      <c r="J1042" s="64" t="n"/>
      <c r="O1042" s="6" t="n"/>
    </row>
    <row r="1043">
      <c r="B1043" s="24" t="n"/>
      <c r="M1043" s="27" t="n"/>
      <c r="O1043" s="6" t="n"/>
    </row>
    <row r="1044">
      <c r="B1044" s="24" t="n"/>
      <c r="E1044" s="24" t="n"/>
      <c r="O1044" s="6" t="n"/>
    </row>
    <row r="1045">
      <c r="B1045" s="24" t="n"/>
      <c r="J1045" s="65" t="n"/>
      <c r="M1045" s="27" t="n"/>
      <c r="O1045" s="6" t="n"/>
    </row>
    <row r="1046">
      <c r="B1046" s="24" t="n"/>
      <c r="E1046" s="24" t="n"/>
      <c r="O1046" s="6" t="n"/>
    </row>
    <row r="1047">
      <c r="B1047" s="24" t="n"/>
      <c r="E1047" s="24" t="n"/>
      <c r="O1047" s="6" t="n"/>
    </row>
    <row r="1048">
      <c r="B1048" s="24" t="n"/>
      <c r="E1048" s="24" t="n"/>
      <c r="O1048" s="6" t="n"/>
    </row>
    <row r="1049">
      <c r="B1049" s="24" t="n"/>
      <c r="E1049" s="24" t="n"/>
      <c r="O1049" s="6" t="n"/>
    </row>
    <row r="1050">
      <c r="B1050" s="24" t="n"/>
      <c r="D1050" s="25" t="n"/>
      <c r="E1050" s="24" t="n"/>
      <c r="O1050" s="6" t="n"/>
    </row>
    <row r="1051">
      <c r="B1051" s="24" t="n"/>
      <c r="E1051" s="24" t="n"/>
      <c r="O1051" s="6" t="n"/>
    </row>
    <row r="1052">
      <c r="B1052" s="24" t="n"/>
    </row>
    <row r="1053">
      <c r="B1053" s="24" t="n"/>
      <c r="E1053" s="24" t="n"/>
      <c r="O1053" s="6" t="n"/>
    </row>
    <row r="1054">
      <c r="B1054" s="24" t="n"/>
      <c r="M1054" s="27" t="n"/>
      <c r="O1054" s="6" t="n"/>
    </row>
    <row r="1055">
      <c r="B1055" s="24" t="n"/>
    </row>
    <row r="1056">
      <c r="B1056" s="24" t="n"/>
      <c r="E1056" s="24" t="n"/>
      <c r="O1056" s="6" t="n"/>
    </row>
    <row r="1057">
      <c r="B1057" s="24" t="n"/>
    </row>
    <row r="1058">
      <c r="B1058" s="24" t="n"/>
    </row>
    <row r="1059">
      <c r="B1059" s="24" t="n"/>
    </row>
    <row r="1060">
      <c r="B1060" s="24" t="n"/>
    </row>
    <row r="1061">
      <c r="B1061" s="24" t="n"/>
      <c r="C1061" s="25" t="n"/>
      <c r="J1061" s="64" t="n"/>
    </row>
    <row r="1062">
      <c r="B1062" s="24" t="n"/>
      <c r="E1062" s="24" t="n"/>
      <c r="J1062" s="71" t="n"/>
      <c r="O1062" s="6" t="n"/>
    </row>
    <row r="1063">
      <c r="B1063" s="24" t="n"/>
      <c r="M1063" s="27" t="n"/>
      <c r="O1063" s="6" t="n"/>
    </row>
    <row r="1064">
      <c r="B1064" s="24" t="n"/>
    </row>
    <row r="1065">
      <c r="B1065" s="24" t="n"/>
      <c r="E1065" s="24" t="n"/>
      <c r="O1065" s="6" t="n"/>
    </row>
    <row r="1066">
      <c r="B1066" s="24" t="n"/>
      <c r="D1066" s="25" t="n"/>
      <c r="E1066" s="24" t="n"/>
      <c r="O1066" s="6" t="n"/>
    </row>
    <row r="1067">
      <c r="B1067" s="24" t="n"/>
      <c r="E1067" s="24" t="n"/>
      <c r="J1067" s="64" t="n"/>
      <c r="O1067" s="6" t="n"/>
    </row>
    <row r="1068">
      <c r="B1068" s="24" t="n"/>
      <c r="J1068" s="65" t="n"/>
      <c r="M1068" s="27" t="n"/>
      <c r="O1068" s="6" t="n"/>
    </row>
    <row r="1069">
      <c r="B1069" s="24" t="n"/>
      <c r="E1069" s="24" t="n"/>
      <c r="J1069" s="65" t="n"/>
      <c r="O1069" s="6" t="n"/>
    </row>
    <row r="1070">
      <c r="B1070" s="24" t="n"/>
      <c r="J1070" s="65" t="n"/>
      <c r="M1070" s="27" t="n"/>
      <c r="O1070" s="6" t="n"/>
    </row>
    <row r="1071">
      <c r="B1071" s="24" t="n"/>
      <c r="M1071" s="27" t="n"/>
      <c r="O1071" s="6" t="n"/>
    </row>
    <row r="1072">
      <c r="B1072" s="24" t="n"/>
      <c r="O1072" s="6" t="n"/>
    </row>
    <row r="1073">
      <c r="B1073" s="24" t="n"/>
      <c r="E1073" s="24" t="n"/>
      <c r="O1073" s="6" t="n"/>
    </row>
    <row r="1074">
      <c r="B1074" s="24" t="n"/>
      <c r="E1074" s="24" t="n"/>
      <c r="O1074" s="6" t="n"/>
    </row>
    <row r="1075">
      <c r="B1075" s="24" t="n"/>
    </row>
    <row r="1076">
      <c r="B1076" s="24" t="n"/>
      <c r="D1076" s="25" t="n"/>
      <c r="E1076" s="24" t="n"/>
      <c r="J1076" s="65" t="n"/>
      <c r="O1076" s="6" t="n"/>
    </row>
    <row r="1077">
      <c r="B1077" s="24" t="n"/>
      <c r="E1077" s="24" t="n"/>
      <c r="J1077" s="65" t="n"/>
      <c r="O1077" s="6" t="n"/>
    </row>
    <row r="1078">
      <c r="B1078" s="24" t="n"/>
      <c r="E1078" s="24" t="n"/>
      <c r="O1078" s="6" t="n"/>
    </row>
    <row r="1079">
      <c r="B1079" s="24" t="n"/>
      <c r="E1079" s="24" t="n"/>
      <c r="J1079" s="64" t="n"/>
      <c r="O1079" s="6" t="n"/>
    </row>
    <row r="1080">
      <c r="B1080" s="24" t="n"/>
      <c r="J1080" s="65" t="n"/>
      <c r="M1080" s="27" t="n"/>
      <c r="O1080" s="6" t="n"/>
    </row>
    <row r="1081">
      <c r="B1081" s="24" t="n"/>
      <c r="J1081" s="65" t="n"/>
      <c r="M1081" s="27" t="n"/>
      <c r="O1081" s="6" t="n"/>
    </row>
    <row r="1082">
      <c r="B1082" s="24" t="n"/>
      <c r="I1082" s="6" t="n"/>
      <c r="K1082" s="32" t="n"/>
      <c r="L1082" s="32" t="n"/>
      <c r="M1082" s="35" t="n"/>
      <c r="O1082" s="6" t="n"/>
    </row>
    <row r="1083">
      <c r="B1083" s="24" t="n"/>
      <c r="E1083" s="24" t="n"/>
      <c r="J1083" s="65" t="n"/>
      <c r="O1083" s="6" t="n"/>
    </row>
    <row r="1084">
      <c r="B1084" s="24" t="n"/>
    </row>
    <row r="1085">
      <c r="B1085" s="24" t="n"/>
      <c r="M1085" s="27" t="n"/>
      <c r="O1085" s="6" t="n"/>
    </row>
    <row r="1086">
      <c r="B1086" s="24" t="n"/>
      <c r="C1086" s="25" t="n"/>
      <c r="J1086" s="64" t="n"/>
    </row>
    <row r="1087">
      <c r="B1087" s="24" t="n"/>
    </row>
    <row r="1088">
      <c r="B1088" s="24" t="n"/>
      <c r="M1088" s="27" t="n"/>
      <c r="O1088" s="6" t="n"/>
    </row>
    <row r="1089">
      <c r="B1089" s="24" t="n"/>
    </row>
    <row r="1090">
      <c r="B1090" s="24" t="n"/>
      <c r="E1090" s="24" t="n"/>
      <c r="O1090" s="6" t="n"/>
    </row>
    <row r="1091">
      <c r="B1091" s="24" t="n"/>
      <c r="E1091" s="24" t="n"/>
      <c r="O1091" s="6" t="n"/>
    </row>
    <row r="1092">
      <c r="B1092" s="24" t="n"/>
      <c r="J1092" s="64" t="n"/>
      <c r="M1092" s="35" t="n"/>
      <c r="O1092" s="6" t="n"/>
    </row>
    <row r="1093">
      <c r="B1093" s="24" t="n"/>
      <c r="E1093" s="24" t="n"/>
      <c r="J1093" s="64" t="n"/>
      <c r="O1093" s="6" t="n"/>
    </row>
    <row r="1094">
      <c r="B1094" s="24" t="n"/>
    </row>
    <row r="1095">
      <c r="B1095" s="24" t="n"/>
    </row>
    <row r="1096">
      <c r="B1096" s="24" t="n"/>
      <c r="D1096" s="25" t="n"/>
      <c r="E1096" s="24" t="n"/>
      <c r="O1096" s="6" t="n"/>
    </row>
    <row r="1097">
      <c r="B1097" s="24" t="n"/>
    </row>
    <row r="1098">
      <c r="B1098" s="24" t="n"/>
      <c r="M1098" s="27" t="n"/>
      <c r="O1098" s="6" t="n"/>
    </row>
    <row r="1099">
      <c r="B1099" s="24" t="n"/>
    </row>
    <row r="1100">
      <c r="B1100" s="24" t="n"/>
      <c r="E1100" s="7" t="n"/>
      <c r="J1100" s="7" t="n"/>
      <c r="O1100" s="6" t="n"/>
    </row>
    <row r="1101">
      <c r="B1101" s="24" t="n"/>
      <c r="M1101" s="27" t="n"/>
      <c r="O1101" s="6" t="n"/>
    </row>
    <row r="1102">
      <c r="B1102" s="24" t="n"/>
      <c r="E1102" s="24" t="n"/>
      <c r="O1102" s="6" t="n"/>
    </row>
    <row r="1103">
      <c r="B1103" s="24" t="n"/>
      <c r="E1103" s="24" t="n"/>
      <c r="O1103" s="6" t="n"/>
    </row>
    <row r="1104">
      <c r="B1104" s="24" t="n"/>
      <c r="E1104" s="24" t="n"/>
      <c r="O1104" s="6" t="n"/>
    </row>
    <row r="1105">
      <c r="B1105" s="24" t="n"/>
      <c r="E1105" s="24" t="n"/>
      <c r="O1105" s="6" t="n"/>
    </row>
    <row r="1106">
      <c r="B1106" s="24" t="n"/>
      <c r="E1106" s="24" t="n"/>
      <c r="O1106" s="6" t="n"/>
    </row>
    <row r="1107">
      <c r="B1107" s="24" t="n"/>
      <c r="E1107" s="24" t="n"/>
      <c r="O1107" s="6" t="n"/>
    </row>
    <row r="1108">
      <c r="B1108" s="24" t="n"/>
    </row>
    <row r="1109">
      <c r="B1109" s="24" t="n"/>
      <c r="E1109" s="24" t="n"/>
      <c r="J1109" s="65" t="n"/>
      <c r="O1109" s="6" t="n"/>
    </row>
    <row r="1110">
      <c r="B1110" s="24" t="n"/>
      <c r="E1110" s="24" t="n"/>
      <c r="O1110" s="6" t="n"/>
    </row>
    <row r="1111">
      <c r="B1111" s="24" t="n"/>
      <c r="E1111" s="24" t="n"/>
      <c r="O1111" s="6" t="n"/>
    </row>
    <row r="1112">
      <c r="B1112" s="24" t="n"/>
      <c r="E1112" s="24" t="n"/>
      <c r="O1112" s="6" t="n"/>
    </row>
    <row r="1113">
      <c r="B1113" s="24" t="n"/>
      <c r="E1113" s="24" t="n"/>
      <c r="O1113" s="6" t="n"/>
    </row>
    <row r="1114">
      <c r="B1114" s="24" t="n"/>
      <c r="E1114" s="24" t="n"/>
      <c r="O1114" s="6" t="n"/>
    </row>
    <row r="1115">
      <c r="B1115" s="24" t="n"/>
      <c r="E1115" s="24" t="n"/>
      <c r="O1115" s="6" t="n"/>
    </row>
    <row r="1116">
      <c r="B1116" s="24" t="n"/>
      <c r="E1116" s="24" t="n"/>
      <c r="O1116" s="6" t="n"/>
    </row>
    <row r="1117">
      <c r="B1117" s="24" t="n"/>
      <c r="E1117" s="24" t="n"/>
      <c r="O1117" s="6" t="n"/>
    </row>
    <row r="1118">
      <c r="B1118" s="24" t="n"/>
      <c r="E1118" s="24" t="n"/>
      <c r="O1118" s="6" t="n"/>
    </row>
    <row r="1119">
      <c r="B1119" s="24" t="n"/>
      <c r="E1119" s="24" t="n"/>
      <c r="O1119" s="6" t="n"/>
    </row>
    <row r="1120">
      <c r="B1120" s="24" t="n"/>
      <c r="E1120" s="24" t="n"/>
      <c r="O1120" s="6" t="n"/>
    </row>
    <row r="1121">
      <c r="B1121" s="24" t="n"/>
      <c r="M1121" s="27" t="n"/>
      <c r="O1121" s="6" t="n"/>
    </row>
    <row r="1122">
      <c r="B1122" s="24" t="n"/>
      <c r="E1122" s="24" t="n"/>
      <c r="O1122" s="6" t="n"/>
    </row>
    <row r="1123">
      <c r="B1123" s="24" t="n"/>
      <c r="E1123" s="24" t="n"/>
      <c r="O1123" s="6" t="n"/>
    </row>
    <row r="1124">
      <c r="B1124" s="24" t="n"/>
    </row>
    <row r="1125">
      <c r="B1125" s="24" t="n"/>
      <c r="K1125" s="28" t="n"/>
    </row>
    <row r="1126">
      <c r="B1126" s="24" t="n"/>
      <c r="K1126" s="28" t="n"/>
    </row>
    <row r="1127">
      <c r="B1127" s="24" t="n"/>
      <c r="M1127" s="27" t="n"/>
      <c r="O1127" s="6" t="n"/>
    </row>
    <row r="1128">
      <c r="B1128" s="24" t="n"/>
      <c r="M1128" s="27" t="n"/>
      <c r="O1128" s="6" t="n"/>
    </row>
    <row r="1129">
      <c r="B1129" s="24" t="n"/>
      <c r="M1129" s="27" t="n"/>
      <c r="O1129" s="6" t="n"/>
    </row>
    <row r="1130">
      <c r="B1130" s="24" t="n"/>
    </row>
    <row r="1131">
      <c r="B1131" s="24" t="n"/>
      <c r="H1131" s="18" t="n"/>
      <c r="K1131" s="28" t="n"/>
    </row>
    <row r="1132">
      <c r="B1132" s="24" t="n"/>
    </row>
    <row r="1133">
      <c r="B1133" s="24" t="n"/>
      <c r="M1133" s="27" t="n"/>
      <c r="O1133" s="6" t="n"/>
    </row>
    <row r="1134">
      <c r="B1134" s="24" t="n"/>
      <c r="C1134" s="25" t="n"/>
      <c r="J1134" s="64" t="n"/>
    </row>
    <row r="1135">
      <c r="B1135" s="24" t="n"/>
    </row>
    <row r="1136">
      <c r="B1136" s="24" t="n"/>
      <c r="D1136" s="25" t="n"/>
      <c r="E1136" s="24" t="n"/>
      <c r="J1136" s="64" t="n"/>
      <c r="O1136" s="6" t="n"/>
    </row>
    <row r="1137">
      <c r="B1137" s="24" t="n"/>
      <c r="K1137" s="28" t="n"/>
    </row>
    <row r="1138">
      <c r="B1138" s="24" t="n"/>
      <c r="K1138" s="28" t="n"/>
      <c r="M1138" s="27" t="n"/>
      <c r="O1138" s="6" t="n"/>
    </row>
    <row r="1139">
      <c r="B1139" s="24" t="n"/>
    </row>
    <row r="1140">
      <c r="B1140" s="24" t="n"/>
    </row>
    <row r="1141">
      <c r="B1141" s="24" t="n"/>
      <c r="K1141" s="28" t="n"/>
    </row>
    <row r="1142">
      <c r="B1142" s="24" t="n"/>
      <c r="D1142" s="50" t="n"/>
      <c r="E1142" s="24" t="n"/>
      <c r="H1142" s="26" t="n"/>
      <c r="O1142" s="6" t="n"/>
    </row>
    <row r="1143">
      <c r="B1143" s="24" t="n"/>
      <c r="K1143" s="32" t="n"/>
      <c r="L1143" s="32" t="n"/>
      <c r="M1143" s="32" t="n"/>
      <c r="O1143" s="6" t="n"/>
    </row>
    <row r="1144">
      <c r="B1144" s="24" t="n"/>
      <c r="I1144" s="6" t="n"/>
      <c r="M1144" s="27" t="n"/>
      <c r="O1144" s="6" t="n"/>
    </row>
    <row r="1145">
      <c r="B1145" s="24" t="n"/>
      <c r="E1145" s="24" t="n"/>
      <c r="O1145" s="6" t="n"/>
    </row>
    <row r="1146">
      <c r="B1146" s="24" t="n"/>
      <c r="E1146" s="24" t="n"/>
      <c r="O1146" s="6" t="n"/>
    </row>
    <row r="1147">
      <c r="B1147" s="24" t="n"/>
    </row>
    <row r="1148">
      <c r="B1148" s="24" t="n"/>
    </row>
    <row r="1149">
      <c r="B1149" s="24" t="n"/>
      <c r="H1149" s="7" t="n"/>
    </row>
    <row r="1150">
      <c r="B1150" s="24" t="n"/>
      <c r="E1150" s="24" t="n"/>
      <c r="O1150" s="6" t="n"/>
    </row>
    <row r="1151">
      <c r="B1151" s="24" t="n"/>
      <c r="K1151" s="28" t="n"/>
    </row>
    <row r="1152">
      <c r="B1152" s="24" t="n"/>
    </row>
    <row r="1153">
      <c r="B1153" s="24" t="n"/>
      <c r="K1153" s="28" t="n"/>
      <c r="M1153" s="27" t="n"/>
      <c r="O1153" s="6" t="n"/>
    </row>
    <row r="1154"/>
    <row r="1155"/>
    <row r="1156">
      <c r="H1156" s="18" t="n"/>
    </row>
    <row r="1157"/>
    <row r="1158"/>
    <row r="1159"/>
    <row r="1160"/>
    <row r="1161"/>
    <row r="1162">
      <c r="E1162" s="24" t="n"/>
    </row>
    <row r="1163">
      <c r="E1163" s="24" t="n"/>
    </row>
    <row r="1164">
      <c r="E1164" s="24" t="n"/>
    </row>
    <row r="1165">
      <c r="E1165" s="24" t="n"/>
    </row>
    <row r="1166">
      <c r="E1166" s="24" t="n"/>
    </row>
    <row r="1167">
      <c r="E1167" s="24" t="n"/>
    </row>
    <row r="1168">
      <c r="E1168" s="24" t="n"/>
    </row>
    <row r="1169">
      <c r="E1169" s="24" t="n"/>
    </row>
    <row r="1170">
      <c r="E1170" s="24" t="n"/>
    </row>
    <row r="1171">
      <c r="E1171" s="24" t="n"/>
    </row>
    <row r="1172">
      <c r="E1172" s="24" t="n"/>
    </row>
    <row r="1173">
      <c r="E1173" s="24" t="n"/>
    </row>
    <row r="1174">
      <c r="E1174" s="24" t="n"/>
    </row>
    <row r="1175">
      <c r="E1175" s="24" t="n"/>
    </row>
    <row r="1176">
      <c r="E1176" s="24" t="n"/>
    </row>
    <row r="1177">
      <c r="E1177" s="24" t="n"/>
    </row>
    <row r="1178">
      <c r="E1178" s="24" t="n"/>
    </row>
    <row r="1179">
      <c r="E1179" s="24" t="n"/>
    </row>
    <row r="1180">
      <c r="B1180" s="24" t="n"/>
    </row>
    <row r="1181">
      <c r="B1181" s="24" t="n"/>
      <c r="E1181" s="24" t="n"/>
    </row>
    <row r="1182">
      <c r="B1182" s="24" t="n"/>
      <c r="E1182" s="24" t="n"/>
    </row>
    <row r="1183">
      <c r="B1183" s="24" t="n"/>
      <c r="E1183" s="24" t="n"/>
    </row>
    <row r="1184">
      <c r="B1184" s="24" t="n"/>
      <c r="E1184" s="24" t="n"/>
    </row>
    <row r="1185">
      <c r="B1185" s="24" t="n"/>
      <c r="E1185" s="24" t="n"/>
    </row>
    <row r="1186">
      <c r="B1186" s="24" t="n"/>
      <c r="E1186" s="24" t="n"/>
    </row>
    <row r="1187">
      <c r="B1187" s="24" t="n"/>
      <c r="E1187" s="24" t="n"/>
    </row>
    <row r="1188">
      <c r="B1188" s="24" t="n"/>
      <c r="E1188" s="24" t="n"/>
    </row>
    <row r="1189">
      <c r="B1189" s="24" t="n"/>
      <c r="E1189" s="24" t="n"/>
    </row>
    <row r="1190">
      <c r="B1190" s="24" t="n"/>
      <c r="E1190" s="24" t="n"/>
    </row>
    <row r="1191">
      <c r="B1191" s="24" t="n"/>
      <c r="E1191" s="24" t="n"/>
      <c r="H1191" s="18" t="n"/>
    </row>
    <row r="1192">
      <c r="B1192" s="24" t="n"/>
      <c r="E1192" s="24" t="n"/>
    </row>
    <row r="1193">
      <c r="B1193" s="24" t="n"/>
      <c r="E1193" s="24" t="n"/>
    </row>
    <row r="1194">
      <c r="B1194" s="24" t="n"/>
      <c r="E1194" s="24" t="n"/>
    </row>
    <row r="1195">
      <c r="B1195" s="24" t="n"/>
      <c r="E1195" s="24" t="n"/>
    </row>
    <row r="1196">
      <c r="B1196" s="24" t="n"/>
      <c r="E1196" s="24" t="n"/>
    </row>
    <row r="1197">
      <c r="B1197" s="24" t="n"/>
      <c r="E1197" s="24" t="n"/>
    </row>
    <row r="1198">
      <c r="B1198" s="24" t="n"/>
      <c r="E1198" s="24" t="n"/>
    </row>
    <row r="1199">
      <c r="B1199" s="24" t="n"/>
      <c r="E1199" s="24" t="n"/>
    </row>
    <row r="1200">
      <c r="B1200" s="24" t="n"/>
      <c r="E1200" s="24" t="n"/>
    </row>
    <row r="1201">
      <c r="B1201" s="24" t="n"/>
      <c r="E1201" s="24" t="n"/>
    </row>
    <row r="1202">
      <c r="B1202" s="24" t="n"/>
      <c r="E1202" s="24" t="n"/>
      <c r="J1202" s="110" t="n"/>
    </row>
    <row r="1203">
      <c r="B1203" s="24" t="n"/>
      <c r="E1203" s="24" t="n"/>
    </row>
    <row r="1204">
      <c r="B1204" s="24" t="n"/>
      <c r="E1204" s="24" t="n"/>
    </row>
    <row r="1205">
      <c r="B1205" s="24" t="n"/>
      <c r="E1205" s="24" t="n"/>
    </row>
    <row r="1206">
      <c r="B1206" s="24" t="n"/>
      <c r="E1206" s="24" t="n"/>
    </row>
    <row r="1207">
      <c r="B1207" s="24" t="n"/>
      <c r="E1207" s="24" t="n"/>
    </row>
    <row r="1208">
      <c r="B1208" s="24" t="n"/>
      <c r="E1208" s="24" t="n"/>
    </row>
    <row r="1209">
      <c r="B1209" s="24" t="n"/>
      <c r="E1209" s="24" t="n"/>
    </row>
    <row r="1210">
      <c r="B1210" s="24" t="n"/>
      <c r="E1210" s="24" t="n"/>
    </row>
    <row r="1211">
      <c r="B1211" s="24" t="n"/>
      <c r="E1211" s="24" t="n"/>
    </row>
    <row r="1212">
      <c r="B1212" s="24" t="n"/>
      <c r="E1212" s="24" t="n"/>
    </row>
    <row r="1213">
      <c r="B1213" s="24" t="n"/>
      <c r="E1213" s="24" t="n"/>
    </row>
    <row r="1214">
      <c r="B1214" s="24" t="n"/>
      <c r="E1214" s="24" t="n"/>
    </row>
    <row r="1215">
      <c r="B1215" s="24" t="n"/>
      <c r="E1215" s="24" t="n"/>
    </row>
    <row r="1216">
      <c r="B1216" s="24" t="n"/>
      <c r="E1216" s="24" t="n"/>
    </row>
    <row r="1217">
      <c r="B1217" s="24" t="n"/>
      <c r="E1217" s="24" t="n"/>
    </row>
    <row r="1218">
      <c r="B1218" s="24" t="n"/>
      <c r="E1218" s="24" t="n"/>
    </row>
    <row r="1219">
      <c r="B1219" s="24" t="n"/>
      <c r="E1219" s="24" t="n"/>
    </row>
    <row r="1220">
      <c r="B1220" s="24" t="n"/>
      <c r="E1220" s="24" t="n"/>
      <c r="J1220" s="110" t="n"/>
    </row>
    <row r="1221">
      <c r="B1221" s="24" t="n"/>
      <c r="E1221" s="24" t="n"/>
    </row>
    <row r="1222">
      <c r="B1222" s="24" t="n"/>
      <c r="E1222" s="24" t="n"/>
    </row>
    <row r="1223">
      <c r="B1223" s="24" t="n"/>
      <c r="E1223" s="24" t="n"/>
    </row>
    <row r="1224">
      <c r="B1224" s="24" t="n"/>
      <c r="E1224" s="24" t="n"/>
    </row>
    <row r="1225">
      <c r="B1225" s="24" t="n"/>
      <c r="E1225" s="24" t="n"/>
    </row>
    <row r="1226">
      <c r="B1226" s="24" t="n"/>
      <c r="E1226" s="24" t="n"/>
    </row>
    <row r="1227">
      <c r="B1227" s="24" t="n"/>
      <c r="E1227" s="24" t="n"/>
    </row>
    <row r="1228">
      <c r="B1228" s="24" t="n"/>
      <c r="E1228" s="24" t="n"/>
    </row>
    <row r="1229">
      <c r="B1229" s="24" t="n"/>
      <c r="E1229" s="24" t="n"/>
    </row>
    <row r="1230">
      <c r="B1230" s="24" t="n"/>
      <c r="E1230" s="24" t="n"/>
    </row>
    <row r="1231">
      <c r="B1231" s="24" t="n"/>
      <c r="E1231" s="24" t="n"/>
    </row>
    <row r="1232">
      <c r="B1232" s="24" t="n"/>
      <c r="E1232" s="24" t="n"/>
    </row>
    <row r="1233">
      <c r="B1233" s="24" t="n"/>
      <c r="E1233" s="24" t="n"/>
    </row>
    <row r="1234">
      <c r="B1234" s="24" t="n"/>
      <c r="E1234" s="24" t="n"/>
    </row>
    <row r="1235">
      <c r="B1235" s="24" t="n"/>
      <c r="E1235" s="24" t="n"/>
    </row>
    <row r="1236">
      <c r="B1236" s="24" t="n"/>
      <c r="E1236" s="24" t="n"/>
    </row>
    <row r="1237">
      <c r="B1237" s="24" t="n"/>
      <c r="E1237" s="24" t="n"/>
    </row>
    <row r="1238">
      <c r="B1238" s="24" t="n"/>
      <c r="E1238" s="24" t="n"/>
    </row>
    <row r="1239">
      <c r="B1239" s="24" t="n"/>
      <c r="E1239" s="24" t="n"/>
    </row>
    <row r="1240">
      <c r="B1240" s="24" t="n"/>
      <c r="E1240" s="24" t="n"/>
    </row>
    <row r="1241">
      <c r="B1241" s="24" t="n"/>
      <c r="E1241" s="24" t="n"/>
    </row>
    <row r="1242">
      <c r="B1242" s="24" t="n"/>
      <c r="E1242" s="24" t="n"/>
    </row>
    <row r="1243">
      <c r="B1243" s="24" t="n"/>
      <c r="E1243" s="24" t="n"/>
    </row>
    <row r="1244">
      <c r="B1244" s="24" t="n"/>
      <c r="E1244" s="24" t="n"/>
    </row>
    <row r="1245">
      <c r="B1245" s="24" t="n"/>
      <c r="E1245" s="24" t="n"/>
    </row>
    <row r="1246">
      <c r="B1246" s="24" t="n"/>
      <c r="E1246" s="24" t="n"/>
    </row>
    <row r="1247">
      <c r="B1247" s="24" t="n"/>
      <c r="E1247" s="24" t="n"/>
    </row>
    <row r="1248">
      <c r="B1248" s="24" t="n"/>
      <c r="E1248" s="24" t="n"/>
    </row>
    <row r="1249">
      <c r="B1249" s="24" t="n"/>
      <c r="E1249" s="24" t="n"/>
    </row>
    <row r="1250">
      <c r="B1250" s="24" t="n"/>
      <c r="E1250" s="24" t="n"/>
    </row>
    <row r="1251">
      <c r="B1251" s="24" t="n"/>
      <c r="E1251" s="24" t="n"/>
    </row>
    <row r="1252">
      <c r="B1252" s="24" t="n"/>
      <c r="E1252" s="24" t="n"/>
    </row>
    <row r="1253">
      <c r="B1253" s="24" t="n"/>
      <c r="E1253" s="24" t="n"/>
    </row>
    <row r="1254">
      <c r="B1254" s="24" t="n"/>
      <c r="E1254" s="24" t="n"/>
    </row>
    <row r="1255">
      <c r="B1255" s="24" t="n"/>
      <c r="E1255" s="24" t="n"/>
    </row>
    <row r="1256">
      <c r="B1256" s="24" t="n"/>
      <c r="E1256" s="24" t="n"/>
      <c r="J1256" s="110" t="n"/>
    </row>
    <row r="1257">
      <c r="B1257" s="24" t="n"/>
      <c r="E1257" s="24" t="n"/>
    </row>
    <row r="1258">
      <c r="B1258" s="24" t="n"/>
      <c r="E1258" s="24" t="n"/>
    </row>
    <row r="1259">
      <c r="B1259" s="24" t="n"/>
      <c r="E1259" s="24" t="n"/>
    </row>
    <row r="1260">
      <c r="B1260" s="24" t="n"/>
      <c r="E1260" s="24" t="n"/>
    </row>
    <row r="1261">
      <c r="B1261" s="24" t="n"/>
      <c r="E1261" s="24" t="n"/>
    </row>
    <row r="1262">
      <c r="B1262" s="24" t="n"/>
      <c r="E1262" s="24" t="n"/>
    </row>
    <row r="1263">
      <c r="B1263" s="24" t="n"/>
      <c r="E1263" s="24" t="n"/>
    </row>
    <row r="1264">
      <c r="B1264" s="24" t="n"/>
      <c r="E1264" s="24" t="n"/>
    </row>
    <row r="1265">
      <c r="B1265" s="24" t="n"/>
      <c r="E1265" s="24" t="n"/>
    </row>
    <row r="1266">
      <c r="B1266" s="24" t="n"/>
      <c r="E1266" s="24" t="n"/>
    </row>
    <row r="1267">
      <c r="B1267" s="24" t="n"/>
      <c r="E1267" s="24" t="n"/>
    </row>
    <row r="1268">
      <c r="B1268" s="24" t="n"/>
      <c r="E1268" s="24" t="n"/>
    </row>
    <row r="1269">
      <c r="B1269" s="24" t="n"/>
      <c r="E1269" s="24" t="n"/>
    </row>
    <row r="1270">
      <c r="B1270" s="24" t="n"/>
      <c r="E1270" s="24" t="n"/>
    </row>
    <row r="1271">
      <c r="B1271" s="24" t="n"/>
      <c r="E1271" s="24" t="n"/>
    </row>
    <row r="1272">
      <c r="B1272" s="24" t="n"/>
      <c r="E1272" s="24" t="n"/>
    </row>
    <row r="1273">
      <c r="B1273" s="24" t="n"/>
      <c r="E1273" s="24" t="n"/>
    </row>
    <row r="1274">
      <c r="B1274" s="24" t="n"/>
      <c r="E1274" s="24" t="n"/>
    </row>
    <row r="1275">
      <c r="B1275" s="24" t="n"/>
      <c r="E1275" s="24" t="n"/>
    </row>
    <row r="1276">
      <c r="B1276" s="24" t="n"/>
      <c r="E1276" s="24" t="n"/>
    </row>
    <row r="1277">
      <c r="B1277" s="24" t="n"/>
      <c r="E1277" s="24" t="n"/>
    </row>
    <row r="1278">
      <c r="B1278" s="24" t="n"/>
      <c r="E1278" s="24" t="n"/>
    </row>
    <row r="1279">
      <c r="B1279" s="24" t="n"/>
      <c r="E1279" s="24" t="n"/>
    </row>
    <row r="1280">
      <c r="B1280" s="24" t="n"/>
      <c r="E1280" s="24" t="n"/>
    </row>
    <row r="1281">
      <c r="B1281" s="24" t="n"/>
      <c r="E1281" s="24" t="n"/>
    </row>
    <row r="1282">
      <c r="B1282" s="24" t="n"/>
      <c r="E1282" s="24" t="n"/>
    </row>
    <row r="1283">
      <c r="B1283" s="24" t="n"/>
      <c r="E1283" s="24" t="n"/>
    </row>
    <row r="1284">
      <c r="B1284" s="24" t="n"/>
      <c r="E1284" s="24" t="n"/>
    </row>
    <row r="1285">
      <c r="B1285" s="24" t="n"/>
      <c r="E1285" s="24" t="n"/>
    </row>
    <row r="1286">
      <c r="B1286" s="24" t="n"/>
      <c r="E1286" s="24" t="n"/>
    </row>
    <row r="1287">
      <c r="B1287" s="24" t="n"/>
      <c r="E1287" s="24" t="n"/>
    </row>
    <row r="1288">
      <c r="B1288" s="24" t="n"/>
      <c r="E1288" s="24" t="n"/>
    </row>
    <row r="1289">
      <c r="B1289" s="24" t="n"/>
      <c r="E1289" s="24" t="n"/>
    </row>
    <row r="1290">
      <c r="B1290" s="24" t="n"/>
      <c r="E1290" s="24" t="n"/>
    </row>
    <row r="1291">
      <c r="B1291" s="24" t="n"/>
      <c r="E1291" s="24" t="n"/>
    </row>
    <row r="1292">
      <c r="B1292" s="24" t="n"/>
      <c r="E1292" s="24" t="n"/>
    </row>
    <row r="1293">
      <c r="B1293" s="24" t="n"/>
      <c r="E1293" s="24" t="n"/>
    </row>
    <row r="1294">
      <c r="B1294" s="24" t="n"/>
      <c r="E1294" s="24" t="n"/>
    </row>
    <row r="1295">
      <c r="B1295" s="24" t="n"/>
      <c r="E1295" s="24" t="n"/>
    </row>
    <row r="1296">
      <c r="B1296" s="24" t="n"/>
      <c r="E1296" s="24" t="n"/>
    </row>
    <row r="1297">
      <c r="B1297" s="24" t="n"/>
      <c r="E1297" s="24" t="n"/>
    </row>
    <row r="1298">
      <c r="B1298" s="24" t="n"/>
      <c r="E1298" s="24" t="n"/>
    </row>
    <row r="1299">
      <c r="B1299" s="24" t="n"/>
      <c r="E1299" s="24" t="n"/>
    </row>
    <row r="1300">
      <c r="B1300" s="24" t="n"/>
      <c r="E1300" s="24" t="n"/>
    </row>
    <row r="1301">
      <c r="B1301" s="24" t="n"/>
      <c r="E1301" s="24" t="n"/>
    </row>
    <row r="1302">
      <c r="B1302" s="24" t="n"/>
      <c r="E1302" s="24" t="n"/>
    </row>
    <row r="1303">
      <c r="B1303" s="24" t="n"/>
      <c r="E1303" s="24" t="n"/>
    </row>
    <row r="1304">
      <c r="B1304" s="24" t="n"/>
      <c r="E1304" s="24" t="n"/>
    </row>
    <row r="1305">
      <c r="B1305" s="24" t="n"/>
      <c r="E1305" s="24" t="n"/>
    </row>
    <row r="1306">
      <c r="B1306" s="24" t="n"/>
      <c r="E1306" s="24" t="n"/>
    </row>
    <row r="1307">
      <c r="B1307" s="24" t="n"/>
      <c r="E1307" s="24" t="n"/>
    </row>
    <row r="1308">
      <c r="B1308" s="24" t="n"/>
      <c r="E1308" s="24" t="n"/>
    </row>
    <row r="1309">
      <c r="B1309" s="24" t="n"/>
      <c r="E1309" s="24" t="n"/>
    </row>
    <row r="1310">
      <c r="B1310" s="24" t="n"/>
      <c r="E1310" s="24" t="n"/>
    </row>
    <row r="1311">
      <c r="B1311" s="24" t="n"/>
      <c r="E1311" s="24" t="n"/>
    </row>
    <row r="1312">
      <c r="B1312" s="24" t="n"/>
      <c r="E1312" s="24" t="n"/>
    </row>
    <row r="1313">
      <c r="B1313" s="24" t="n"/>
      <c r="E1313" s="24" t="n"/>
    </row>
    <row r="1314">
      <c r="B1314" s="24" t="n"/>
      <c r="E1314" s="24" t="n"/>
    </row>
    <row r="1315">
      <c r="B1315" s="24" t="n"/>
      <c r="E1315" s="24" t="n"/>
    </row>
    <row r="1316">
      <c r="B1316" s="24" t="n"/>
      <c r="E1316" s="24" t="n"/>
    </row>
    <row r="1317">
      <c r="B1317" s="24" t="n"/>
      <c r="E1317" s="24" t="n"/>
    </row>
    <row r="1318">
      <c r="B1318" s="24" t="n"/>
      <c r="E1318" s="24" t="n"/>
    </row>
    <row r="1319">
      <c r="B1319" s="24" t="n"/>
      <c r="E1319" s="24" t="n"/>
    </row>
    <row r="1320">
      <c r="B1320" s="24" t="n"/>
      <c r="E1320" s="24" t="n"/>
    </row>
    <row r="1321">
      <c r="B1321" s="24" t="n"/>
      <c r="E1321" s="24" t="n"/>
    </row>
    <row r="1322">
      <c r="B1322" s="24" t="n"/>
      <c r="E1322" s="24" t="n"/>
    </row>
    <row r="1323">
      <c r="B1323" s="24" t="n"/>
      <c r="E1323" s="24" t="n"/>
    </row>
    <row r="1324">
      <c r="B1324" s="24" t="n"/>
      <c r="E1324" s="24" t="n"/>
    </row>
    <row r="1325">
      <c r="B1325" s="24" t="n"/>
      <c r="E1325" s="24" t="n"/>
    </row>
    <row r="1326">
      <c r="B1326" s="24" t="n"/>
      <c r="E1326" s="24" t="n"/>
    </row>
    <row r="1327">
      <c r="B1327" s="24" t="n"/>
      <c r="E1327" s="24" t="n"/>
    </row>
    <row r="1328">
      <c r="B1328" s="24" t="n"/>
      <c r="E1328" s="24" t="n"/>
    </row>
    <row r="1329">
      <c r="B1329" s="24" t="n"/>
      <c r="E1329" s="24" t="n"/>
    </row>
    <row r="1330">
      <c r="B1330" s="24" t="n"/>
      <c r="E1330" s="24" t="n"/>
    </row>
    <row r="1331">
      <c r="B1331" s="24" t="n"/>
      <c r="E1331" s="24" t="n"/>
    </row>
    <row r="1332">
      <c r="B1332" s="24" t="n"/>
      <c r="E1332" s="24" t="n"/>
    </row>
    <row r="1333">
      <c r="B1333" s="24" t="n"/>
      <c r="E1333" s="24" t="n"/>
    </row>
    <row r="1334">
      <c r="B1334" s="24" t="n"/>
      <c r="E1334" s="24" t="n"/>
    </row>
    <row r="1335">
      <c r="B1335" s="24" t="n"/>
      <c r="E1335" s="24" t="n"/>
    </row>
    <row r="1336">
      <c r="B1336" s="24" t="n"/>
      <c r="E1336" s="24" t="n"/>
      <c r="H1336" s="18" t="n"/>
    </row>
    <row r="1337">
      <c r="B1337" s="24" t="n"/>
      <c r="E1337" s="24" t="n"/>
    </row>
    <row r="1338">
      <c r="B1338" s="24" t="n"/>
      <c r="E1338" s="24" t="n"/>
    </row>
    <row r="1339">
      <c r="B1339" s="24" t="n"/>
      <c r="E1339" s="24" t="n"/>
    </row>
    <row r="1340">
      <c r="B1340" s="24" t="n"/>
      <c r="E1340" s="24" t="n"/>
    </row>
    <row r="1341">
      <c r="B1341" s="24" t="n"/>
      <c r="E1341" s="24" t="n"/>
    </row>
    <row r="1342">
      <c r="B1342" s="24" t="n"/>
      <c r="E1342" s="24" t="n"/>
    </row>
    <row r="1343">
      <c r="B1343" s="24" t="n"/>
      <c r="E1343" s="24" t="n"/>
    </row>
    <row r="1344">
      <c r="B1344" s="24" t="n"/>
      <c r="E1344" s="24" t="n"/>
    </row>
    <row r="1345">
      <c r="B1345" s="24" t="n"/>
      <c r="E1345" s="24" t="n"/>
    </row>
    <row r="1346">
      <c r="B1346" s="24" t="n"/>
      <c r="E1346" s="24" t="n"/>
    </row>
    <row r="1347">
      <c r="B1347" s="24" t="n"/>
      <c r="E1347" s="24" t="n"/>
    </row>
    <row r="1348">
      <c r="B1348" s="24" t="n"/>
      <c r="E1348" s="24" t="n"/>
    </row>
    <row r="1349">
      <c r="B1349" s="24" t="n"/>
      <c r="E1349" s="24" t="n"/>
    </row>
    <row r="1350">
      <c r="B1350" s="24" t="n"/>
      <c r="E1350" s="24" t="n"/>
    </row>
    <row r="1351">
      <c r="B1351" s="24" t="n"/>
      <c r="E1351" s="24" t="n"/>
    </row>
    <row r="1352">
      <c r="B1352" s="24" t="n"/>
      <c r="E1352" s="24" t="n"/>
    </row>
    <row r="1353">
      <c r="B1353" s="24" t="n"/>
      <c r="E1353" s="24" t="n"/>
    </row>
    <row r="1354">
      <c r="B1354" s="24" t="n"/>
      <c r="E1354" s="24" t="n"/>
    </row>
    <row r="1355">
      <c r="B1355" s="24" t="n"/>
      <c r="E1355" s="24" t="n"/>
    </row>
    <row r="1356">
      <c r="B1356" s="24" t="n"/>
      <c r="E1356" s="24" t="n"/>
    </row>
    <row r="1357">
      <c r="B1357" s="24" t="n"/>
      <c r="E1357" s="24" t="n"/>
    </row>
    <row r="1358">
      <c r="B1358" s="24" t="n"/>
      <c r="E1358" s="24" t="n"/>
    </row>
    <row r="1359">
      <c r="B1359" s="24" t="n"/>
      <c r="E1359" s="24" t="n"/>
    </row>
    <row r="1360">
      <c r="B1360" s="24" t="n"/>
      <c r="E1360" s="24" t="n"/>
    </row>
    <row r="1361">
      <c r="B1361" s="24" t="n"/>
      <c r="E1361" s="24" t="n"/>
    </row>
    <row r="1362">
      <c r="B1362" s="24" t="n"/>
      <c r="E1362" s="24" t="n"/>
    </row>
    <row r="1363">
      <c r="B1363" s="24" t="n"/>
      <c r="E1363" s="24" t="n"/>
    </row>
    <row r="1364">
      <c r="B1364" s="24" t="n"/>
      <c r="E1364" s="24" t="n"/>
    </row>
    <row r="1365">
      <c r="B1365" s="24" t="n"/>
      <c r="E1365" s="24" t="n"/>
    </row>
    <row r="1366">
      <c r="B1366" s="24" t="n"/>
      <c r="E1366" s="24" t="n"/>
    </row>
    <row r="1367">
      <c r="B1367" s="24" t="n"/>
      <c r="E1367" s="24" t="n"/>
    </row>
    <row r="1368">
      <c r="B1368" s="24" t="n"/>
      <c r="E1368" s="24" t="n"/>
    </row>
    <row r="1369">
      <c r="B1369" s="24" t="n"/>
      <c r="E1369" s="24" t="n"/>
    </row>
    <row r="1370">
      <c r="B1370" s="24" t="n"/>
      <c r="E1370" s="24" t="n"/>
    </row>
    <row r="1371">
      <c r="B1371" s="24" t="n"/>
      <c r="E1371" s="24" t="n"/>
    </row>
    <row r="1372">
      <c r="B1372" s="24" t="n"/>
      <c r="E1372" s="24" t="n"/>
    </row>
    <row r="1373">
      <c r="B1373" s="24" t="n"/>
      <c r="E1373" s="24" t="n"/>
    </row>
    <row r="1374">
      <c r="B1374" s="24" t="n"/>
      <c r="E1374" s="24" t="n"/>
    </row>
    <row r="1375">
      <c r="B1375" s="24" t="n"/>
      <c r="E1375" s="24" t="n"/>
    </row>
    <row r="1376">
      <c r="B1376" s="24" t="n"/>
      <c r="E1376" s="24" t="n"/>
    </row>
    <row r="1377">
      <c r="B1377" s="24" t="n"/>
      <c r="E1377" s="24" t="n"/>
    </row>
    <row r="1378">
      <c r="B1378" s="24" t="n"/>
      <c r="E1378" s="24" t="n"/>
    </row>
    <row r="1379">
      <c r="B1379" s="24" t="n"/>
      <c r="E1379" s="24" t="n"/>
    </row>
    <row r="1380">
      <c r="B1380" s="24" t="n"/>
      <c r="E1380" s="24" t="n"/>
    </row>
    <row r="1381">
      <c r="B1381" s="24" t="n"/>
      <c r="E1381" s="24" t="n"/>
    </row>
    <row r="1382">
      <c r="B1382" s="24" t="n"/>
      <c r="E1382" s="24" t="n"/>
    </row>
    <row r="1383">
      <c r="B1383" s="24" t="n"/>
      <c r="E1383" s="24" t="n"/>
    </row>
    <row r="1384">
      <c r="B1384" s="24" t="n"/>
      <c r="E1384" s="24" t="n"/>
    </row>
    <row r="1385">
      <c r="B1385" s="24" t="n"/>
      <c r="E1385" s="24" t="n"/>
    </row>
    <row r="1386">
      <c r="B1386" s="24" t="n"/>
      <c r="E1386" s="24" t="n"/>
    </row>
    <row r="1387">
      <c r="B1387" s="24" t="n"/>
      <c r="E1387" s="24" t="n"/>
    </row>
    <row r="1388">
      <c r="B1388" s="24" t="n"/>
      <c r="E1388" s="24" t="n"/>
    </row>
    <row r="1389">
      <c r="B1389" s="24" t="n"/>
      <c r="E1389" s="24" t="n"/>
    </row>
    <row r="1390">
      <c r="B1390" s="24" t="n"/>
      <c r="E1390" s="24" t="n"/>
    </row>
    <row r="1391">
      <c r="B1391" s="24" t="n"/>
      <c r="E1391" s="24" t="n"/>
    </row>
    <row r="1392">
      <c r="B1392" s="24" t="n"/>
      <c r="E1392" s="24" t="n"/>
    </row>
    <row r="1393">
      <c r="B1393" s="24" t="n"/>
      <c r="E1393" s="24" t="n"/>
    </row>
    <row r="1394">
      <c r="B1394" s="24" t="n"/>
      <c r="E1394" s="24" t="n"/>
    </row>
    <row r="1395">
      <c r="B1395" s="24" t="n"/>
      <c r="E1395" s="24" t="n"/>
    </row>
    <row r="1396">
      <c r="B1396" s="24" t="n"/>
      <c r="E1396" s="24" t="n"/>
    </row>
    <row r="1397">
      <c r="B1397" s="24" t="n"/>
      <c r="E1397" s="24" t="n"/>
    </row>
    <row r="1398">
      <c r="B1398" s="24" t="n"/>
      <c r="E1398" s="24" t="n"/>
    </row>
    <row r="1399">
      <c r="B1399" s="24" t="n"/>
      <c r="E1399" s="24" t="n"/>
    </row>
    <row r="1400">
      <c r="B1400" s="24" t="n"/>
      <c r="E1400" s="24" t="n"/>
    </row>
    <row r="1401">
      <c r="B1401" s="24" t="n"/>
      <c r="E1401" s="24" t="n"/>
    </row>
    <row r="1402">
      <c r="B1402" s="24" t="n"/>
      <c r="E1402" s="24" t="n"/>
    </row>
    <row r="1403">
      <c r="B1403" s="24" t="n"/>
      <c r="E1403" s="24" t="n"/>
    </row>
    <row r="1404">
      <c r="B1404" s="24" t="n"/>
      <c r="E1404" s="24" t="n"/>
    </row>
    <row r="1405">
      <c r="B1405" s="24" t="n"/>
      <c r="E1405" s="24" t="n"/>
    </row>
    <row r="1406">
      <c r="B1406" s="24" t="n"/>
      <c r="E1406" s="24" t="n"/>
    </row>
    <row r="1407">
      <c r="B1407" s="24" t="n"/>
      <c r="E1407" s="24" t="n"/>
    </row>
    <row r="1408">
      <c r="B1408" s="24" t="n"/>
      <c r="E1408" s="24" t="n"/>
    </row>
    <row r="1409">
      <c r="B1409" s="24" t="n"/>
      <c r="E1409" s="24" t="n"/>
    </row>
    <row r="1410">
      <c r="B1410" s="24" t="n"/>
      <c r="E1410" s="24" t="n"/>
    </row>
    <row r="1411">
      <c r="B1411" s="24" t="n"/>
      <c r="E1411" s="24" t="n"/>
    </row>
    <row r="1412">
      <c r="B1412" s="24" t="n"/>
      <c r="E1412" s="24" t="n"/>
    </row>
    <row r="1413">
      <c r="B1413" s="24" t="n"/>
      <c r="E1413" s="24" t="n"/>
    </row>
    <row r="1414">
      <c r="B1414" s="24" t="n"/>
      <c r="E1414" s="24" t="n"/>
    </row>
    <row r="1415">
      <c r="B1415" s="24" t="n"/>
      <c r="E1415" s="24" t="n"/>
    </row>
    <row r="1416">
      <c r="B1416" s="24" t="n"/>
      <c r="E1416" s="24" t="n"/>
    </row>
    <row r="1417">
      <c r="B1417" s="24" t="n"/>
      <c r="E1417" s="24" t="n"/>
    </row>
    <row r="1418">
      <c r="B1418" s="24" t="n"/>
      <c r="E1418" s="24" t="n"/>
    </row>
    <row r="1419">
      <c r="B1419" s="24" t="n"/>
      <c r="E1419" s="24" t="n"/>
    </row>
    <row r="1420">
      <c r="B1420" s="24" t="n"/>
      <c r="E1420" s="24" t="n"/>
    </row>
    <row r="1421">
      <c r="B1421" s="24" t="n"/>
      <c r="E1421" s="24" t="n"/>
    </row>
    <row r="1422">
      <c r="B1422" s="24" t="n"/>
      <c r="E1422" s="24" t="n"/>
    </row>
    <row r="1423">
      <c r="B1423" s="24" t="n"/>
      <c r="E1423" s="24" t="n"/>
    </row>
    <row r="1424">
      <c r="B1424" s="24" t="n"/>
      <c r="E1424" s="24" t="n"/>
    </row>
    <row r="1425">
      <c r="B1425" s="24" t="n"/>
      <c r="E1425" s="24" t="n"/>
    </row>
    <row r="1426">
      <c r="B1426" s="24" t="n"/>
      <c r="E1426" s="24" t="n"/>
    </row>
    <row r="1427">
      <c r="B1427" s="24" t="n"/>
      <c r="E1427" s="24" t="n"/>
    </row>
    <row r="1428">
      <c r="B1428" s="24" t="n"/>
      <c r="E1428" s="24" t="n"/>
    </row>
    <row r="1429">
      <c r="B1429" s="24" t="n"/>
      <c r="E1429" s="24" t="n"/>
    </row>
    <row r="1430">
      <c r="B1430" s="24" t="n"/>
      <c r="E1430" s="24" t="n"/>
    </row>
    <row r="1431">
      <c r="B1431" s="24" t="n"/>
      <c r="E1431" s="24" t="n"/>
    </row>
    <row r="1432">
      <c r="B1432" s="24" t="n"/>
      <c r="E1432" s="24" t="n"/>
    </row>
    <row r="1433">
      <c r="B1433" s="24" t="n"/>
      <c r="E1433" s="24" t="n"/>
    </row>
    <row r="1434">
      <c r="B1434" s="24" t="n"/>
      <c r="E1434" s="24" t="n"/>
    </row>
    <row r="1435">
      <c r="B1435" s="24" t="n"/>
      <c r="E1435" s="24" t="n"/>
    </row>
    <row r="1436">
      <c r="B1436" s="24" t="n"/>
      <c r="E1436" s="24" t="n"/>
    </row>
    <row r="1437">
      <c r="B1437" s="24" t="n"/>
      <c r="E1437" s="24" t="n"/>
    </row>
    <row r="1438">
      <c r="B1438" s="24" t="n"/>
      <c r="E1438" s="24" t="n"/>
    </row>
    <row r="1439">
      <c r="B1439" s="24" t="n"/>
      <c r="E1439" s="24" t="n"/>
    </row>
    <row r="1440">
      <c r="B1440" s="24" t="n"/>
      <c r="E1440" s="24" t="n"/>
    </row>
    <row r="1441">
      <c r="B1441" s="24" t="n"/>
      <c r="E1441" s="24" t="n"/>
    </row>
    <row r="1442">
      <c r="B1442" s="24" t="n"/>
      <c r="E1442" s="24" t="n"/>
    </row>
    <row r="1443">
      <c r="B1443" s="24" t="n"/>
      <c r="E1443" s="24" t="n"/>
    </row>
    <row r="1444">
      <c r="B1444" s="24" t="n"/>
      <c r="E1444" s="24" t="n"/>
    </row>
    <row r="1445">
      <c r="B1445" s="24" t="n"/>
      <c r="E1445" s="24" t="n"/>
    </row>
    <row r="1446">
      <c r="B1446" s="24" t="n"/>
      <c r="E1446" s="24" t="n"/>
    </row>
    <row r="1447">
      <c r="B1447" s="24" t="n"/>
      <c r="E1447" s="24" t="n"/>
    </row>
    <row r="1448">
      <c r="B1448" s="24" t="n"/>
      <c r="E1448" s="24" t="n"/>
    </row>
    <row r="1449">
      <c r="B1449" s="24" t="n"/>
      <c r="E1449" s="24" t="n"/>
    </row>
    <row r="1450">
      <c r="B1450" s="24" t="n"/>
      <c r="E1450" s="24" t="n"/>
    </row>
    <row r="1451">
      <c r="B1451" s="24" t="n"/>
      <c r="E1451" s="24" t="n"/>
    </row>
    <row r="1452">
      <c r="B1452" s="24" t="n"/>
      <c r="E1452" s="24" t="n"/>
    </row>
    <row r="1453">
      <c r="B1453" s="24" t="n"/>
      <c r="E1453" s="24" t="n"/>
    </row>
    <row r="1454">
      <c r="B1454" s="24" t="n"/>
      <c r="E1454" s="24" t="n"/>
    </row>
    <row r="1455">
      <c r="B1455" s="24" t="n"/>
      <c r="E1455" s="24" t="n"/>
    </row>
    <row r="1456">
      <c r="B1456" s="24" t="n"/>
      <c r="E1456" s="24" t="n"/>
    </row>
    <row r="1457">
      <c r="B1457" s="24" t="n"/>
      <c r="E1457" s="24" t="n"/>
    </row>
    <row r="1458">
      <c r="B1458" s="24" t="n"/>
      <c r="E1458" s="24" t="n"/>
    </row>
    <row r="1459">
      <c r="B1459" s="24" t="n"/>
      <c r="E1459" s="24" t="n"/>
    </row>
    <row r="1460">
      <c r="B1460" s="24" t="n"/>
      <c r="E1460" s="24" t="n"/>
    </row>
    <row r="1461">
      <c r="B1461" s="24" t="n"/>
      <c r="E1461" s="24" t="n"/>
    </row>
    <row r="1462">
      <c r="B1462" s="24" t="n"/>
      <c r="E1462" s="24" t="n"/>
    </row>
    <row r="1463">
      <c r="B1463" s="24" t="n"/>
      <c r="E1463" s="24" t="n"/>
    </row>
    <row r="1464">
      <c r="B1464" s="24" t="n"/>
      <c r="E1464" s="24" t="n"/>
    </row>
    <row r="1465">
      <c r="B1465" s="24" t="n"/>
      <c r="E1465" s="24" t="n"/>
    </row>
    <row r="1466">
      <c r="B1466" s="24" t="n"/>
      <c r="E1466" s="24" t="n"/>
    </row>
    <row r="1467">
      <c r="B1467" s="24" t="n"/>
      <c r="E1467" s="24" t="n"/>
    </row>
    <row r="1468">
      <c r="B1468" s="24" t="n"/>
      <c r="E1468" s="24" t="n"/>
    </row>
    <row r="1469">
      <c r="B1469" s="24" t="n"/>
      <c r="E1469" s="24" t="n"/>
    </row>
    <row r="1470">
      <c r="B1470" s="24" t="n"/>
      <c r="E1470" s="24" t="n"/>
    </row>
    <row r="1471">
      <c r="B1471" s="24" t="n"/>
      <c r="E1471" s="24" t="n"/>
    </row>
    <row r="1472">
      <c r="B1472" s="24" t="n"/>
      <c r="E1472" s="24" t="n"/>
    </row>
    <row r="1473">
      <c r="B1473" s="24" t="n"/>
      <c r="E1473" s="24" t="n"/>
    </row>
    <row r="1474">
      <c r="B1474" s="24" t="n"/>
      <c r="E1474" s="24" t="n"/>
    </row>
    <row r="1475">
      <c r="B1475" s="24" t="n"/>
      <c r="E1475" s="24" t="n"/>
    </row>
    <row r="1476">
      <c r="B1476" s="24" t="n"/>
      <c r="E1476" s="24" t="n"/>
    </row>
    <row r="1477">
      <c r="B1477" s="24" t="n"/>
      <c r="E1477" s="24" t="n"/>
    </row>
    <row r="1478">
      <c r="B1478" s="24" t="n"/>
      <c r="E1478" s="24" t="n"/>
    </row>
    <row r="1479">
      <c r="B1479" s="24" t="n"/>
      <c r="E1479" s="24" t="n"/>
    </row>
    <row r="1480">
      <c r="B1480" s="24" t="n"/>
      <c r="E1480" s="24" t="n"/>
    </row>
    <row r="1481">
      <c r="B1481" s="24" t="n"/>
      <c r="E1481" s="24" t="n"/>
    </row>
    <row r="1482">
      <c r="B1482" s="24" t="n"/>
      <c r="E1482" s="24" t="n"/>
    </row>
    <row r="1483">
      <c r="B1483" s="24" t="n"/>
      <c r="E1483" s="24" t="n"/>
    </row>
    <row r="1484">
      <c r="B1484" s="24" t="n"/>
      <c r="E1484" s="24" t="n"/>
    </row>
    <row r="1485">
      <c r="B1485" s="24" t="n"/>
      <c r="E1485" s="24" t="n"/>
    </row>
    <row r="1486">
      <c r="B1486" s="24" t="n"/>
      <c r="E1486" s="24" t="n"/>
    </row>
    <row r="1487">
      <c r="B1487" s="24" t="n"/>
      <c r="E1487" s="24" t="n"/>
    </row>
    <row r="1488">
      <c r="B1488" s="24" t="n"/>
      <c r="E1488" s="24" t="n"/>
    </row>
    <row r="1489">
      <c r="B1489" s="24" t="n"/>
      <c r="E1489" s="24" t="n"/>
    </row>
    <row r="1490">
      <c r="B1490" s="24" t="n"/>
      <c r="E1490" s="24" t="n"/>
    </row>
    <row r="1491">
      <c r="B1491" s="24" t="n"/>
      <c r="E1491" s="24" t="n"/>
    </row>
    <row r="1492">
      <c r="B1492" s="24" t="n"/>
      <c r="E1492" s="24" t="n"/>
    </row>
    <row r="1493">
      <c r="B1493" s="24" t="n"/>
      <c r="E1493" s="24" t="n"/>
    </row>
    <row r="1494">
      <c r="B1494" s="24" t="n"/>
      <c r="E1494" s="24" t="n"/>
    </row>
    <row r="1495">
      <c r="B1495" s="24" t="n"/>
      <c r="E1495" s="24" t="n"/>
    </row>
    <row r="1496">
      <c r="B1496" s="24" t="n"/>
      <c r="E1496" s="24" t="n"/>
    </row>
    <row r="1497">
      <c r="B1497" s="24" t="n"/>
      <c r="E1497" s="24" t="n"/>
    </row>
    <row r="1498">
      <c r="B1498" s="24" t="n"/>
      <c r="E1498" s="24" t="n"/>
    </row>
    <row r="1499">
      <c r="B1499" s="24" t="n"/>
      <c r="E1499" s="24" t="n"/>
    </row>
    <row r="1500">
      <c r="B1500" s="24" t="n"/>
      <c r="E1500" s="24" t="n"/>
    </row>
    <row r="1501">
      <c r="B1501" s="24" t="n"/>
      <c r="E1501" s="24" t="n"/>
    </row>
    <row r="1502">
      <c r="B1502" s="24" t="n"/>
      <c r="E1502" s="24" t="n"/>
    </row>
    <row r="1503">
      <c r="B1503" s="24" t="n"/>
      <c r="E1503" s="24" t="n"/>
    </row>
    <row r="1504">
      <c r="B1504" s="24" t="n"/>
      <c r="E1504" s="24" t="n"/>
    </row>
    <row r="1505">
      <c r="B1505" s="24" t="n"/>
      <c r="E1505" s="24" t="n"/>
    </row>
    <row r="1506">
      <c r="B1506" s="24" t="n"/>
      <c r="E1506" s="24" t="n"/>
    </row>
    <row r="1507">
      <c r="B1507" s="24" t="n"/>
      <c r="E1507" s="24" t="n"/>
    </row>
    <row r="1508">
      <c r="B1508" s="24" t="n"/>
      <c r="E1508" s="24" t="n"/>
    </row>
    <row r="1509">
      <c r="B1509" s="24" t="n"/>
      <c r="E1509" s="24" t="n"/>
    </row>
    <row r="1510">
      <c r="B1510" s="24" t="n"/>
      <c r="E1510" s="24" t="n"/>
    </row>
    <row r="1511">
      <c r="B1511" s="24" t="n"/>
      <c r="E1511" s="24" t="n"/>
    </row>
    <row r="1512">
      <c r="B1512" s="24" t="n"/>
      <c r="E1512" s="24" t="n"/>
    </row>
    <row r="1513">
      <c r="B1513" s="24" t="n"/>
      <c r="E1513" s="24" t="n"/>
    </row>
    <row r="1514">
      <c r="B1514" s="24" t="n"/>
      <c r="E1514" s="24" t="n"/>
    </row>
    <row r="1515">
      <c r="B1515" s="24" t="n"/>
      <c r="E1515" s="24" t="n"/>
    </row>
    <row r="1516">
      <c r="B1516" s="24" t="n"/>
      <c r="E1516" s="24" t="n"/>
    </row>
    <row r="1517">
      <c r="B1517" s="24" t="n"/>
      <c r="E1517" s="24" t="n"/>
    </row>
    <row r="1518">
      <c r="B1518" s="24" t="n"/>
      <c r="E1518" s="24" t="n"/>
    </row>
    <row r="1519">
      <c r="B1519" s="24" t="n"/>
      <c r="E1519" s="24" t="n"/>
    </row>
    <row r="1520">
      <c r="B1520" s="24" t="n"/>
      <c r="E1520" s="24" t="n"/>
    </row>
    <row r="1521">
      <c r="B1521" s="24" t="n"/>
      <c r="E1521" s="24" t="n"/>
    </row>
    <row r="1522">
      <c r="B1522" s="24" t="n"/>
      <c r="E1522" s="24" t="n"/>
    </row>
    <row r="1523">
      <c r="B1523" s="24" t="n"/>
      <c r="E1523" s="24" t="n"/>
    </row>
    <row r="1524">
      <c r="B1524" s="24" t="n"/>
      <c r="E1524" s="24" t="n"/>
    </row>
    <row r="1525">
      <c r="B1525" s="24" t="n"/>
      <c r="E1525" s="24" t="n"/>
    </row>
    <row r="1526">
      <c r="B1526" s="24" t="n"/>
      <c r="E1526" s="24" t="n"/>
    </row>
    <row r="1527">
      <c r="B1527" s="24" t="n"/>
      <c r="E1527" s="24" t="n"/>
    </row>
    <row r="1528">
      <c r="B1528" s="24" t="n"/>
      <c r="E1528" s="24" t="n"/>
    </row>
    <row r="1529">
      <c r="B1529" s="24" t="n"/>
      <c r="E1529" s="24" t="n"/>
    </row>
    <row r="1530">
      <c r="B1530" s="24" t="n"/>
      <c r="E1530" s="24" t="n"/>
    </row>
    <row r="1531">
      <c r="B1531" s="24" t="n"/>
      <c r="E1531" s="24" t="n"/>
    </row>
    <row r="1532">
      <c r="B1532" s="24" t="n"/>
      <c r="E1532" s="24" t="n"/>
    </row>
    <row r="1533">
      <c r="B1533" s="24" t="n"/>
      <c r="E1533" s="24" t="n"/>
    </row>
    <row r="1534">
      <c r="B1534" s="24" t="n"/>
      <c r="E1534" s="24" t="n"/>
    </row>
    <row r="1535">
      <c r="B1535" s="24" t="n"/>
      <c r="E1535" s="24" t="n"/>
    </row>
    <row r="1536">
      <c r="B1536" s="24" t="n"/>
      <c r="E1536" s="24" t="n"/>
    </row>
    <row r="1537">
      <c r="B1537" s="24" t="n"/>
      <c r="E1537" s="24" t="n"/>
    </row>
    <row r="1538">
      <c r="B1538" s="24" t="n"/>
      <c r="E1538" s="24" t="n"/>
    </row>
    <row r="1539">
      <c r="B1539" s="24" t="n"/>
      <c r="E1539" s="24" t="n"/>
    </row>
    <row r="1540">
      <c r="B1540" s="24" t="n"/>
      <c r="E1540" s="24" t="n"/>
    </row>
    <row r="1541">
      <c r="B1541" s="24" t="n"/>
      <c r="E1541" s="24" t="n"/>
    </row>
    <row r="1542">
      <c r="B1542" s="24" t="n"/>
      <c r="E1542" s="24" t="n"/>
    </row>
    <row r="1543">
      <c r="B1543" s="24" t="n"/>
      <c r="E1543" s="24" t="n"/>
    </row>
    <row r="1544">
      <c r="B1544" s="24" t="n"/>
      <c r="E1544" s="24" t="n"/>
    </row>
    <row r="1545">
      <c r="B1545" s="24" t="n"/>
      <c r="E1545" s="24" t="n"/>
    </row>
    <row r="1546">
      <c r="B1546" s="24" t="n"/>
      <c r="E1546" s="24" t="n"/>
    </row>
    <row r="1547">
      <c r="B1547" s="24" t="n"/>
      <c r="E1547" s="24" t="n"/>
    </row>
    <row r="1548">
      <c r="B1548" s="24" t="n"/>
      <c r="E1548" s="24" t="n"/>
    </row>
    <row r="1549">
      <c r="B1549" s="24" t="n"/>
      <c r="E1549" s="24" t="n"/>
    </row>
    <row r="1550">
      <c r="B1550" s="24" t="n"/>
      <c r="E1550" s="24" t="n"/>
    </row>
    <row r="1551">
      <c r="B1551" s="24" t="n"/>
      <c r="E1551" s="24" t="n"/>
    </row>
    <row r="1552">
      <c r="B1552" s="24" t="n"/>
      <c r="E1552" s="24" t="n"/>
    </row>
    <row r="1553">
      <c r="B1553" s="24" t="n"/>
      <c r="E1553" s="24" t="n"/>
    </row>
    <row r="1554">
      <c r="B1554" s="24" t="n"/>
      <c r="E1554" s="24" t="n"/>
    </row>
    <row r="1555">
      <c r="B1555" s="24" t="n"/>
      <c r="E1555" s="24" t="n"/>
    </row>
    <row r="1556">
      <c r="B1556" s="24" t="n"/>
      <c r="E1556" s="24" t="n"/>
    </row>
    <row r="1557">
      <c r="B1557" s="24" t="n"/>
      <c r="E1557" s="24" t="n"/>
    </row>
    <row r="1558">
      <c r="B1558" s="24" t="n"/>
      <c r="E1558" s="24" t="n"/>
    </row>
    <row r="1559">
      <c r="B1559" s="24" t="n"/>
      <c r="E1559" s="24" t="n"/>
      <c r="H1559" s="18" t="n"/>
    </row>
    <row r="1560">
      <c r="B1560" s="24" t="n"/>
      <c r="E1560" s="24" t="n"/>
    </row>
    <row r="1561">
      <c r="B1561" s="24" t="n"/>
      <c r="E1561" s="24" t="n"/>
    </row>
    <row r="1562">
      <c r="B1562" s="24" t="n"/>
      <c r="E1562" s="24" t="n"/>
    </row>
    <row r="1563">
      <c r="B1563" s="24" t="n"/>
      <c r="E1563" s="24" t="n"/>
    </row>
    <row r="1564">
      <c r="B1564" s="24" t="n"/>
      <c r="E1564" s="24" t="n"/>
    </row>
    <row r="1565">
      <c r="B1565" s="24" t="n"/>
      <c r="E1565" s="24" t="n"/>
    </row>
    <row r="1566">
      <c r="B1566" s="24" t="n"/>
      <c r="E1566" s="24" t="n"/>
    </row>
    <row r="1567">
      <c r="B1567" s="24" t="n"/>
      <c r="E1567" s="24" t="n"/>
    </row>
    <row r="1568">
      <c r="B1568" s="24" t="n"/>
      <c r="E1568" s="24" t="n"/>
    </row>
    <row r="1569">
      <c r="B1569" s="24" t="n"/>
      <c r="E1569" s="24" t="n"/>
    </row>
    <row r="1570">
      <c r="B1570" s="24" t="n"/>
      <c r="E1570" s="24" t="n"/>
    </row>
    <row r="1571">
      <c r="B1571" s="24" t="n"/>
      <c r="E1571" s="24" t="n"/>
    </row>
    <row r="1572">
      <c r="B1572" s="24" t="n"/>
      <c r="E1572" s="24" t="n"/>
    </row>
    <row r="1573">
      <c r="B1573" s="24" t="n"/>
      <c r="E1573" s="24" t="n"/>
    </row>
    <row r="1574">
      <c r="B1574" s="24" t="n"/>
      <c r="E1574" s="24" t="n"/>
    </row>
    <row r="1575">
      <c r="B1575" s="24" t="n"/>
      <c r="E1575" s="24" t="n"/>
    </row>
    <row r="1576">
      <c r="B1576" s="24" t="n"/>
      <c r="E1576" s="24" t="n"/>
    </row>
    <row r="1577">
      <c r="B1577" s="24" t="n"/>
      <c r="E1577" s="24" t="n"/>
    </row>
    <row r="1578">
      <c r="B1578" s="24" t="n"/>
      <c r="E1578" s="24" t="n"/>
    </row>
    <row r="1579">
      <c r="B1579" s="24" t="n"/>
      <c r="E1579" s="24" t="n"/>
      <c r="H1579" s="18" t="n"/>
    </row>
    <row r="1580">
      <c r="B1580" s="24" t="n"/>
      <c r="E1580" s="24" t="n"/>
    </row>
    <row r="1581">
      <c r="B1581" s="24" t="n"/>
      <c r="E1581" s="24" t="n"/>
    </row>
    <row r="1582">
      <c r="B1582" s="24" t="n"/>
      <c r="E1582" s="24" t="n"/>
    </row>
    <row r="1583">
      <c r="B1583" s="24" t="n"/>
      <c r="E1583" s="24" t="n"/>
    </row>
    <row r="1584">
      <c r="B1584" s="24" t="n"/>
      <c r="E1584" s="24" t="n"/>
    </row>
    <row r="1585">
      <c r="B1585" s="24" t="n"/>
      <c r="E1585" s="24" t="n"/>
    </row>
    <row r="1586">
      <c r="B1586" s="24" t="n"/>
      <c r="E1586" s="24" t="n"/>
    </row>
    <row r="1587">
      <c r="B1587" s="24" t="n"/>
      <c r="E1587" s="24" t="n"/>
    </row>
    <row r="1588">
      <c r="B1588" s="24" t="n"/>
      <c r="E1588" s="24" t="n"/>
    </row>
    <row r="1589">
      <c r="B1589" s="24" t="n"/>
      <c r="E1589" s="24" t="n"/>
    </row>
    <row r="1590">
      <c r="B1590" s="24" t="n"/>
      <c r="E1590" s="24" t="n"/>
    </row>
    <row r="1591">
      <c r="B1591" s="24" t="n"/>
      <c r="E1591" s="24" t="n"/>
    </row>
    <row r="1592">
      <c r="B1592" s="24" t="n"/>
      <c r="E1592" s="24" t="n"/>
    </row>
    <row r="1593">
      <c r="B1593" s="24" t="n"/>
      <c r="E1593" s="24" t="n"/>
    </row>
    <row r="1594">
      <c r="B1594" s="24" t="n"/>
      <c r="E1594" s="24" t="n"/>
    </row>
    <row r="1595">
      <c r="B1595" s="24" t="n"/>
      <c r="E1595" s="24" t="n"/>
    </row>
    <row r="1596">
      <c r="B1596" s="24" t="n"/>
      <c r="E1596" s="24" t="n"/>
    </row>
    <row r="1597">
      <c r="B1597" s="24" t="n"/>
      <c r="E1597" s="24" t="n"/>
    </row>
    <row r="1598">
      <c r="B1598" s="24" t="n"/>
      <c r="E1598" s="24" t="n"/>
    </row>
    <row r="1599">
      <c r="B1599" s="24" t="n"/>
      <c r="E1599" s="24" t="n"/>
    </row>
    <row r="1600">
      <c r="B1600" s="24" t="n"/>
      <c r="E1600" s="24" t="n"/>
    </row>
    <row r="1601">
      <c r="B1601" s="24" t="n"/>
      <c r="E1601" s="24" t="n"/>
    </row>
    <row r="1602">
      <c r="B1602" s="24" t="n"/>
      <c r="E1602" s="24" t="n"/>
    </row>
    <row r="1603">
      <c r="B1603" s="24" t="n"/>
      <c r="E1603" s="24" t="n"/>
    </row>
    <row r="1604">
      <c r="B1604" s="24" t="n"/>
      <c r="E1604" s="24" t="n"/>
    </row>
    <row r="1605">
      <c r="B1605" s="24" t="n"/>
      <c r="E1605" s="24" t="n"/>
    </row>
    <row r="1606">
      <c r="B1606" s="24" t="n"/>
      <c r="E1606" s="24" t="n"/>
    </row>
    <row r="1607">
      <c r="B1607" s="24" t="n"/>
      <c r="E1607" s="24" t="n"/>
    </row>
    <row r="1608">
      <c r="B1608" s="24" t="n"/>
      <c r="E1608" s="24" t="n"/>
    </row>
    <row r="1609">
      <c r="B1609" s="24" t="n"/>
      <c r="E1609" s="24" t="n"/>
    </row>
    <row r="1610">
      <c r="B1610" s="24" t="n"/>
      <c r="E1610" s="24" t="n"/>
    </row>
    <row r="1611">
      <c r="B1611" s="24" t="n"/>
      <c r="E1611" s="24" t="n"/>
    </row>
    <row r="1612">
      <c r="B1612" s="24" t="n"/>
      <c r="E1612" s="24" t="n"/>
    </row>
    <row r="1613">
      <c r="B1613" s="24" t="n"/>
      <c r="E1613" s="24" t="n"/>
    </row>
    <row r="1614">
      <c r="B1614" s="24" t="n"/>
      <c r="E1614" s="24" t="n"/>
    </row>
    <row r="1615">
      <c r="B1615" s="24" t="n"/>
      <c r="E1615" s="24" t="n"/>
    </row>
    <row r="1616">
      <c r="B1616" s="24" t="n"/>
      <c r="E1616" s="24" t="n"/>
    </row>
    <row r="1617">
      <c r="B1617" s="24" t="n"/>
      <c r="E1617" s="24" t="n"/>
    </row>
    <row r="1618">
      <c r="B1618" s="24" t="n"/>
      <c r="E1618" s="24" t="n"/>
    </row>
    <row r="1619">
      <c r="B1619" s="24" t="n"/>
      <c r="E1619" s="24" t="n"/>
    </row>
    <row r="1620">
      <c r="B1620" s="24" t="n"/>
      <c r="E1620" s="24" t="n"/>
    </row>
    <row r="1621">
      <c r="B1621" s="24" t="n"/>
      <c r="E1621" s="24" t="n"/>
    </row>
    <row r="1622">
      <c r="B1622" s="24" t="n"/>
      <c r="E1622" s="24" t="n"/>
    </row>
    <row r="1623">
      <c r="B1623" s="24" t="n"/>
      <c r="E1623" s="24" t="n"/>
    </row>
    <row r="1624">
      <c r="B1624" s="24" t="n"/>
      <c r="E1624" s="24" t="n"/>
    </row>
    <row r="1625">
      <c r="B1625" s="24" t="n"/>
      <c r="E1625" s="24" t="n"/>
    </row>
    <row r="1626">
      <c r="B1626" s="24" t="n"/>
      <c r="E1626" s="24" t="n"/>
    </row>
    <row r="1627">
      <c r="B1627" s="24" t="n"/>
      <c r="E1627" s="24" t="n"/>
    </row>
    <row r="1628">
      <c r="B1628" s="24" t="n"/>
      <c r="E1628" s="24" t="n"/>
    </row>
    <row r="1629">
      <c r="B1629" s="24" t="n"/>
      <c r="E1629" s="24" t="n"/>
      <c r="H1629" s="18" t="n"/>
    </row>
    <row r="1630">
      <c r="B1630" s="24" t="n"/>
      <c r="E1630" s="24" t="n"/>
    </row>
    <row r="1631">
      <c r="B1631" s="24" t="n"/>
      <c r="E1631" s="24" t="n"/>
    </row>
    <row r="1632">
      <c r="B1632" s="24" t="n"/>
      <c r="E1632" s="24" t="n"/>
    </row>
    <row r="1633">
      <c r="B1633" s="24" t="n"/>
      <c r="E1633" s="24" t="n"/>
    </row>
    <row r="1634">
      <c r="B1634" s="24" t="n"/>
      <c r="E1634" s="24" t="n"/>
    </row>
    <row r="1635">
      <c r="B1635" s="24" t="n"/>
      <c r="E1635" s="24" t="n"/>
    </row>
    <row r="1636">
      <c r="B1636" s="24" t="n"/>
      <c r="E1636" s="24" t="n"/>
    </row>
    <row r="1637">
      <c r="B1637" s="24" t="n"/>
      <c r="E1637" s="24" t="n"/>
    </row>
    <row r="1638">
      <c r="B1638" s="24" t="n"/>
      <c r="E1638" s="24" t="n"/>
    </row>
    <row r="1639">
      <c r="B1639" s="24" t="n"/>
      <c r="E1639" s="24" t="n"/>
    </row>
    <row r="1640">
      <c r="B1640" s="24" t="n"/>
      <c r="E1640" s="24" t="n"/>
    </row>
    <row r="1641">
      <c r="B1641" s="24" t="n"/>
      <c r="E1641" s="24" t="n"/>
    </row>
    <row r="1642">
      <c r="B1642" s="24" t="n"/>
      <c r="E1642" s="24" t="n"/>
    </row>
    <row r="1643">
      <c r="B1643" s="24" t="n"/>
      <c r="E1643" s="24" t="n"/>
    </row>
    <row r="1644">
      <c r="B1644" s="24" t="n"/>
      <c r="E1644" s="24" t="n"/>
    </row>
    <row r="1645">
      <c r="B1645" s="24" t="n"/>
      <c r="E1645" s="24" t="n"/>
    </row>
    <row r="1646">
      <c r="B1646" s="24" t="n"/>
      <c r="E1646" s="24" t="n"/>
    </row>
    <row r="1647">
      <c r="B1647" s="24" t="n"/>
      <c r="E1647" s="24" t="n"/>
    </row>
    <row r="1648">
      <c r="B1648" s="24" t="n"/>
      <c r="E1648" s="24" t="n"/>
    </row>
    <row r="1649">
      <c r="B1649" s="24" t="n"/>
      <c r="E1649" s="24" t="n"/>
    </row>
    <row r="1650">
      <c r="B1650" s="24" t="n"/>
      <c r="E1650" s="24" t="n"/>
    </row>
    <row r="1651">
      <c r="B1651" s="24" t="n"/>
      <c r="E1651" s="24" t="n"/>
    </row>
    <row r="1652">
      <c r="B1652" s="24" t="n"/>
      <c r="E1652" s="24" t="n"/>
    </row>
    <row r="1653">
      <c r="B1653" s="24" t="n"/>
      <c r="E1653" s="24" t="n"/>
    </row>
    <row r="1654">
      <c r="B1654" s="24" t="n"/>
      <c r="E1654" s="24" t="n"/>
    </row>
    <row r="1655">
      <c r="B1655" s="24" t="n"/>
      <c r="E1655" s="24" t="n"/>
    </row>
    <row r="1656">
      <c r="B1656" s="24" t="n"/>
      <c r="E1656" s="24" t="n"/>
    </row>
    <row r="1657">
      <c r="B1657" s="24" t="n"/>
      <c r="E1657" s="24" t="n"/>
    </row>
    <row r="1658">
      <c r="B1658" s="24" t="n"/>
      <c r="E1658" s="24" t="n"/>
    </row>
    <row r="1659">
      <c r="B1659" s="24" t="n"/>
      <c r="E1659" s="24" t="n"/>
    </row>
    <row r="1660">
      <c r="B1660" s="24" t="n"/>
      <c r="E1660" s="24" t="n"/>
    </row>
    <row r="1661">
      <c r="B1661" s="24" t="n"/>
      <c r="E1661" s="24" t="n"/>
    </row>
    <row r="1662">
      <c r="B1662" s="24" t="n"/>
      <c r="E1662" s="24" t="n"/>
    </row>
    <row r="1663">
      <c r="B1663" s="24" t="n"/>
      <c r="E1663" s="24" t="n"/>
    </row>
    <row r="1664">
      <c r="B1664" s="24" t="n"/>
      <c r="E1664" s="24" t="n"/>
      <c r="H1664" s="18" t="n"/>
    </row>
    <row r="1665">
      <c r="B1665" s="24" t="n"/>
      <c r="E1665" s="24" t="n"/>
    </row>
    <row r="1666">
      <c r="B1666" s="24" t="n"/>
      <c r="E1666" s="24" t="n"/>
    </row>
    <row r="1667">
      <c r="B1667" s="24" t="n"/>
      <c r="E1667" s="24" t="n"/>
    </row>
    <row r="1668">
      <c r="B1668" s="24" t="n"/>
      <c r="E1668" s="24" t="n"/>
    </row>
    <row r="1669">
      <c r="B1669" s="24" t="n"/>
      <c r="E1669" s="24" t="n"/>
    </row>
    <row r="1670">
      <c r="B1670" s="24" t="n"/>
      <c r="E1670" s="24" t="n"/>
    </row>
    <row r="1671">
      <c r="B1671" s="24" t="n"/>
      <c r="E1671" s="24" t="n"/>
    </row>
    <row r="1672">
      <c r="B1672" s="24" t="n"/>
      <c r="E1672" s="24" t="n"/>
    </row>
    <row r="1673">
      <c r="B1673" s="24" t="n"/>
      <c r="E1673" s="24" t="n"/>
    </row>
    <row r="1674">
      <c r="B1674" s="24" t="n"/>
      <c r="E1674" s="24" t="n"/>
    </row>
    <row r="1675">
      <c r="B1675" s="24" t="n"/>
      <c r="E1675" s="24" t="n"/>
    </row>
    <row r="1676">
      <c r="B1676" s="24" t="n"/>
      <c r="E1676" s="24" t="n"/>
    </row>
    <row r="1677">
      <c r="B1677" s="24" t="n"/>
      <c r="E1677" s="24" t="n"/>
      <c r="H1677" s="18" t="n"/>
    </row>
    <row r="1678">
      <c r="B1678" s="24" t="n"/>
      <c r="E1678" s="24" t="n"/>
    </row>
    <row r="1679">
      <c r="B1679" s="24" t="n"/>
      <c r="E1679" s="24" t="n"/>
    </row>
    <row r="1680">
      <c r="B1680" s="24" t="n"/>
      <c r="E1680" s="24" t="n"/>
    </row>
    <row r="1681">
      <c r="B1681" s="24" t="n"/>
      <c r="E1681" s="24" t="n"/>
    </row>
    <row r="1682">
      <c r="B1682" s="24" t="n"/>
      <c r="E1682" s="24" t="n"/>
    </row>
    <row r="1683">
      <c r="B1683" s="24" t="n"/>
      <c r="E1683" s="24" t="n"/>
    </row>
    <row r="1684">
      <c r="B1684" s="24" t="n"/>
      <c r="E1684" s="24" t="n"/>
    </row>
    <row r="1685">
      <c r="B1685" s="24" t="n"/>
      <c r="E1685" s="24" t="n"/>
    </row>
    <row r="1686">
      <c r="B1686" s="24" t="n"/>
      <c r="E1686" s="24" t="n"/>
    </row>
    <row r="1687">
      <c r="B1687" s="24" t="n"/>
      <c r="E1687" s="24" t="n"/>
    </row>
    <row r="1688">
      <c r="B1688" s="24" t="n"/>
      <c r="E1688" s="24" t="n"/>
    </row>
    <row r="1689">
      <c r="B1689" s="24" t="n"/>
      <c r="E1689" s="24" t="n"/>
    </row>
    <row r="1690">
      <c r="B1690" s="24" t="n"/>
      <c r="E1690" s="24" t="n"/>
    </row>
    <row r="1691">
      <c r="B1691" s="24" t="n"/>
      <c r="E1691" s="24" t="n"/>
    </row>
    <row r="1692">
      <c r="B1692" s="24" t="n"/>
      <c r="E1692" s="24" t="n"/>
    </row>
    <row r="1693">
      <c r="B1693" s="24" t="n"/>
      <c r="E1693" s="24" t="n"/>
      <c r="H1693" s="18" t="n"/>
      <c r="J1693" s="110" t="n"/>
    </row>
    <row r="1694">
      <c r="B1694" s="24" t="n"/>
      <c r="E1694" s="24" t="n"/>
    </row>
    <row r="1695">
      <c r="B1695" s="24" t="n"/>
      <c r="E1695" s="24" t="n"/>
    </row>
    <row r="1696">
      <c r="B1696" s="24" t="n"/>
      <c r="E1696" s="24" t="n"/>
    </row>
    <row r="1697">
      <c r="B1697" s="24" t="n"/>
      <c r="E1697" s="24" t="n"/>
    </row>
    <row r="1698">
      <c r="B1698" s="24" t="n"/>
      <c r="E1698" s="24" t="n"/>
    </row>
    <row r="1699">
      <c r="B1699" s="24" t="n"/>
      <c r="E1699" s="24" t="n"/>
    </row>
    <row r="1700">
      <c r="B1700" s="24" t="n"/>
      <c r="E1700" s="24" t="n"/>
    </row>
    <row r="1701">
      <c r="B1701" s="24" t="n"/>
      <c r="E1701" s="24" t="n"/>
    </row>
    <row r="1702">
      <c r="B1702" s="24" t="n"/>
      <c r="E1702" s="24" t="n"/>
    </row>
    <row r="1703">
      <c r="B1703" s="24" t="n"/>
      <c r="E1703" s="24" t="n"/>
    </row>
    <row r="1704">
      <c r="B1704" s="24" t="n"/>
      <c r="E1704" s="24" t="n"/>
    </row>
    <row r="1705">
      <c r="B1705" s="24" t="n"/>
      <c r="E1705" s="24" t="n"/>
    </row>
    <row r="1706">
      <c r="B1706" s="24" t="n"/>
      <c r="E1706" s="24" t="n"/>
    </row>
    <row r="1707">
      <c r="B1707" s="24" t="n"/>
      <c r="E1707" s="24" t="n"/>
    </row>
    <row r="1708">
      <c r="B1708" s="24" t="n"/>
      <c r="E1708" s="24" t="n"/>
    </row>
    <row r="1709">
      <c r="B1709" s="24" t="n"/>
      <c r="E1709" s="24" t="n"/>
    </row>
    <row r="1710">
      <c r="B1710" s="24" t="n"/>
      <c r="E1710" s="24" t="n"/>
    </row>
    <row r="1711">
      <c r="B1711" s="24" t="n"/>
      <c r="E1711" s="24" t="n"/>
    </row>
    <row r="1712">
      <c r="B1712" s="24" t="n"/>
      <c r="E1712" s="24" t="n"/>
      <c r="H1712" s="18" t="n"/>
    </row>
    <row r="1713">
      <c r="B1713" s="24" t="n"/>
      <c r="E1713" s="24" t="n"/>
    </row>
    <row r="1714">
      <c r="B1714" s="24" t="n"/>
      <c r="E1714" s="24" t="n"/>
    </row>
    <row r="1715">
      <c r="B1715" s="24" t="n"/>
      <c r="E1715" s="24" t="n"/>
    </row>
    <row r="1716">
      <c r="B1716" s="24" t="n"/>
      <c r="E1716" s="24" t="n"/>
    </row>
    <row r="1717">
      <c r="B1717" s="24" t="n"/>
      <c r="E1717" s="24" t="n"/>
    </row>
    <row r="1718">
      <c r="B1718" s="24" t="n"/>
      <c r="E1718" s="24" t="n"/>
    </row>
    <row r="1719">
      <c r="B1719" s="24" t="n"/>
      <c r="E1719" s="24" t="n"/>
    </row>
    <row r="1720">
      <c r="B1720" s="24" t="n"/>
      <c r="E1720" s="24" t="n"/>
    </row>
    <row r="1721">
      <c r="B1721" s="24" t="n"/>
      <c r="E1721" s="24" t="n"/>
    </row>
    <row r="1722">
      <c r="B1722" s="24" t="n"/>
      <c r="E1722" s="24" t="n"/>
      <c r="H1722" s="18" t="n"/>
    </row>
    <row r="1723">
      <c r="B1723" s="24" t="n"/>
      <c r="E1723" s="24" t="n"/>
    </row>
    <row r="1724">
      <c r="B1724" s="24" t="n"/>
      <c r="E1724" s="24" t="n"/>
    </row>
    <row r="1725">
      <c r="B1725" s="24" t="n"/>
      <c r="E1725" s="24" t="n"/>
    </row>
    <row r="1726">
      <c r="B1726" s="24" t="n"/>
      <c r="E1726" s="24" t="n"/>
    </row>
    <row r="1727">
      <c r="B1727" s="24" t="n"/>
      <c r="E1727" s="24" t="n"/>
    </row>
    <row r="1728">
      <c r="B1728" s="24" t="n"/>
      <c r="E1728" s="24" t="n"/>
    </row>
    <row r="1729">
      <c r="B1729" s="24" t="n"/>
      <c r="E1729" s="24" t="n"/>
    </row>
    <row r="1730">
      <c r="B1730" s="24" t="n"/>
      <c r="E1730" s="24" t="n"/>
    </row>
    <row r="1731">
      <c r="B1731" s="24" t="n"/>
      <c r="E1731" s="24" t="n"/>
    </row>
    <row r="1732">
      <c r="B1732" s="24" t="n"/>
      <c r="E1732" s="24" t="n"/>
    </row>
    <row r="1733">
      <c r="B1733" s="24" t="n"/>
      <c r="E1733" s="24" t="n"/>
      <c r="H1733" s="18" t="n"/>
    </row>
    <row r="1734">
      <c r="B1734" s="24" t="n"/>
      <c r="E1734" s="24" t="n"/>
    </row>
    <row r="1735">
      <c r="B1735" s="24" t="n"/>
      <c r="E1735" s="24" t="n"/>
    </row>
    <row r="1736">
      <c r="B1736" s="24" t="n"/>
      <c r="E1736" s="24" t="n"/>
    </row>
    <row r="1737">
      <c r="B1737" s="24" t="n"/>
      <c r="E1737" s="24" t="n"/>
    </row>
    <row r="1738">
      <c r="B1738" s="24" t="n"/>
      <c r="E1738" s="24" t="n"/>
    </row>
    <row r="1739">
      <c r="B1739" s="24" t="n"/>
      <c r="E1739" s="24" t="n"/>
      <c r="J1739" s="110" t="n"/>
    </row>
    <row r="1740">
      <c r="B1740" s="24" t="n"/>
      <c r="E1740" s="24" t="n"/>
    </row>
    <row r="1741">
      <c r="B1741" s="24" t="n"/>
      <c r="E1741" s="24" t="n"/>
    </row>
    <row r="1742">
      <c r="B1742" s="24" t="n"/>
      <c r="E1742" s="24" t="n"/>
    </row>
    <row r="1743">
      <c r="B1743" s="24" t="n"/>
      <c r="E1743" s="24" t="n"/>
    </row>
    <row r="1744">
      <c r="B1744" s="24" t="n"/>
      <c r="E1744" s="24" t="n"/>
    </row>
    <row r="1745">
      <c r="B1745" s="24" t="n"/>
      <c r="E1745" s="24" t="n"/>
    </row>
    <row r="1746">
      <c r="B1746" s="24" t="n"/>
      <c r="E1746" s="24" t="n"/>
    </row>
    <row r="1747">
      <c r="B1747" s="24" t="n"/>
      <c r="E1747" s="24" t="n"/>
    </row>
    <row r="1748">
      <c r="B1748" s="24" t="n"/>
      <c r="E1748" s="24" t="n"/>
    </row>
    <row r="1749">
      <c r="B1749" s="24" t="n"/>
      <c r="E1749" s="24" t="n"/>
    </row>
    <row r="1750">
      <c r="B1750" s="24" t="n"/>
      <c r="E1750" s="24" t="n"/>
    </row>
    <row r="1751">
      <c r="B1751" s="24" t="n"/>
      <c r="E1751" s="24" t="n"/>
    </row>
    <row r="1752">
      <c r="B1752" s="24" t="n"/>
      <c r="E1752" s="24" t="n"/>
    </row>
    <row r="1753">
      <c r="B1753" s="24" t="n"/>
      <c r="E1753" s="24" t="n"/>
    </row>
    <row r="1754">
      <c r="B1754" s="24" t="n"/>
      <c r="E1754" s="24" t="n"/>
    </row>
    <row r="1755">
      <c r="B1755" s="24" t="n"/>
      <c r="E1755" s="24" t="n"/>
    </row>
    <row r="1756">
      <c r="B1756" s="24" t="n"/>
      <c r="E1756" s="24" t="n"/>
    </row>
    <row r="1757">
      <c r="B1757" s="24" t="n"/>
      <c r="E1757" s="24" t="n"/>
    </row>
    <row r="1758">
      <c r="B1758" s="24" t="n"/>
      <c r="E1758" s="24" t="n"/>
    </row>
    <row r="1759">
      <c r="B1759" s="24" t="n"/>
      <c r="E1759" s="24" t="n"/>
      <c r="H1759" s="18" t="n"/>
    </row>
    <row r="1760">
      <c r="B1760" s="24" t="n"/>
      <c r="E1760" s="24" t="n"/>
    </row>
    <row r="1761">
      <c r="B1761" s="24" t="n"/>
      <c r="E1761" s="24" t="n"/>
    </row>
    <row r="1762">
      <c r="B1762" s="24" t="n"/>
      <c r="E1762" s="24" t="n"/>
    </row>
    <row r="1763">
      <c r="B1763" s="24" t="n"/>
      <c r="E1763" s="24" t="n"/>
    </row>
    <row r="1764">
      <c r="B1764" s="24" t="n"/>
      <c r="E1764" s="24" t="n"/>
    </row>
    <row r="1765">
      <c r="B1765" s="24" t="n"/>
      <c r="E1765" s="24" t="n"/>
    </row>
    <row r="1766">
      <c r="B1766" s="24" t="n"/>
      <c r="E1766" s="24" t="n"/>
    </row>
    <row r="1767">
      <c r="B1767" s="24" t="n"/>
      <c r="E1767" s="24" t="n"/>
    </row>
    <row r="1768">
      <c r="B1768" s="24" t="n"/>
      <c r="E1768" s="24" t="n"/>
    </row>
    <row r="1769">
      <c r="B1769" s="24" t="n"/>
      <c r="E1769" s="24" t="n"/>
    </row>
    <row r="1770">
      <c r="B1770" s="24" t="n"/>
      <c r="E1770" s="24" t="n"/>
    </row>
    <row r="1771">
      <c r="B1771" s="24" t="n"/>
      <c r="E1771" s="24" t="n"/>
    </row>
    <row r="1772">
      <c r="B1772" s="24" t="n"/>
      <c r="E1772" s="24" t="n"/>
    </row>
    <row r="1773">
      <c r="B1773" s="24" t="n"/>
      <c r="E1773" s="24" t="n"/>
    </row>
    <row r="1774">
      <c r="B1774" s="24" t="n"/>
      <c r="E1774" s="24" t="n"/>
    </row>
    <row r="1775">
      <c r="B1775" s="24" t="n"/>
      <c r="E1775" s="24" t="n"/>
    </row>
    <row r="1776">
      <c r="B1776" s="24" t="n"/>
      <c r="E1776" s="24" t="n"/>
    </row>
    <row r="1777">
      <c r="B1777" s="24" t="n"/>
      <c r="E1777" s="24" t="n"/>
    </row>
    <row r="1778">
      <c r="B1778" s="24" t="n"/>
      <c r="E1778" s="24" t="n"/>
    </row>
    <row r="1779">
      <c r="B1779" s="24" t="n"/>
      <c r="E1779" s="24" t="n"/>
    </row>
    <row r="1780">
      <c r="B1780" s="24" t="n"/>
      <c r="E1780" s="24" t="n"/>
    </row>
    <row r="1781">
      <c r="B1781" s="24" t="n"/>
      <c r="E1781" s="24" t="n"/>
    </row>
    <row r="1782">
      <c r="B1782" s="24" t="n"/>
      <c r="E1782" s="24" t="n"/>
    </row>
    <row r="1783">
      <c r="B1783" s="24" t="n"/>
      <c r="E1783" s="24" t="n"/>
    </row>
    <row r="1784">
      <c r="B1784" s="24" t="n"/>
      <c r="E1784" s="24" t="n"/>
    </row>
    <row r="1785">
      <c r="B1785" s="24" t="n"/>
      <c r="E1785" s="24" t="n"/>
    </row>
    <row r="1786">
      <c r="B1786" s="24" t="n"/>
      <c r="E1786" s="24" t="n"/>
    </row>
    <row r="1787">
      <c r="B1787" s="24" t="n"/>
      <c r="E1787" s="24" t="n"/>
    </row>
    <row r="1788">
      <c r="B1788" s="24" t="n"/>
      <c r="E1788" s="24" t="n"/>
    </row>
    <row r="1789">
      <c r="B1789" s="24" t="n"/>
      <c r="E1789" s="24" t="n"/>
    </row>
    <row r="1790">
      <c r="B1790" s="24" t="n"/>
      <c r="E1790" s="24" t="n"/>
    </row>
    <row r="1791">
      <c r="B1791" s="24" t="n"/>
      <c r="E1791" s="24" t="n"/>
    </row>
    <row r="1792">
      <c r="B1792" s="24" t="n"/>
      <c r="E1792" s="24" t="n"/>
    </row>
    <row r="1793">
      <c r="B1793" s="24" t="n"/>
      <c r="E1793" s="24" t="n"/>
    </row>
    <row r="1794">
      <c r="B1794" s="24" t="n"/>
      <c r="E1794" s="24" t="n"/>
    </row>
    <row r="1795">
      <c r="B1795" s="24" t="n"/>
      <c r="E1795" s="24" t="n"/>
    </row>
    <row r="1796">
      <c r="B1796" s="24" t="n"/>
      <c r="E1796" s="24" t="n"/>
    </row>
    <row r="1797">
      <c r="B1797" s="24" t="n"/>
      <c r="E1797" s="24" t="n"/>
    </row>
    <row r="1798">
      <c r="B1798" s="24" t="n"/>
      <c r="E1798" s="24" t="n"/>
    </row>
    <row r="1799">
      <c r="B1799" s="24" t="n"/>
      <c r="E1799" s="24" t="n"/>
    </row>
    <row r="1800">
      <c r="B1800" s="24" t="n"/>
      <c r="E1800" s="24" t="n"/>
    </row>
    <row r="1801">
      <c r="B1801" s="24" t="n"/>
      <c r="E1801" s="24" t="n"/>
      <c r="H1801" s="18" t="n"/>
    </row>
    <row r="1802">
      <c r="B1802" s="24" t="n"/>
      <c r="E1802" s="24" t="n"/>
    </row>
    <row r="1803">
      <c r="B1803" s="24" t="n"/>
      <c r="E1803" s="24" t="n"/>
    </row>
    <row r="1804">
      <c r="B1804" s="24" t="n"/>
      <c r="E1804" s="24" t="n"/>
    </row>
    <row r="1805">
      <c r="B1805" s="24" t="n"/>
      <c r="E1805" s="24" t="n"/>
    </row>
    <row r="1806">
      <c r="B1806" s="24" t="n"/>
      <c r="E1806" s="24" t="n"/>
    </row>
    <row r="1807">
      <c r="B1807" s="24" t="n"/>
      <c r="E1807" s="24" t="n"/>
    </row>
    <row r="1808">
      <c r="B1808" s="24" t="n"/>
      <c r="E1808" s="24" t="n"/>
    </row>
    <row r="1809">
      <c r="B1809" s="24" t="n"/>
      <c r="E1809" s="24" t="n"/>
    </row>
    <row r="1810">
      <c r="B1810" s="24" t="n"/>
      <c r="E1810" s="24" t="n"/>
    </row>
    <row r="1811">
      <c r="B1811" s="24" t="n"/>
      <c r="E1811" s="24" t="n"/>
    </row>
    <row r="1812">
      <c r="B1812" s="24" t="n"/>
      <c r="E1812" s="24" t="n"/>
    </row>
    <row r="1813">
      <c r="B1813" s="24" t="n"/>
      <c r="E1813" s="24" t="n"/>
    </row>
    <row r="1814">
      <c r="B1814" s="24" t="n"/>
      <c r="E1814" s="24" t="n"/>
    </row>
    <row r="1815">
      <c r="B1815" s="24" t="n"/>
      <c r="E1815" s="24" t="n"/>
    </row>
    <row r="1816">
      <c r="B1816" s="24" t="n"/>
      <c r="E1816" s="24" t="n"/>
    </row>
    <row r="1817">
      <c r="B1817" s="24" t="n"/>
      <c r="E1817" s="24" t="n"/>
    </row>
    <row r="1818">
      <c r="B1818" s="24" t="n"/>
      <c r="E1818" s="24" t="n"/>
    </row>
    <row r="1819">
      <c r="B1819" s="24" t="n"/>
      <c r="E1819" s="24" t="n"/>
    </row>
    <row r="1820">
      <c r="B1820" s="24" t="n"/>
      <c r="E1820" s="24" t="n"/>
    </row>
    <row r="1821">
      <c r="B1821" s="24" t="n"/>
      <c r="E1821" s="24" t="n"/>
    </row>
    <row r="1822">
      <c r="B1822" s="24" t="n"/>
      <c r="E1822" s="24" t="n"/>
    </row>
    <row r="1823">
      <c r="B1823" s="24" t="n"/>
      <c r="E1823" s="24" t="n"/>
    </row>
    <row r="1824">
      <c r="B1824" s="24" t="n"/>
      <c r="E1824" s="24" t="n"/>
    </row>
    <row r="1825">
      <c r="B1825" s="24" t="n"/>
      <c r="E1825" s="24" t="n"/>
    </row>
    <row r="1826">
      <c r="B1826" s="24" t="n"/>
      <c r="E1826" s="24" t="n"/>
    </row>
    <row r="1827">
      <c r="E1827" s="24" t="n"/>
      <c r="J1827" s="116" t="n"/>
    </row>
    <row r="1828">
      <c r="E1828" s="24" t="n"/>
    </row>
    <row r="1829">
      <c r="E1829" s="24" t="n"/>
    </row>
    <row r="1830">
      <c r="E1830" s="24" t="n"/>
      <c r="J1830" s="116" t="n"/>
    </row>
    <row r="1831">
      <c r="E1831" s="24" t="n"/>
      <c r="J1831" s="116" t="n"/>
    </row>
    <row r="1832">
      <c r="E1832" s="24" t="n"/>
    </row>
    <row r="1833">
      <c r="E1833" s="24" t="n"/>
    </row>
    <row r="1834">
      <c r="E1834" s="24" t="n"/>
    </row>
    <row r="1835">
      <c r="E1835" s="24" t="n"/>
      <c r="J1835" s="114" t="n"/>
    </row>
    <row r="1836">
      <c r="E1836" s="24" t="n"/>
      <c r="J1836" s="116" t="n"/>
    </row>
    <row r="1837">
      <c r="E1837" s="24" t="n"/>
      <c r="H1837" s="18" t="n"/>
    </row>
    <row r="1838">
      <c r="E1838" s="24" t="n"/>
    </row>
    <row r="1839">
      <c r="E1839" s="24" t="n"/>
      <c r="J1839" s="116" t="n"/>
    </row>
    <row r="1840">
      <c r="E1840" s="24" t="n"/>
      <c r="J1840" s="114" t="n"/>
    </row>
    <row r="1841">
      <c r="E1841" s="24" t="n"/>
    </row>
    <row r="1842">
      <c r="E1842" s="24" t="n"/>
      <c r="J1842" s="116" t="n"/>
    </row>
    <row r="1843">
      <c r="E1843" s="24" t="n"/>
    </row>
    <row r="1844">
      <c r="E1844" s="24" t="n"/>
    </row>
    <row r="1845">
      <c r="E1845" s="24" t="n"/>
      <c r="J1845" s="116" t="n"/>
    </row>
    <row r="1846">
      <c r="E1846" s="24" t="n"/>
    </row>
    <row r="1847">
      <c r="E1847" s="24" t="n"/>
      <c r="H1847" s="18" t="n"/>
    </row>
    <row r="1848">
      <c r="E1848" s="24" t="n"/>
    </row>
    <row r="1849">
      <c r="E1849" s="24" t="n"/>
      <c r="J1849" s="116" t="n"/>
    </row>
    <row r="1850">
      <c r="E1850" s="24" t="n"/>
    </row>
    <row r="1851">
      <c r="E1851" s="24" t="n"/>
      <c r="J1851" s="114" t="n"/>
    </row>
    <row r="1852">
      <c r="E1852" s="24" t="n"/>
      <c r="J1852" s="114" t="n"/>
    </row>
    <row r="1853">
      <c r="E1853" s="24" t="n"/>
      <c r="H1853" s="18" t="n"/>
    </row>
    <row r="1854">
      <c r="E1854" s="24" t="n"/>
    </row>
    <row r="1855">
      <c r="E1855" s="24" t="n"/>
      <c r="H1855" s="18" t="n"/>
    </row>
    <row r="1856">
      <c r="E1856" s="24" t="n"/>
    </row>
    <row r="1857">
      <c r="E1857" s="24" t="n"/>
    </row>
    <row r="1858">
      <c r="E1858" s="24" t="n"/>
    </row>
    <row r="1859">
      <c r="E1859" s="24" t="n"/>
      <c r="J1859" s="114" t="n"/>
    </row>
    <row r="1860">
      <c r="E1860" s="24" t="n"/>
    </row>
    <row r="1861">
      <c r="E1861" s="24" t="n"/>
    </row>
    <row r="1862">
      <c r="E1862" s="24" t="n"/>
    </row>
    <row r="1863">
      <c r="E1863" s="24" t="n"/>
    </row>
    <row r="1864">
      <c r="E1864" s="24" t="n"/>
      <c r="J1864" s="116" t="n"/>
    </row>
    <row r="1865">
      <c r="E1865" s="24" t="n"/>
      <c r="H1865" s="18" t="n"/>
    </row>
    <row r="1866">
      <c r="E1866" s="24" t="n"/>
      <c r="J1866" s="116" t="n"/>
    </row>
    <row r="1867">
      <c r="E1867" s="24" t="n"/>
      <c r="J1867" s="114" t="n"/>
    </row>
    <row r="1868">
      <c r="E1868" s="24" t="n"/>
    </row>
    <row r="1869">
      <c r="E1869" s="24" t="n"/>
      <c r="J1869" s="114" t="n"/>
    </row>
    <row r="1870">
      <c r="E1870" s="24" t="n"/>
      <c r="J1870" s="114" t="n"/>
    </row>
    <row r="1871">
      <c r="E1871" s="24" t="n"/>
    </row>
    <row r="1872">
      <c r="E1872" s="24" t="n"/>
    </row>
    <row r="1873">
      <c r="E1873" s="24" t="n"/>
    </row>
    <row r="1874">
      <c r="E1874" s="24" t="n"/>
    </row>
    <row r="1875">
      <c r="E1875" s="24" t="n"/>
    </row>
    <row r="1876">
      <c r="E1876" s="24" t="n"/>
    </row>
    <row r="1877">
      <c r="E1877" s="24" t="n"/>
      <c r="J1877" s="114" t="n"/>
    </row>
    <row r="1878">
      <c r="E1878" s="24" t="n"/>
    </row>
    <row r="1879">
      <c r="E1879" s="24" t="n"/>
      <c r="J1879" s="114" t="n"/>
    </row>
    <row r="1880">
      <c r="E1880" s="24" t="n"/>
      <c r="J1880" s="114" t="n"/>
    </row>
    <row r="1881">
      <c r="E1881" s="24" t="n"/>
      <c r="J1881" s="114" t="n"/>
    </row>
    <row r="1882">
      <c r="E1882" s="24" t="n"/>
    </row>
    <row r="1883">
      <c r="E1883" s="24" t="n"/>
    </row>
    <row r="1884">
      <c r="E1884" s="24" t="n"/>
    </row>
    <row r="1885">
      <c r="E1885" s="24" t="n"/>
      <c r="J1885" s="116" t="n"/>
    </row>
    <row r="1886">
      <c r="E1886" s="24" t="n"/>
    </row>
    <row r="1887">
      <c r="E1887" s="24" t="n"/>
    </row>
    <row r="1888">
      <c r="E1888" s="24" t="n"/>
    </row>
    <row r="1889">
      <c r="E1889" s="24" t="n"/>
    </row>
    <row r="1890">
      <c r="E1890" s="24" t="n"/>
    </row>
    <row r="1891">
      <c r="E1891" s="24" t="n"/>
    </row>
    <row r="1892">
      <c r="E1892" s="24" t="n"/>
      <c r="J1892" s="110" t="n"/>
    </row>
    <row r="1893">
      <c r="E1893" s="24" t="n"/>
      <c r="J1893" s="116" t="n"/>
    </row>
    <row r="1894">
      <c r="E1894" s="24" t="n"/>
    </row>
    <row r="1895">
      <c r="E1895" s="24" t="n"/>
      <c r="J1895" s="114" t="n"/>
    </row>
    <row r="1896">
      <c r="E1896" s="24" t="n"/>
    </row>
    <row r="1897">
      <c r="E1897" s="24" t="n"/>
    </row>
    <row r="1898">
      <c r="E1898" s="24" t="n"/>
    </row>
    <row r="1899">
      <c r="E1899" s="24" t="n"/>
    </row>
    <row r="1900">
      <c r="E1900" s="24" t="n"/>
    </row>
    <row r="1901">
      <c r="E1901" s="24" t="n"/>
    </row>
    <row r="1902">
      <c r="E1902" s="24" t="n"/>
    </row>
    <row r="1903">
      <c r="E1903" s="24" t="n"/>
      <c r="J1903" s="116" t="n"/>
    </row>
    <row r="1904">
      <c r="E1904" s="24" t="n"/>
    </row>
    <row r="1905">
      <c r="E1905" s="24" t="n"/>
    </row>
    <row r="1906">
      <c r="E1906" s="24" t="n"/>
      <c r="J1906" s="116" t="n"/>
    </row>
    <row r="1907">
      <c r="E1907" s="24" t="n"/>
      <c r="J1907" s="116" t="n"/>
    </row>
    <row r="1908">
      <c r="E1908" s="24" t="n"/>
      <c r="J1908" s="114" t="n"/>
    </row>
    <row r="1909">
      <c r="E1909" s="24" t="n"/>
    </row>
    <row r="1910">
      <c r="E1910" s="24" t="n"/>
      <c r="J1910" s="114" t="n"/>
    </row>
    <row r="1911">
      <c r="E1911" s="24" t="n"/>
    </row>
    <row r="1912">
      <c r="E1912" s="24" t="n"/>
      <c r="J1912" s="114" t="n"/>
    </row>
    <row r="1913">
      <c r="E1913" s="24" t="n"/>
    </row>
    <row r="1914">
      <c r="E1914" s="24" t="n"/>
    </row>
    <row r="1915">
      <c r="E1915" s="24" t="n"/>
      <c r="J1915" s="114" t="n"/>
    </row>
    <row r="1916">
      <c r="E1916" s="24" t="n"/>
      <c r="J1916" s="114" t="n"/>
    </row>
    <row r="1917">
      <c r="E1917" s="24" t="n"/>
    </row>
    <row r="1918">
      <c r="E1918" s="24" t="n"/>
      <c r="J1918" s="114" t="n"/>
    </row>
    <row r="1919">
      <c r="E1919" s="24" t="n"/>
    </row>
    <row r="1920">
      <c r="A1920" s="53" t="n"/>
      <c r="E1920" s="24" t="n"/>
    </row>
    <row r="1921">
      <c r="E1921" s="24" t="n"/>
    </row>
    <row r="1922">
      <c r="E1922" s="24" t="n"/>
    </row>
    <row r="1923">
      <c r="E1923" s="24" t="n"/>
    </row>
    <row r="1924">
      <c r="E1924" s="24" t="n"/>
      <c r="J1924" s="114" t="n"/>
    </row>
    <row r="1925">
      <c r="E1925" s="24" t="n"/>
    </row>
    <row r="1926">
      <c r="E1926" s="24" t="n"/>
    </row>
    <row r="1927">
      <c r="E1927" s="24" t="n"/>
      <c r="J1927" s="114" t="n"/>
    </row>
    <row r="1928">
      <c r="E1928" s="24" t="n"/>
    </row>
    <row r="1929">
      <c r="E1929" s="24" t="n"/>
    </row>
    <row r="1930">
      <c r="E1930" s="24" t="n"/>
    </row>
    <row r="1931">
      <c r="E1931" s="24" t="n"/>
    </row>
    <row r="1932">
      <c r="E1932" s="24" t="n"/>
    </row>
    <row r="1933">
      <c r="E1933" s="24" t="n"/>
    </row>
    <row r="1934">
      <c r="E1934" s="24" t="n"/>
    </row>
    <row r="1935">
      <c r="E1935" s="24" t="n"/>
    </row>
    <row r="1936">
      <c r="E1936" s="24" t="n"/>
      <c r="J1936" s="114" t="n"/>
    </row>
    <row r="1937">
      <c r="E1937" s="24" t="n"/>
    </row>
    <row r="1938">
      <c r="E1938" s="24" t="n"/>
    </row>
    <row r="1939">
      <c r="E1939" s="24" t="n"/>
      <c r="J1939" s="114" t="n"/>
    </row>
    <row r="1940">
      <c r="E1940" s="24" t="n"/>
    </row>
    <row r="1941">
      <c r="E1941" s="24" t="n"/>
    </row>
    <row r="1942">
      <c r="E1942" s="24" t="n"/>
      <c r="J1942" s="114" t="n"/>
    </row>
    <row r="1943">
      <c r="E1943" s="24" t="n"/>
    </row>
    <row r="1944">
      <c r="E1944" s="24" t="n"/>
    </row>
    <row r="1945">
      <c r="E1945" s="24" t="n"/>
    </row>
    <row r="1946">
      <c r="E1946" s="24" t="n"/>
    </row>
    <row r="1947">
      <c r="E1947" s="24" t="n"/>
    </row>
    <row r="1948">
      <c r="E1948" s="24" t="n"/>
    </row>
    <row r="1949">
      <c r="E1949" s="24" t="n"/>
      <c r="J1949" s="114" t="n"/>
    </row>
    <row r="1950">
      <c r="E1950" s="24" t="n"/>
    </row>
    <row r="1951">
      <c r="E1951" s="24" t="n"/>
    </row>
    <row r="1952">
      <c r="E1952" s="24" t="n"/>
    </row>
    <row r="1953">
      <c r="E1953" s="24" t="n"/>
    </row>
    <row r="1954">
      <c r="A1954" s="53" t="n"/>
      <c r="E1954" s="24" t="n"/>
    </row>
    <row r="1955">
      <c r="E1955" s="24" t="n"/>
    </row>
    <row r="1956">
      <c r="E1956" s="24" t="n"/>
    </row>
    <row r="1957">
      <c r="E1957" s="24" t="n"/>
    </row>
    <row r="1958">
      <c r="E1958" s="24" t="n"/>
    </row>
    <row r="1959">
      <c r="E1959" s="24" t="n"/>
    </row>
    <row r="1960">
      <c r="E1960" s="24" t="n"/>
    </row>
    <row r="1961">
      <c r="E1961" s="24" t="n"/>
    </row>
    <row r="1962">
      <c r="E1962" s="24" t="n"/>
      <c r="J1962" s="114" t="n"/>
    </row>
    <row r="1963">
      <c r="E1963" s="24" t="n"/>
    </row>
    <row r="1964">
      <c r="E1964" s="24" t="n"/>
    </row>
    <row r="1965">
      <c r="E1965" s="24" t="n"/>
    </row>
    <row r="1966">
      <c r="E1966" s="24" t="n"/>
      <c r="J1966" s="114" t="n"/>
    </row>
    <row r="1967">
      <c r="E1967" s="24" t="n"/>
      <c r="H1967" s="18" t="n"/>
    </row>
    <row r="1968">
      <c r="E1968" s="24" t="n"/>
    </row>
    <row r="1969">
      <c r="E1969" s="24" t="n"/>
    </row>
    <row r="1970">
      <c r="E1970" s="24" t="n"/>
    </row>
    <row r="1971">
      <c r="E1971" s="24" t="n"/>
    </row>
    <row r="1972">
      <c r="E1972" s="24" t="n"/>
    </row>
    <row r="1973">
      <c r="E1973" s="24" t="n"/>
    </row>
    <row r="1974">
      <c r="E1974" s="24" t="n"/>
      <c r="J1974" s="110" t="n"/>
    </row>
    <row r="1975">
      <c r="E1975" s="24" t="n"/>
    </row>
    <row r="1976">
      <c r="E1976" s="24" t="n"/>
    </row>
    <row r="1977">
      <c r="E1977" s="24" t="n"/>
    </row>
    <row r="1978"/>
    <row r="1979"/>
    <row r="1980"/>
    <row r="1981"/>
    <row r="1982"/>
    <row r="1983"/>
    <row r="1984">
      <c r="H1984" s="18" t="n"/>
    </row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>
      <c r="H2077" s="18" t="n"/>
    </row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>
      <c r="H2142" s="18" t="n"/>
    </row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>
      <c r="H2157" s="18" t="n"/>
    </row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>
      <c r="H2208" s="18" t="n"/>
    </row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>
      <c r="H2234" s="18" t="n"/>
    </row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>
      <c r="H2291" s="18" t="n"/>
    </row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>
      <c r="H2351" s="18" t="n"/>
    </row>
  </sheetData>
  <autoFilter ref="A1:P2375">
    <sortState ref="A119:P1966">
      <sortCondition ref="J1:J2375"/>
    </sortState>
  </autoFilter>
  <conditionalFormatting sqref="D1:D1048576">
    <cfRule type="duplicateValues" priority="13" dxfId="15"/>
  </conditionalFormatting>
  <conditionalFormatting sqref="E1:E1048576">
    <cfRule type="duplicateValues" priority="90" dxfId="15"/>
  </conditionalFormatting>
  <conditionalFormatting sqref="H1:H1048576">
    <cfRule type="duplicateValues" priority="14" dxfId="15"/>
  </conditionalFormatting>
  <conditionalFormatting sqref="J1:J1048576">
    <cfRule type="duplicateValues" priority="12" dxfId="15"/>
  </conditionalFormatting>
  <conditionalFormatting sqref="P1:P1048576">
    <cfRule type="duplicateValues" priority="21" dxfId="15"/>
  </conditionalFormatting>
  <dataValidations count="1">
    <dataValidation sqref="F1:F1048576" showDropDown="0" showInputMessage="1" showErrorMessage="1" allowBlank="0" type="date" operator="greaterThan">
      <formula1>36891</formula1>
    </dataValidation>
  </dataValidations>
  <pageMargins left="0.7" right="0.7" top="0.75" bottom="0.75" header="0.3" footer="0.3"/>
  <pageSetup orientation="landscape" paperSize="261" horizontalDpi="180" verticalDpi="180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15" activePane="bottomLeft" state="frozen"/>
      <selection pane="bottomLeft" activeCell="F37" sqref="F37"/>
    </sheetView>
  </sheetViews>
  <sheetFormatPr baseColWidth="8" defaultColWidth="8.85546875" defaultRowHeight="15"/>
  <cols>
    <col width="24.7109375" bestFit="1" customWidth="1" min="1" max="1"/>
    <col width="16.140625" bestFit="1" customWidth="1" min="2" max="2"/>
    <col width="21.140625" bestFit="1" customWidth="1" min="3" max="3"/>
    <col width="10.5703125" customWidth="1" min="4" max="4"/>
  </cols>
  <sheetData>
    <row r="1" ht="30" customFormat="1" customHeight="1" s="15">
      <c r="A1" s="15" t="inlineStr">
        <is>
          <t>Company ID from Ubidots</t>
        </is>
      </c>
      <c r="B1" s="15" t="inlineStr">
        <is>
          <t>Company name</t>
        </is>
      </c>
      <c r="C1" s="15" t="inlineStr">
        <is>
          <t>Description</t>
        </is>
      </c>
      <c r="D1" s="15" t="inlineStr">
        <is>
          <t>Sensor count</t>
        </is>
      </c>
    </row>
    <row r="2">
      <c r="A2" t="n">
        <v>0</v>
      </c>
      <c r="C2" t="inlineStr">
        <is>
          <t>Not assigned</t>
        </is>
      </c>
      <c r="D2">
        <f>COUNTIF(Sensors_DynamoDB!A:A,Companies!$B2)</f>
        <v/>
      </c>
    </row>
    <row r="3">
      <c r="A3" t="inlineStr">
        <is>
          <t>6253a7e00d7237fac4873b5f</t>
        </is>
      </c>
      <c r="B3" t="inlineStr">
        <is>
          <t>VIEZO</t>
        </is>
      </c>
      <c r="C3" t="inlineStr">
        <is>
          <t>UAB Nanoenergija</t>
        </is>
      </c>
      <c r="D3">
        <f>COUNTIF(Sensors_DynamoDB!A:A,Companies!$B3)</f>
        <v/>
      </c>
    </row>
    <row r="4">
      <c r="A4" t="inlineStr">
        <is>
          <t>624fc8f3330443aa9315c03f</t>
        </is>
      </c>
      <c r="B4" t="inlineStr">
        <is>
          <t>HVLE</t>
        </is>
      </c>
      <c r="C4" t="inlineStr">
        <is>
          <t>Havelländische Eisenbahn</t>
        </is>
      </c>
      <c r="D4">
        <f>COUNTIF(Sensors_DynamoDB!A:A,Companies!$B4)</f>
        <v/>
      </c>
    </row>
    <row r="5">
      <c r="A5" t="inlineStr">
        <is>
          <t>6252e06ae4fead0698ecb1c2</t>
        </is>
      </c>
      <c r="B5" t="inlineStr">
        <is>
          <t>VTG</t>
        </is>
      </c>
      <c r="D5">
        <f>COUNTIF(Sensors_DynamoDB!A:A,Companies!$B5)</f>
        <v/>
      </c>
    </row>
    <row r="6">
      <c r="A6" t="inlineStr">
        <is>
          <t>6252e05ac4cdf0210339bc38</t>
        </is>
      </c>
      <c r="B6" t="inlineStr">
        <is>
          <t>SGL</t>
        </is>
      </c>
      <c r="D6">
        <f>COUNTIF(Sensors_DynamoDB!A:A,Companies!$B6)</f>
        <v/>
      </c>
    </row>
    <row r="7">
      <c r="A7" t="inlineStr">
        <is>
          <t>6253a699db3e775e431dc685</t>
        </is>
      </c>
      <c r="B7" t="inlineStr">
        <is>
          <t>LTG</t>
        </is>
      </c>
      <c r="C7" t="inlineStr">
        <is>
          <t>Lithuanian Railways</t>
        </is>
      </c>
      <c r="D7">
        <f>COUNTIF(Sensors_DynamoDB!A:A,Companies!$B7)</f>
        <v/>
      </c>
    </row>
    <row r="8">
      <c r="A8" t="inlineStr">
        <is>
          <t>62584ba3be96790af19bb545</t>
        </is>
      </c>
      <c r="B8" t="inlineStr">
        <is>
          <t>PACIFIC</t>
        </is>
      </c>
      <c r="C8" t="inlineStr">
        <is>
          <t>Australia</t>
        </is>
      </c>
      <c r="D8">
        <f>COUNTIF(Sensors_DynamoDB!A:A,Companies!$B8)</f>
        <v/>
      </c>
    </row>
    <row r="9">
      <c r="A9" s="18" t="inlineStr">
        <is>
          <t>62711ed01d64ac000b03f2bd</t>
        </is>
      </c>
      <c r="B9" t="inlineStr">
        <is>
          <t>HUPAC</t>
        </is>
      </c>
      <c r="D9">
        <f>COUNTIF(Sensors_DynamoDB!A:A,Companies!$B9)</f>
        <v/>
      </c>
    </row>
    <row r="10">
      <c r="A10" t="inlineStr">
        <is>
          <t>6260f34542ddde196df5c8e3</t>
        </is>
      </c>
      <c r="B10" t="inlineStr">
        <is>
          <t>MEDWAY</t>
        </is>
      </c>
      <c r="D10">
        <f>COUNTIF(Sensors_DynamoDB!A:A,Companies!$B10)</f>
        <v/>
      </c>
    </row>
    <row r="11">
      <c r="A11" t="inlineStr">
        <is>
          <t>6260f6ceb34bab192344ea55</t>
        </is>
      </c>
      <c r="B11" t="inlineStr">
        <is>
          <t>EIFFAGE</t>
        </is>
      </c>
      <c r="D11">
        <f>COUNTIF(Sensors_DynamoDB!A:A,Companies!$B11)</f>
        <v/>
      </c>
    </row>
    <row r="12">
      <c r="A12" t="inlineStr">
        <is>
          <t>6261004b42ddde1a38b86668</t>
        </is>
      </c>
      <c r="B12" t="inlineStr">
        <is>
          <t>GROUPCAT</t>
        </is>
      </c>
      <c r="D12">
        <f>COUNTIF(Sensors_DynamoDB!A:A,Companies!$B12)</f>
        <v/>
      </c>
    </row>
    <row r="13">
      <c r="A13" t="inlineStr">
        <is>
          <t>6260fc6723fcfa10add59420</t>
        </is>
      </c>
      <c r="B13" t="inlineStr">
        <is>
          <t>FERTAGUS</t>
        </is>
      </c>
      <c r="D13">
        <f>COUNTIF(Sensors_DynamoDB!A:A,Companies!$B13)</f>
        <v/>
      </c>
    </row>
    <row r="14">
      <c r="A14" t="inlineStr">
        <is>
          <t>626abc0670a2920f54e5f7da</t>
        </is>
      </c>
      <c r="B14" t="inlineStr">
        <is>
          <t>FERROTRAMVIARIA</t>
        </is>
      </c>
      <c r="D14">
        <f>COUNTIF(Sensors_DynamoDB!A:A,Companies!$B14)</f>
        <v/>
      </c>
    </row>
    <row r="15">
      <c r="A15" t="inlineStr">
        <is>
          <t>628cda051ecd6f96ea60b96f</t>
        </is>
      </c>
      <c r="B15" t="inlineStr">
        <is>
          <t>EUROWAGON</t>
        </is>
      </c>
      <c r="D15">
        <f>COUNTIF(Sensors_DynamoDB!A:A,Companies!$B15)</f>
        <v/>
      </c>
    </row>
    <row r="16">
      <c r="A16" t="inlineStr">
        <is>
          <t>629787b13d4ed3000b44ba66</t>
        </is>
      </c>
      <c r="B16" t="inlineStr">
        <is>
          <t>TRANSFESA</t>
        </is>
      </c>
      <c r="D16">
        <f>COUNTIF(Sensors_DynamoDB!A:A,Companies!$B16)</f>
        <v/>
      </c>
    </row>
    <row r="17">
      <c r="A17" t="inlineStr">
        <is>
          <t>628238caccc8f309a5a763d2</t>
        </is>
      </c>
      <c r="B17" t="inlineStr">
        <is>
          <t>GFR</t>
        </is>
      </c>
      <c r="D17">
        <f>COUNTIF(Sensors_DynamoDB!A:A,Companies!$B17)</f>
        <v/>
      </c>
    </row>
    <row r="18">
      <c r="A18" t="inlineStr">
        <is>
          <t>62c6a03d34a1ec0471ec669b</t>
        </is>
      </c>
      <c r="B18" t="inlineStr">
        <is>
          <t>AXBENET</t>
        </is>
      </c>
      <c r="D18">
        <f>COUNTIF(Sensors_DynamoDB!A:A,Companies!$B18)</f>
        <v/>
      </c>
    </row>
    <row r="19">
      <c r="A19" t="inlineStr">
        <is>
          <t>62c6a0563f80c801e6b67915</t>
        </is>
      </c>
      <c r="B19" t="inlineStr">
        <is>
          <t>RAILTRANS</t>
        </is>
      </c>
      <c r="D19">
        <f>COUNTIF(Sensors_DynamoDB!A:A,Companies!$B19)</f>
        <v/>
      </c>
    </row>
    <row r="20">
      <c r="A20" t="inlineStr">
        <is>
          <t>62c71c5915ba6418a9fef9df</t>
        </is>
      </c>
      <c r="B20" t="inlineStr">
        <is>
          <t>AMBROGIO</t>
        </is>
      </c>
      <c r="D20">
        <f>COUNTIF(Sensors_DynamoDB!A:A,Companies!$B20)</f>
        <v/>
      </c>
    </row>
    <row r="21">
      <c r="A21" t="inlineStr">
        <is>
          <t>62c71c80f8c89e14a7dcb967</t>
        </is>
      </c>
      <c r="B21" t="inlineStr">
        <is>
          <t>MERCITALIA</t>
        </is>
      </c>
      <c r="D21">
        <f>COUNTIF(Sensors_DynamoDB!A:A,Companies!$B21)</f>
        <v/>
      </c>
    </row>
    <row r="22">
      <c r="A22" t="inlineStr">
        <is>
          <t>62c8513b3363d916f807e2b7</t>
        </is>
      </c>
      <c r="B22" t="inlineStr">
        <is>
          <t>ZSSK CARGO</t>
        </is>
      </c>
      <c r="D22">
        <f>COUNTIF(Sensors_DynamoDB!A:A,Companies!$B22)</f>
        <v/>
      </c>
    </row>
    <row r="23">
      <c r="A23" t="inlineStr">
        <is>
          <t>62d98d0972b17119d8e9c4b9</t>
        </is>
      </c>
      <c r="B23" t="inlineStr">
        <is>
          <t>SBB CARGO</t>
        </is>
      </c>
      <c r="D23">
        <f>COUNTIF(Sensors_DynamoDB!A:A,Companies!$B23)</f>
        <v/>
      </c>
    </row>
    <row r="24">
      <c r="A24" t="inlineStr">
        <is>
          <t>63189b0bd93e8304a30c96b5</t>
        </is>
      </c>
      <c r="B24" t="inlineStr">
        <is>
          <t>RENFE</t>
        </is>
      </c>
      <c r="D24">
        <f>COUNTIF(Sensors_DynamoDB!A:A,Companies!$B24)</f>
        <v/>
      </c>
    </row>
    <row r="25">
      <c r="A25" t="inlineStr">
        <is>
          <t>633a8d944af3d7d4bbab94b1</t>
        </is>
      </c>
      <c r="B25" t="inlineStr">
        <is>
          <t>Railize</t>
        </is>
      </c>
      <c r="D25">
        <f>COUNTIF(Sensors_DynamoDB!A:A,Companies!$B25)</f>
        <v/>
      </c>
    </row>
    <row r="26" ht="14.25" customHeight="1">
      <c r="A26" t="inlineStr">
        <is>
          <t>633fe1daa8cdb11067b7a74e</t>
        </is>
      </c>
      <c r="B26" t="inlineStr">
        <is>
          <t>INTERFRACHT</t>
        </is>
      </c>
      <c r="D26">
        <f>COUNTIF(Sensors_DynamoDB!A:A,Companies!$B26)</f>
        <v/>
      </c>
    </row>
    <row r="27">
      <c r="A27" t="inlineStr">
        <is>
          <t>63d391c736c993000c736ca5</t>
        </is>
      </c>
      <c r="B27" t="inlineStr">
        <is>
          <t>RIOTINTO</t>
        </is>
      </c>
      <c r="D27">
        <f>COUNTIF(Sensors_DynamoDB!A:A,Companies!$B27)</f>
        <v/>
      </c>
    </row>
    <row r="28">
      <c r="A28" t="inlineStr">
        <is>
          <t>63d391e21f5aaa0491f36774</t>
        </is>
      </c>
      <c r="B28" t="inlineStr">
        <is>
          <t>SCHAEFFLER</t>
        </is>
      </c>
      <c r="D28">
        <f>COUNTIF(Sensors_DynamoDB!A:A,Companies!$B28)</f>
        <v/>
      </c>
    </row>
    <row r="29">
      <c r="A29" t="inlineStr">
        <is>
          <t>6437efc02af539000b07a526</t>
        </is>
      </c>
      <c r="B29" t="inlineStr">
        <is>
          <t>GREENCARGO</t>
        </is>
      </c>
      <c r="D29">
        <f>COUNTIF(Sensors_DynamoDB!A:A,Companies!$B29)</f>
        <v/>
      </c>
    </row>
    <row r="30">
      <c r="A30" t="inlineStr">
        <is>
          <t>6437efd8392053000b00ce1b</t>
        </is>
      </c>
      <c r="B30" t="inlineStr">
        <is>
          <t>RAILRELEASE</t>
        </is>
      </c>
      <c r="D30">
        <f>COUNTIF(Sensors_DynamoDB!A:A,Companies!$B30)</f>
        <v/>
      </c>
    </row>
    <row r="31">
      <c r="A31" t="inlineStr">
        <is>
          <t>6437efed9270fa000e12f851</t>
        </is>
      </c>
      <c r="B31" t="inlineStr">
        <is>
          <t>RSA</t>
        </is>
      </c>
      <c r="D31">
        <f>COUNTIF(Sensors_DynamoDB!A:A,Companies!$B31)</f>
        <v/>
      </c>
    </row>
    <row r="32">
      <c r="A32" t="inlineStr">
        <is>
          <t>64818ba10166b80f8d06f5fa</t>
        </is>
      </c>
      <c r="B32" t="inlineStr">
        <is>
          <t>TRANSWAGGON</t>
        </is>
      </c>
      <c r="D32">
        <f>COUNTIF(Sensors_DynamoDB!A:A,Companies!$B32)</f>
        <v/>
      </c>
    </row>
    <row r="33">
      <c r="A33" t="inlineStr">
        <is>
          <t>64afec3647ee87000d3587ae</t>
        </is>
      </c>
      <c r="B33" t="inlineStr">
        <is>
          <t>CFLCARGO</t>
        </is>
      </c>
      <c r="D33">
        <f>COUNTIF(Sensors_DynamoDB!A:A,Companies!$B33)</f>
        <v/>
      </c>
    </row>
    <row r="34">
      <c r="A34" t="inlineStr">
        <is>
          <t>64afec5baf3745000c17fd3b</t>
        </is>
      </c>
      <c r="B34" t="inlineStr">
        <is>
          <t>CARGONET</t>
        </is>
      </c>
      <c r="D34">
        <f>COUNTIF(Sensors_DynamoDB!A:A,Companies!$B34)</f>
        <v/>
      </c>
    </row>
    <row r="35">
      <c r="A35" t="inlineStr">
        <is>
          <t>64b10f6e8dbd20000b1a80b6</t>
        </is>
      </c>
      <c r="B35" t="inlineStr">
        <is>
          <t>DELPHISONIC</t>
        </is>
      </c>
      <c r="D35">
        <f>COUNTIF(Sensors_DynamoDB!A:A,Companies!$B35)</f>
        <v/>
      </c>
    </row>
    <row r="36">
      <c r="A36" t="inlineStr">
        <is>
          <t>651ab621ccb1e4000cd231d4</t>
        </is>
      </c>
      <c r="B36" t="inlineStr">
        <is>
          <t>TANKWAGON</t>
        </is>
      </c>
      <c r="D36">
        <f>COUNTIF(Sensors_DynamoDB!A:A,Companies!$B36)</f>
        <v/>
      </c>
    </row>
    <row r="37">
      <c r="A37" t="inlineStr">
        <is>
          <t>6565cb8c0b41d3000db204d6</t>
        </is>
      </c>
      <c r="B37" t="inlineStr">
        <is>
          <t>TALGO</t>
        </is>
      </c>
      <c r="D37">
        <f>COUNTIF(Sensors_DynamoDB!A:A,Companies!$B37)</f>
        <v/>
      </c>
    </row>
    <row r="38">
      <c r="A38" t="inlineStr">
        <is>
          <t>65bca6234396a6000bc12292</t>
        </is>
      </c>
      <c r="B38" t="inlineStr">
        <is>
          <t>SUJAN</t>
        </is>
      </c>
      <c r="D38">
        <f>COUNTIF(Sensors_DynamoDB!A:A,Companies!$B38)</f>
        <v/>
      </c>
    </row>
  </sheetData>
  <conditionalFormatting sqref="A1:A1048576">
    <cfRule type="duplicateValues" priority="2" dxfId="15"/>
  </conditionalFormatting>
  <conditionalFormatting sqref="B1 B3:B1048576">
    <cfRule type="duplicateValues" priority="4" dxfId="15"/>
  </conditionalFormatting>
  <conditionalFormatting sqref="B1:B1048576">
    <cfRule type="duplicateValues" priority="1" dxfId="15"/>
  </conditionalFormatting>
  <conditionalFormatting sqref="B2">
    <cfRule type="duplicateValues" priority="3" dxfId="15"/>
  </conditionalFormatting>
  <pageMargins left="0.7" right="0.7" top="0.75" bottom="0.75" header="0.3" footer="0.3"/>
  <pageSetup orientation="landscape" paperSize="261" horizontalDpi="180" verticalDpi="18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zoomScale="85" zoomScaleNormal="85" workbookViewId="0">
      <pane ySplit="1" topLeftCell="A86" activePane="bottomLeft" state="frozen"/>
      <selection pane="bottomLeft" activeCell="F136" sqref="F136"/>
    </sheetView>
  </sheetViews>
  <sheetFormatPr baseColWidth="8" defaultColWidth="8.85546875" defaultRowHeight="15"/>
  <cols>
    <col width="16.140625" bestFit="1" customWidth="1" min="1" max="1"/>
    <col width="20.7109375" bestFit="1" customWidth="1" style="23" min="2" max="2"/>
    <col width="17.7109375" bestFit="1" customWidth="1" min="3" max="3"/>
    <col width="23.7109375" bestFit="1" customWidth="1" min="4" max="4"/>
  </cols>
  <sheetData>
    <row r="1" ht="21" customHeight="1">
      <c r="A1" s="21" t="inlineStr">
        <is>
          <t>Company</t>
        </is>
      </c>
      <c r="B1" s="22" t="inlineStr">
        <is>
          <t>Gateway case nr</t>
        </is>
      </c>
      <c r="C1" t="inlineStr">
        <is>
          <t>Particle S. nr.</t>
        </is>
      </c>
      <c r="D1" t="inlineStr">
        <is>
          <t>Comments/Date Added:</t>
        </is>
      </c>
    </row>
    <row r="2">
      <c r="A2" t="inlineStr">
        <is>
          <t>PACIFIC</t>
        </is>
      </c>
      <c r="B2" s="23" t="inlineStr">
        <is>
          <t>GW2203-033</t>
        </is>
      </c>
    </row>
    <row r="3">
      <c r="A3" t="inlineStr">
        <is>
          <t>PACIFIC</t>
        </is>
      </c>
      <c r="B3" s="23" t="inlineStr">
        <is>
          <t>GW2203-028</t>
        </is>
      </c>
    </row>
    <row r="4">
      <c r="A4" t="inlineStr">
        <is>
          <t>RENFE</t>
        </is>
      </c>
      <c r="B4" s="23" t="inlineStr">
        <is>
          <t>GW2203-009</t>
        </is>
      </c>
      <c r="D4" t="inlineStr">
        <is>
          <t>2023 01 25</t>
        </is>
      </c>
    </row>
    <row r="5">
      <c r="A5" t="inlineStr">
        <is>
          <t>HUPAC</t>
        </is>
      </c>
      <c r="B5" s="23" t="inlineStr">
        <is>
          <t>GW2203-037</t>
        </is>
      </c>
    </row>
    <row r="6">
      <c r="A6" t="inlineStr">
        <is>
          <t>HUPAC</t>
        </is>
      </c>
      <c r="B6" s="23" t="inlineStr">
        <is>
          <t>GW2203-006</t>
        </is>
      </c>
    </row>
    <row r="7">
      <c r="A7" t="inlineStr">
        <is>
          <t>HUPAC</t>
        </is>
      </c>
      <c r="B7" s="23" t="inlineStr">
        <is>
          <t>GW2203-043</t>
        </is>
      </c>
    </row>
    <row r="8">
      <c r="A8" t="inlineStr">
        <is>
          <t>HUPAC</t>
        </is>
      </c>
      <c r="B8" s="23" t="inlineStr">
        <is>
          <t>GW2203-024</t>
        </is>
      </c>
    </row>
    <row r="9">
      <c r="A9" t="inlineStr">
        <is>
          <t>HUPAC</t>
        </is>
      </c>
      <c r="B9" s="23" t="inlineStr">
        <is>
          <t>GW2203-031</t>
        </is>
      </c>
    </row>
    <row r="10">
      <c r="A10" t="inlineStr">
        <is>
          <t>HUPAC</t>
        </is>
      </c>
      <c r="B10" s="23" t="inlineStr">
        <is>
          <t>GW2203-017</t>
        </is>
      </c>
    </row>
    <row r="11">
      <c r="A11" t="inlineStr">
        <is>
          <t>HUPAC</t>
        </is>
      </c>
      <c r="B11" s="23" t="inlineStr">
        <is>
          <t>GW2203-035</t>
        </is>
      </c>
    </row>
    <row r="12">
      <c r="A12" t="inlineStr">
        <is>
          <t>HUPAC</t>
        </is>
      </c>
      <c r="B12" s="23" t="inlineStr">
        <is>
          <t>GW2203-019</t>
        </is>
      </c>
    </row>
    <row r="13">
      <c r="A13" t="inlineStr">
        <is>
          <t>TRANSFESA</t>
        </is>
      </c>
      <c r="B13" s="23" t="inlineStr">
        <is>
          <t>GW2203-30</t>
        </is>
      </c>
    </row>
    <row r="14" customFormat="1" s="25">
      <c r="B14" s="49" t="n">
        <v>44658</v>
      </c>
    </row>
    <row r="15">
      <c r="A15" t="inlineStr">
        <is>
          <t>SBB CARGO</t>
        </is>
      </c>
      <c r="B15" s="23" t="inlineStr">
        <is>
          <t>was_GW2206-043</t>
        </is>
      </c>
      <c r="C15" t="inlineStr">
        <is>
          <t>P025AB029Y2E58M</t>
        </is>
      </c>
    </row>
    <row r="16">
      <c r="A16" t="inlineStr">
        <is>
          <t>HUPAC</t>
        </is>
      </c>
      <c r="C16" t="inlineStr">
        <is>
          <t>P025AB035NST2GY</t>
        </is>
      </c>
      <c r="D16" t="inlineStr">
        <is>
          <t>Warranty</t>
        </is>
      </c>
    </row>
    <row r="17">
      <c r="A17" t="inlineStr">
        <is>
          <t>LTG</t>
        </is>
      </c>
      <c r="B17" s="23" t="inlineStr">
        <is>
          <t>GW2206-085</t>
        </is>
      </c>
      <c r="C17" t="inlineStr">
        <is>
          <t>P025AB106ULSBJC</t>
        </is>
      </c>
    </row>
    <row r="18">
      <c r="A18" t="inlineStr">
        <is>
          <t>HUPAC</t>
        </is>
      </c>
      <c r="B18" s="23" t="inlineStr">
        <is>
          <t>was_GW2206-083</t>
        </is>
      </c>
      <c r="C18" t="inlineStr">
        <is>
          <t>P025AB034UJR8WT</t>
        </is>
      </c>
      <c r="D18" t="inlineStr">
        <is>
          <t>Warranty</t>
        </is>
      </c>
    </row>
    <row r="19">
      <c r="A19" t="inlineStr">
        <is>
          <t>HUPAC</t>
        </is>
      </c>
      <c r="B19" s="23" t="inlineStr">
        <is>
          <t>was_GW2206-094</t>
        </is>
      </c>
      <c r="C19" t="inlineStr">
        <is>
          <t>P025AB110C8YB5K</t>
        </is>
      </c>
      <c r="D19" t="inlineStr">
        <is>
          <t>Warranty</t>
        </is>
      </c>
    </row>
    <row r="20">
      <c r="B20" s="23" t="inlineStr">
        <is>
          <t>GW2206-030</t>
        </is>
      </c>
      <c r="C20" t="inlineStr">
        <is>
          <t>P025AB110JXF9EP</t>
        </is>
      </c>
    </row>
    <row r="21">
      <c r="B21" s="23" t="inlineStr">
        <is>
          <t>GW2206-034</t>
        </is>
      </c>
      <c r="C21" t="inlineStr">
        <is>
          <t>P025AB110GJELH7</t>
        </is>
      </c>
    </row>
    <row r="22">
      <c r="B22" s="23" t="inlineStr">
        <is>
          <t>GW2206-087</t>
        </is>
      </c>
      <c r="C22" t="inlineStr">
        <is>
          <t>P025AB029SPD9RG</t>
        </is>
      </c>
    </row>
    <row r="23">
      <c r="B23" s="23" t="inlineStr">
        <is>
          <t>GW2206-088</t>
        </is>
      </c>
      <c r="C23" t="inlineStr">
        <is>
          <t>P025AB110PTH5C4</t>
        </is>
      </c>
    </row>
    <row r="24">
      <c r="A24" t="inlineStr">
        <is>
          <t>HUPAC</t>
        </is>
      </c>
      <c r="C24" t="inlineStr">
        <is>
          <t>P025AB110CYFGSN</t>
        </is>
      </c>
      <c r="D24" t="inlineStr">
        <is>
          <t>Warranty</t>
        </is>
      </c>
    </row>
    <row r="25">
      <c r="B25" s="23" t="inlineStr">
        <is>
          <t>was_GW2206-090</t>
        </is>
      </c>
      <c r="C25" t="inlineStr">
        <is>
          <t>P025AB110GBWFCL</t>
        </is>
      </c>
    </row>
    <row r="26">
      <c r="B26" s="23" t="inlineStr">
        <is>
          <t>GW2206-040</t>
        </is>
      </c>
      <c r="C26" t="inlineStr">
        <is>
          <t>P025AB1066LHUEK</t>
        </is>
      </c>
    </row>
    <row r="27">
      <c r="B27" s="23" t="inlineStr">
        <is>
          <t>GW2206-041</t>
        </is>
      </c>
      <c r="C27" t="inlineStr">
        <is>
          <t>P025AB110AJVHBY</t>
        </is>
      </c>
    </row>
    <row r="28">
      <c r="A28" t="inlineStr">
        <is>
          <t>VTG</t>
        </is>
      </c>
      <c r="B28" s="23" t="inlineStr">
        <is>
          <t>GW2206-086</t>
        </is>
      </c>
      <c r="C28" t="inlineStr">
        <is>
          <t>P025AB035S76F4P</t>
        </is>
      </c>
    </row>
    <row r="29">
      <c r="A29" t="inlineStr">
        <is>
          <t>HUPAC</t>
        </is>
      </c>
      <c r="C29" t="inlineStr">
        <is>
          <t>P025AB106R9KDYH</t>
        </is>
      </c>
      <c r="D29" t="inlineStr">
        <is>
          <t>Warranty</t>
        </is>
      </c>
    </row>
    <row r="30">
      <c r="A30" t="inlineStr">
        <is>
          <t>EUROWAGON</t>
        </is>
      </c>
      <c r="B30" s="23" t="inlineStr">
        <is>
          <t>GW2206-008</t>
        </is>
      </c>
      <c r="C30" t="inlineStr">
        <is>
          <t>P025AB045JVWDPX</t>
        </is>
      </c>
      <c r="D30" t="inlineStr">
        <is>
          <t xml:space="preserve">19/07/22 </t>
        </is>
      </c>
    </row>
    <row r="31">
      <c r="A31" t="inlineStr">
        <is>
          <t>SBB CARGO</t>
        </is>
      </c>
      <c r="B31" s="23" t="inlineStr">
        <is>
          <t>GW2206-019</t>
        </is>
      </c>
      <c r="C31" t="inlineStr">
        <is>
          <t>P025AB110H6FVU3</t>
        </is>
      </c>
      <c r="D31" s="52" t="inlineStr">
        <is>
          <t>19/07/22</t>
        </is>
      </c>
    </row>
    <row r="32">
      <c r="A32" t="inlineStr">
        <is>
          <t>HVLE</t>
        </is>
      </c>
      <c r="B32" s="53" t="inlineStr">
        <is>
          <t>GW2206-054</t>
        </is>
      </c>
      <c r="C32" t="inlineStr">
        <is>
          <t>P025AB110TU2L9D</t>
        </is>
      </c>
      <c r="D32" t="inlineStr">
        <is>
          <t>19/07/22</t>
        </is>
      </c>
    </row>
    <row r="33">
      <c r="A33" t="inlineStr">
        <is>
          <t>SBB CARGO</t>
        </is>
      </c>
      <c r="B33" s="23" t="inlineStr">
        <is>
          <t>was_GW2203-036</t>
        </is>
      </c>
      <c r="C33" t="inlineStr">
        <is>
          <t>P025AB1106FLXD2</t>
        </is>
      </c>
      <c r="D33" t="inlineStr">
        <is>
          <t>19/07/22</t>
        </is>
      </c>
      <c r="E33" t="inlineStr">
        <is>
          <t>case nr changed</t>
        </is>
      </c>
    </row>
    <row r="34">
      <c r="A34" t="inlineStr">
        <is>
          <t>AMBROGIO</t>
        </is>
      </c>
      <c r="B34" s="23" t="inlineStr">
        <is>
          <t>GW2206-039</t>
        </is>
      </c>
      <c r="C34" s="14" t="inlineStr">
        <is>
          <t>P025AB029VMW27B</t>
        </is>
      </c>
      <c r="D34" s="56" t="n">
        <v>44827</v>
      </c>
    </row>
    <row r="35">
      <c r="A35" t="inlineStr">
        <is>
          <t>RAILIZE</t>
        </is>
      </c>
      <c r="B35" s="57" t="inlineStr">
        <is>
          <t>GW2206-080</t>
        </is>
      </c>
      <c r="C35" t="inlineStr">
        <is>
          <t>P025AB110XL2YF6</t>
        </is>
      </c>
      <c r="D35" s="56" t="n">
        <v>44831</v>
      </c>
    </row>
    <row r="36">
      <c r="A36" t="inlineStr">
        <is>
          <t>RAILIZE</t>
        </is>
      </c>
      <c r="B36" s="57" t="inlineStr">
        <is>
          <t>GW2206-061</t>
        </is>
      </c>
      <c r="D36" s="56" t="n">
        <v>44831</v>
      </c>
    </row>
    <row r="37">
      <c r="A37" t="inlineStr">
        <is>
          <t>RAILIZE</t>
        </is>
      </c>
      <c r="B37" s="57" t="inlineStr">
        <is>
          <t>GW2203-015</t>
        </is>
      </c>
      <c r="D37" s="56" t="n">
        <v>44831</v>
      </c>
    </row>
    <row r="38">
      <c r="A38" t="inlineStr">
        <is>
          <t>RAILIZE</t>
        </is>
      </c>
      <c r="B38" s="57" t="inlineStr">
        <is>
          <t>GW2203-003</t>
        </is>
      </c>
      <c r="D38" s="56" t="n">
        <v>44831</v>
      </c>
    </row>
    <row r="39">
      <c r="A39" t="inlineStr">
        <is>
          <t>TRANSFESA</t>
        </is>
      </c>
      <c r="B39" s="26" t="inlineStr">
        <is>
          <t>GW2206-077</t>
        </is>
      </c>
      <c r="C39" s="14" t="n"/>
      <c r="D39" s="56" t="inlineStr">
        <is>
          <t>5.10.2022</t>
        </is>
      </c>
    </row>
    <row r="40">
      <c r="A40" t="inlineStr">
        <is>
          <t>TRANSFESA</t>
        </is>
      </c>
      <c r="B40" s="26" t="inlineStr">
        <is>
          <t>GW2203-047</t>
        </is>
      </c>
      <c r="D40" s="58" t="inlineStr">
        <is>
          <t>5.10.2022</t>
        </is>
      </c>
    </row>
    <row r="41">
      <c r="A41" t="inlineStr">
        <is>
          <t>EUROWAGON</t>
        </is>
      </c>
      <c r="B41" s="26" t="inlineStr">
        <is>
          <t>GW2203-002</t>
        </is>
      </c>
      <c r="D41" t="inlineStr">
        <is>
          <t>6.10.2022</t>
        </is>
      </c>
    </row>
    <row r="42">
      <c r="A42" t="inlineStr">
        <is>
          <t>MERCITALIA</t>
        </is>
      </c>
      <c r="B42" s="26" t="inlineStr">
        <is>
          <t>GW2206-069</t>
        </is>
      </c>
      <c r="D42" t="inlineStr">
        <is>
          <t>6.10.2022</t>
        </is>
      </c>
    </row>
    <row r="43">
      <c r="A43" t="inlineStr">
        <is>
          <t>MERCITALIA</t>
        </is>
      </c>
      <c r="B43" s="26" t="inlineStr">
        <is>
          <t>GW2206-066</t>
        </is>
      </c>
      <c r="D43" t="inlineStr">
        <is>
          <t>6.10.2022</t>
        </is>
      </c>
    </row>
    <row r="44">
      <c r="A44" t="inlineStr">
        <is>
          <t>MERCITALIA</t>
        </is>
      </c>
      <c r="B44" s="26" t="inlineStr">
        <is>
          <t>GW2206-095</t>
        </is>
      </c>
      <c r="D44" t="inlineStr">
        <is>
          <t>6.10.2022</t>
        </is>
      </c>
    </row>
    <row r="45">
      <c r="A45" t="inlineStr">
        <is>
          <t>MERCITALIA</t>
        </is>
      </c>
      <c r="B45" s="26" t="inlineStr">
        <is>
          <t>GW2206-091</t>
        </is>
      </c>
      <c r="D45" t="inlineStr">
        <is>
          <t>6.10.2022</t>
        </is>
      </c>
    </row>
    <row r="46">
      <c r="A46" t="inlineStr">
        <is>
          <t>MERCITALIA</t>
        </is>
      </c>
      <c r="B46" s="26" t="inlineStr">
        <is>
          <t>GW2206-092</t>
        </is>
      </c>
      <c r="D46" t="inlineStr">
        <is>
          <t>6.10.2022</t>
        </is>
      </c>
    </row>
    <row r="47">
      <c r="A47" t="inlineStr">
        <is>
          <t>MERCITALIA</t>
        </is>
      </c>
      <c r="B47" s="26" t="inlineStr">
        <is>
          <t>GW2203-026</t>
        </is>
      </c>
      <c r="D47" t="inlineStr">
        <is>
          <t>6.10.2022</t>
        </is>
      </c>
    </row>
    <row r="48">
      <c r="A48" t="inlineStr">
        <is>
          <t>MERCITALIA</t>
        </is>
      </c>
      <c r="B48" s="26" t="inlineStr">
        <is>
          <t>GW2206-084</t>
        </is>
      </c>
      <c r="D48" t="inlineStr">
        <is>
          <t>6.10.2022</t>
        </is>
      </c>
    </row>
    <row r="49">
      <c r="A49" t="inlineStr">
        <is>
          <t>MERCITALIA</t>
        </is>
      </c>
      <c r="B49" s="26" t="inlineStr">
        <is>
          <t>GW2206-063</t>
        </is>
      </c>
      <c r="D49" t="inlineStr">
        <is>
          <t>6.10.2022</t>
        </is>
      </c>
    </row>
    <row r="50">
      <c r="A50" t="inlineStr">
        <is>
          <t>MERCITALIA</t>
        </is>
      </c>
      <c r="B50" s="26" t="inlineStr">
        <is>
          <t>GW2206-002</t>
        </is>
      </c>
      <c r="D50" t="inlineStr">
        <is>
          <t>6.10.2022</t>
        </is>
      </c>
    </row>
    <row r="51">
      <c r="A51" t="inlineStr">
        <is>
          <t>MERCITALIA</t>
        </is>
      </c>
      <c r="B51" s="26" t="inlineStr">
        <is>
          <t>GW2203-016</t>
        </is>
      </c>
      <c r="D51" t="inlineStr">
        <is>
          <t>6.10.2022</t>
        </is>
      </c>
    </row>
    <row r="52">
      <c r="A52" t="inlineStr">
        <is>
          <t>INTERFRACHT</t>
        </is>
      </c>
      <c r="B52" s="26" t="inlineStr">
        <is>
          <t>GW2203-045</t>
        </is>
      </c>
      <c r="D52" t="inlineStr">
        <is>
          <t>7.10.2022</t>
        </is>
      </c>
    </row>
    <row r="53">
      <c r="A53" t="inlineStr">
        <is>
          <t>RAILTRANS</t>
        </is>
      </c>
      <c r="B53" s="23" t="inlineStr">
        <is>
          <t>GW2206-005</t>
        </is>
      </c>
      <c r="D53" t="inlineStr">
        <is>
          <t>7.10.2022</t>
        </is>
      </c>
    </row>
    <row r="54">
      <c r="A54" t="inlineStr">
        <is>
          <t>ZSSK CARGO</t>
        </is>
      </c>
      <c r="B54" s="23" t="inlineStr">
        <is>
          <t>GW2203-025</t>
        </is>
      </c>
      <c r="D54" t="inlineStr">
        <is>
          <t>7.10.2022</t>
        </is>
      </c>
    </row>
    <row r="55">
      <c r="A55" t="inlineStr">
        <is>
          <t>EIFFAGE</t>
        </is>
      </c>
      <c r="B55" s="26" t="inlineStr">
        <is>
          <t>GW2203-034</t>
        </is>
      </c>
      <c r="D55" t="inlineStr">
        <is>
          <t>14.10.2022</t>
        </is>
      </c>
    </row>
    <row r="56">
      <c r="A56" t="inlineStr">
        <is>
          <t>EIFFAGE</t>
        </is>
      </c>
      <c r="B56" s="26" t="inlineStr">
        <is>
          <t>GW2203-049</t>
        </is>
      </c>
      <c r="D56" t="inlineStr">
        <is>
          <t>14.10.2022</t>
        </is>
      </c>
    </row>
    <row r="57">
      <c r="A57" t="inlineStr">
        <is>
          <t>FERTAGUS</t>
        </is>
      </c>
      <c r="B57" s="26" t="inlineStr">
        <is>
          <t>GW2203-013</t>
        </is>
      </c>
      <c r="D57" t="inlineStr">
        <is>
          <t>14.10.2022</t>
        </is>
      </c>
    </row>
    <row r="58">
      <c r="A58" t="inlineStr">
        <is>
          <t>FERTAGUS</t>
        </is>
      </c>
      <c r="B58" s="26" t="inlineStr">
        <is>
          <t>GW2203-023</t>
        </is>
      </c>
      <c r="D58" t="inlineStr">
        <is>
          <t>14.10.2022</t>
        </is>
      </c>
    </row>
    <row r="59">
      <c r="A59" t="inlineStr">
        <is>
          <t>FERTAGUS</t>
        </is>
      </c>
      <c r="B59" s="26" t="inlineStr">
        <is>
          <t>GW2203-039</t>
        </is>
      </c>
      <c r="D59" t="inlineStr">
        <is>
          <t>14.10.2022</t>
        </is>
      </c>
    </row>
    <row r="60">
      <c r="A60" t="inlineStr">
        <is>
          <t>FERTAGUS</t>
        </is>
      </c>
      <c r="B60" s="26" t="inlineStr">
        <is>
          <t>GW2203-020</t>
        </is>
      </c>
      <c r="D60" t="inlineStr">
        <is>
          <t>14.10.2022</t>
        </is>
      </c>
    </row>
    <row r="61">
      <c r="A61" t="inlineStr">
        <is>
          <t>SGL</t>
        </is>
      </c>
      <c r="B61" s="23" t="inlineStr">
        <is>
          <t>GW2203-001</t>
        </is>
      </c>
      <c r="D61" s="56" t="n">
        <v>44876</v>
      </c>
    </row>
    <row r="62">
      <c r="A62" t="inlineStr">
        <is>
          <t>SGL</t>
        </is>
      </c>
      <c r="B62" s="23" t="inlineStr">
        <is>
          <t>GW2203-007</t>
        </is>
      </c>
      <c r="D62" s="56" t="n">
        <v>44876</v>
      </c>
    </row>
    <row r="63">
      <c r="A63" t="inlineStr">
        <is>
          <t>HVLE</t>
        </is>
      </c>
      <c r="B63" s="23" t="inlineStr">
        <is>
          <t>GW2206-001</t>
        </is>
      </c>
      <c r="D63" s="56" t="n">
        <v>44876</v>
      </c>
    </row>
    <row r="64">
      <c r="A64" t="inlineStr">
        <is>
          <t>HVLE</t>
        </is>
      </c>
      <c r="B64" s="23" t="inlineStr">
        <is>
          <t>GW2206-094</t>
        </is>
      </c>
      <c r="D64" s="56" t="n">
        <v>44876</v>
      </c>
    </row>
    <row r="65">
      <c r="A65" t="inlineStr">
        <is>
          <t>HVLE</t>
        </is>
      </c>
      <c r="B65" s="23" t="inlineStr">
        <is>
          <t>GW2206-043</t>
        </is>
      </c>
      <c r="D65" s="56" t="n">
        <v>44876</v>
      </c>
    </row>
    <row r="66">
      <c r="A66" t="inlineStr">
        <is>
          <t>HVLE</t>
        </is>
      </c>
      <c r="B66" s="23" t="inlineStr">
        <is>
          <t>GW2206-090</t>
        </is>
      </c>
      <c r="D66" s="56" t="n">
        <v>44876</v>
      </c>
    </row>
    <row r="67">
      <c r="A67" t="inlineStr">
        <is>
          <t>HVLE</t>
        </is>
      </c>
      <c r="B67" s="23" t="inlineStr">
        <is>
          <t>GW2206-083</t>
        </is>
      </c>
      <c r="D67" s="56" t="n">
        <v>44876</v>
      </c>
    </row>
    <row r="68">
      <c r="A68" t="inlineStr">
        <is>
          <t>TRANSWAGGON</t>
        </is>
      </c>
      <c r="B68" s="23" t="inlineStr">
        <is>
          <t>GW2206-042</t>
        </is>
      </c>
      <c r="D68" s="56" t="n"/>
    </row>
    <row r="69">
      <c r="A69" t="inlineStr">
        <is>
          <t>HVLE</t>
        </is>
      </c>
      <c r="B69" s="23" t="inlineStr">
        <is>
          <t>GW2206-003</t>
        </is>
      </c>
      <c r="D69" s="56" t="n">
        <v>44876</v>
      </c>
    </row>
    <row r="70">
      <c r="A70" t="inlineStr">
        <is>
          <t>HVLE</t>
        </is>
      </c>
      <c r="B70" s="23" t="inlineStr">
        <is>
          <t>GW2203-042</t>
        </is>
      </c>
      <c r="D70" s="56" t="n">
        <v>44876</v>
      </c>
    </row>
    <row r="71">
      <c r="A71" t="inlineStr">
        <is>
          <t>HVLE</t>
        </is>
      </c>
      <c r="B71" s="23" t="inlineStr">
        <is>
          <t>GW2203-036</t>
        </is>
      </c>
      <c r="D71" s="56" t="n">
        <v>44876</v>
      </c>
    </row>
    <row r="72">
      <c r="A72" t="inlineStr">
        <is>
          <t>HVLE</t>
        </is>
      </c>
      <c r="B72" s="23" t="inlineStr">
        <is>
          <t>GW2203-050</t>
        </is>
      </c>
      <c r="D72" s="56" t="n">
        <v>44876</v>
      </c>
    </row>
    <row r="73">
      <c r="A73" t="inlineStr">
        <is>
          <t>FERROTRAMVIARIA</t>
        </is>
      </c>
      <c r="B73" s="23" t="inlineStr">
        <is>
          <t>GW2206-093</t>
        </is>
      </c>
      <c r="D73" s="63" t="inlineStr">
        <is>
          <t>29/11/2022</t>
        </is>
      </c>
    </row>
    <row r="74">
      <c r="A74" t="inlineStr">
        <is>
          <t>FERROTRAMVIARIA</t>
        </is>
      </c>
      <c r="B74" s="23" t="inlineStr">
        <is>
          <t>GW2206-056</t>
        </is>
      </c>
      <c r="D74" s="63" t="inlineStr">
        <is>
          <t>29/11/2022</t>
        </is>
      </c>
    </row>
    <row r="75">
      <c r="A75" t="inlineStr">
        <is>
          <t>AMBROGIO</t>
        </is>
      </c>
      <c r="B75" s="23" t="inlineStr">
        <is>
          <t>GW2206-021</t>
        </is>
      </c>
      <c r="D75" s="56" t="n">
        <v>44902</v>
      </c>
    </row>
    <row r="76">
      <c r="A76" t="inlineStr">
        <is>
          <t>HUPAC</t>
        </is>
      </c>
      <c r="B76" s="23" t="inlineStr">
        <is>
          <t>GW2206-065</t>
        </is>
      </c>
      <c r="D76" s="56" t="n">
        <v>44902</v>
      </c>
    </row>
    <row r="77">
      <c r="A77" t="inlineStr">
        <is>
          <t>HUPAC</t>
        </is>
      </c>
      <c r="B77" s="23" t="inlineStr">
        <is>
          <t>GW2206-033</t>
        </is>
      </c>
      <c r="D77" s="56" t="n">
        <v>44902</v>
      </c>
    </row>
    <row r="78">
      <c r="A78" t="inlineStr">
        <is>
          <t>HUPAC</t>
        </is>
      </c>
      <c r="B78" s="23" t="inlineStr">
        <is>
          <t>GW2206-058</t>
        </is>
      </c>
      <c r="D78" s="56" t="n">
        <v>44902</v>
      </c>
    </row>
    <row r="79">
      <c r="A79" t="inlineStr">
        <is>
          <t>HUPAC</t>
        </is>
      </c>
      <c r="B79" s="23" t="inlineStr">
        <is>
          <t>GW2206-055</t>
        </is>
      </c>
      <c r="D79" s="56" t="n">
        <v>44902</v>
      </c>
    </row>
    <row r="80">
      <c r="A80" t="inlineStr">
        <is>
          <t>HUPAC</t>
        </is>
      </c>
      <c r="B80" s="23" t="inlineStr">
        <is>
          <t>GW2206-010</t>
        </is>
      </c>
      <c r="D80" s="56" t="n">
        <v>44902</v>
      </c>
    </row>
    <row r="81">
      <c r="A81" t="inlineStr">
        <is>
          <t>HUPAC</t>
        </is>
      </c>
      <c r="B81" s="23" t="inlineStr">
        <is>
          <t>GW2206-035</t>
        </is>
      </c>
      <c r="D81" s="56" t="n">
        <v>44902</v>
      </c>
    </row>
    <row r="82">
      <c r="A82" t="inlineStr">
        <is>
          <t>HUPAC</t>
        </is>
      </c>
      <c r="B82" s="23" t="inlineStr">
        <is>
          <t>GW2206-096</t>
        </is>
      </c>
      <c r="D82" s="56" t="n">
        <v>44902</v>
      </c>
    </row>
    <row r="83">
      <c r="A83" t="inlineStr">
        <is>
          <t>HUPAC</t>
        </is>
      </c>
      <c r="B83" s="23" t="inlineStr">
        <is>
          <t>GW2206-078</t>
        </is>
      </c>
      <c r="D83" s="56" t="n">
        <v>44902</v>
      </c>
    </row>
    <row r="84">
      <c r="A84" t="inlineStr">
        <is>
          <t>HUPAC</t>
        </is>
      </c>
      <c r="B84" s="23" t="inlineStr">
        <is>
          <t>GW2206-079</t>
        </is>
      </c>
      <c r="D84" s="56" t="n">
        <v>44902</v>
      </c>
    </row>
    <row r="85">
      <c r="A85" t="inlineStr">
        <is>
          <t>HUPAC</t>
        </is>
      </c>
      <c r="B85" s="23" t="inlineStr">
        <is>
          <t>GW2206-064</t>
        </is>
      </c>
      <c r="D85" s="56" t="n">
        <v>44902</v>
      </c>
    </row>
    <row r="86">
      <c r="A86" t="inlineStr">
        <is>
          <t>HUPAC</t>
        </is>
      </c>
      <c r="B86" s="23" t="inlineStr">
        <is>
          <t>GW2206-059</t>
        </is>
      </c>
      <c r="D86" s="56" t="n">
        <v>44902</v>
      </c>
    </row>
    <row r="87">
      <c r="A87" t="inlineStr">
        <is>
          <t>HUPAC</t>
        </is>
      </c>
      <c r="B87" s="23" t="inlineStr">
        <is>
          <t>GW2206-029</t>
        </is>
      </c>
      <c r="D87" s="56" t="n">
        <v>44902</v>
      </c>
    </row>
    <row r="88">
      <c r="A88" t="inlineStr">
        <is>
          <t>LTG</t>
        </is>
      </c>
      <c r="B88" s="23" t="inlineStr">
        <is>
          <t>GW2206-053</t>
        </is>
      </c>
      <c r="D88" s="56" t="n">
        <v>44938</v>
      </c>
    </row>
    <row r="89">
      <c r="A89" t="inlineStr">
        <is>
          <t>FERROTRAMVIARIA</t>
        </is>
      </c>
      <c r="B89" s="23" t="inlineStr">
        <is>
          <t>GW2206-037</t>
        </is>
      </c>
      <c r="D89" s="56" t="inlineStr">
        <is>
          <t>2023 02 08</t>
        </is>
      </c>
    </row>
    <row r="90">
      <c r="A90" t="inlineStr">
        <is>
          <t>RENFE</t>
        </is>
      </c>
      <c r="B90" s="23" t="inlineStr">
        <is>
          <t>GW2206-004</t>
        </is>
      </c>
      <c r="D90" t="inlineStr">
        <is>
          <t>2023 02 22</t>
        </is>
      </c>
    </row>
    <row r="91">
      <c r="A91" t="inlineStr">
        <is>
          <t>MERCITALIA</t>
        </is>
      </c>
      <c r="B91" t="inlineStr">
        <is>
          <t>GW2203-004</t>
        </is>
      </c>
      <c r="D91" t="inlineStr">
        <is>
          <t>2023 03 10</t>
        </is>
      </c>
    </row>
    <row r="92">
      <c r="A92" t="inlineStr">
        <is>
          <t>MERCITALIA</t>
        </is>
      </c>
      <c r="B92" t="inlineStr">
        <is>
          <t>GW2203-044</t>
        </is>
      </c>
      <c r="D92" t="inlineStr">
        <is>
          <t>2023 03 10</t>
        </is>
      </c>
    </row>
    <row r="93">
      <c r="A93" t="inlineStr">
        <is>
          <t>MERCITALIA</t>
        </is>
      </c>
      <c r="B93" t="inlineStr">
        <is>
          <t>GW2206-036</t>
        </is>
      </c>
      <c r="D93" t="inlineStr">
        <is>
          <t>2023 03 10</t>
        </is>
      </c>
    </row>
    <row r="94">
      <c r="A94" t="inlineStr">
        <is>
          <t>HVLE</t>
        </is>
      </c>
      <c r="B94" s="23" t="inlineStr">
        <is>
          <t>GW2203-040</t>
        </is>
      </c>
      <c r="D94" t="inlineStr">
        <is>
          <t>2023 03 10</t>
        </is>
      </c>
    </row>
    <row r="95">
      <c r="A95" t="inlineStr">
        <is>
          <t>FERTAGUS</t>
        </is>
      </c>
      <c r="B95" s="23" t="inlineStr">
        <is>
          <t>GW2203-014</t>
        </is>
      </c>
      <c r="D95" t="inlineStr">
        <is>
          <t>2023 03 27</t>
        </is>
      </c>
    </row>
    <row r="96">
      <c r="A96" t="inlineStr">
        <is>
          <t>HVLE</t>
        </is>
      </c>
      <c r="B96" s="23" t="inlineStr">
        <is>
          <t>GW2206-TR02</t>
        </is>
      </c>
      <c r="D96" t="inlineStr">
        <is>
          <t>2023 03 27</t>
        </is>
      </c>
    </row>
    <row r="97">
      <c r="A97" t="inlineStr">
        <is>
          <t>TRANSFESA</t>
        </is>
      </c>
      <c r="B97" s="23" t="inlineStr">
        <is>
          <t>GW2206-TR01</t>
        </is>
      </c>
      <c r="D97" t="inlineStr">
        <is>
          <t>2023 03 27</t>
        </is>
      </c>
    </row>
    <row r="98">
      <c r="A98" t="inlineStr">
        <is>
          <t>TRANSWAGGON</t>
        </is>
      </c>
      <c r="B98" s="23" t="inlineStr">
        <is>
          <t>GW2206-012</t>
        </is>
      </c>
      <c r="D98" t="inlineStr">
        <is>
          <t>2023 06 13</t>
        </is>
      </c>
    </row>
    <row r="99">
      <c r="A99" t="inlineStr">
        <is>
          <t>TRANSWAGGON</t>
        </is>
      </c>
      <c r="B99" s="23" t="inlineStr">
        <is>
          <t>GW2206-049</t>
        </is>
      </c>
      <c r="D99" t="inlineStr">
        <is>
          <t>2023 06 13</t>
        </is>
      </c>
    </row>
    <row r="100">
      <c r="A100" t="inlineStr">
        <is>
          <t>TRANSWAGGON</t>
        </is>
      </c>
      <c r="B100" s="23" t="inlineStr">
        <is>
          <t>GW2206-050</t>
        </is>
      </c>
      <c r="D100" t="inlineStr">
        <is>
          <t>2023 06 13</t>
        </is>
      </c>
    </row>
    <row r="101">
      <c r="A101" t="inlineStr">
        <is>
          <t>TRANSWAGGON</t>
        </is>
      </c>
      <c r="B101" s="23" t="inlineStr">
        <is>
          <t>GW2206-052</t>
        </is>
      </c>
      <c r="D101" t="inlineStr">
        <is>
          <t>2023 06 13</t>
        </is>
      </c>
    </row>
  </sheetData>
  <conditionalFormatting sqref="B1:B90 B94:B1048576">
    <cfRule type="duplicateValues" priority="1" dxfId="15"/>
  </conditionalFormatting>
  <conditionalFormatting sqref="C34">
    <cfRule type="duplicateValues" priority="3" dxfId="15"/>
  </conditionalFormatting>
  <conditionalFormatting sqref="C39">
    <cfRule type="duplicateValues" priority="2" dxfId="15"/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6"/>
  <sheetViews>
    <sheetView zoomScaleNormal="100" workbookViewId="0">
      <pane ySplit="1" topLeftCell="A245" activePane="bottomLeft" state="frozen"/>
      <selection pane="bottomLeft" activeCell="A266" sqref="A266:XFD266"/>
    </sheetView>
  </sheetViews>
  <sheetFormatPr baseColWidth="8" defaultColWidth="8.85546875" defaultRowHeight="15"/>
  <cols>
    <col width="20.42578125" bestFit="1" customWidth="1" style="2" min="1" max="1"/>
    <col width="20.7109375" bestFit="1" customWidth="1" style="2" min="2" max="2"/>
    <col width="16.140625" bestFit="1" customWidth="1" min="3" max="3"/>
    <col width="18.140625" bestFit="1" customWidth="1" min="4" max="4"/>
    <col width="18.42578125" bestFit="1" customWidth="1" min="5" max="5"/>
    <col width="11" bestFit="1" customWidth="1" min="6" max="6"/>
    <col width="18.42578125" bestFit="1" customWidth="1" min="7" max="7"/>
    <col width="8.7109375" bestFit="1" customWidth="1" min="9" max="9"/>
    <col width="11.42578125" bestFit="1" customWidth="1" min="10" max="10"/>
    <col width="11" bestFit="1" customWidth="1" min="11" max="11"/>
  </cols>
  <sheetData>
    <row r="1" ht="21" customHeight="1">
      <c r="A1" s="39" t="inlineStr">
        <is>
          <t>Sensor S. no.</t>
        </is>
      </c>
      <c r="B1" s="39" t="inlineStr">
        <is>
          <t>mac_address</t>
        </is>
      </c>
      <c r="C1" s="21" t="inlineStr">
        <is>
          <t>HA S. No.</t>
        </is>
      </c>
      <c r="D1" s="21" t="inlineStr">
        <is>
          <t>Case S. No.</t>
        </is>
      </c>
      <c r="E1" s="21" t="inlineStr">
        <is>
          <t>Company</t>
        </is>
      </c>
      <c r="F1" s="21" t="inlineStr">
        <is>
          <t>Type</t>
        </is>
      </c>
      <c r="G1" s="21" t="inlineStr">
        <is>
          <t>Comment</t>
        </is>
      </c>
      <c r="I1" s="21" t="inlineStr">
        <is>
          <t>PCB ID</t>
        </is>
      </c>
      <c r="J1" t="inlineStr">
        <is>
          <t>DATE ADDED</t>
        </is>
      </c>
    </row>
    <row r="2">
      <c r="A2" s="2" t="n">
        <v>4978561</v>
      </c>
      <c r="C2" t="n">
        <v>22</v>
      </c>
      <c r="D2" t="inlineStr">
        <is>
          <t>PR-2203-104</t>
        </is>
      </c>
      <c r="E2" t="inlineStr">
        <is>
          <t>HVLE</t>
        </is>
      </c>
      <c r="F2" t="inlineStr">
        <is>
          <t>Cargo</t>
        </is>
      </c>
      <c r="G2" s="1" t="n"/>
      <c r="I2">
        <f>_xlfn.NUMBERVALUE(A2)</f>
        <v/>
      </c>
    </row>
    <row r="3">
      <c r="A3" s="2" t="n">
        <v>4978887</v>
      </c>
      <c r="C3" t="n">
        <v>42</v>
      </c>
      <c r="D3" t="inlineStr">
        <is>
          <t>PR-2203-042</t>
        </is>
      </c>
      <c r="E3" t="inlineStr">
        <is>
          <t>HVLE</t>
        </is>
      </c>
      <c r="F3" t="inlineStr">
        <is>
          <t>Cargo</t>
        </is>
      </c>
      <c r="I3">
        <f>_xlfn.NUMBERVALUE(A3)</f>
        <v/>
      </c>
    </row>
    <row r="4">
      <c r="A4" s="2" t="n">
        <v>4978676</v>
      </c>
      <c r="C4" t="n">
        <v>18</v>
      </c>
      <c r="D4" t="inlineStr">
        <is>
          <t>PR-2203-106</t>
        </is>
      </c>
      <c r="E4" t="inlineStr">
        <is>
          <t>HVLE</t>
        </is>
      </c>
      <c r="F4" t="inlineStr">
        <is>
          <t>Cargo</t>
        </is>
      </c>
      <c r="I4">
        <f>_xlfn.NUMBERVALUE(A4)</f>
        <v/>
      </c>
    </row>
    <row r="5">
      <c r="A5" s="2" t="n">
        <v>4978517</v>
      </c>
      <c r="C5" t="n">
        <v>24</v>
      </c>
      <c r="D5" t="inlineStr">
        <is>
          <t>PR-2203-108</t>
        </is>
      </c>
      <c r="E5" t="inlineStr">
        <is>
          <t>HVLE</t>
        </is>
      </c>
      <c r="F5" t="inlineStr">
        <is>
          <t>Cargo</t>
        </is>
      </c>
      <c r="I5">
        <f>_xlfn.NUMBERVALUE(A5)</f>
        <v/>
      </c>
    </row>
    <row r="6">
      <c r="A6" s="2" t="n">
        <v>4978881</v>
      </c>
      <c r="C6" t="n">
        <v>58</v>
      </c>
      <c r="D6" t="inlineStr">
        <is>
          <t>PR-2203-001</t>
        </is>
      </c>
      <c r="E6" t="inlineStr">
        <is>
          <t>HVLE</t>
        </is>
      </c>
      <c r="F6" t="inlineStr">
        <is>
          <t>Cargo</t>
        </is>
      </c>
      <c r="I6">
        <f>_xlfn.NUMBERVALUE(A6)</f>
        <v/>
      </c>
    </row>
    <row r="7">
      <c r="A7" s="2" t="n">
        <v>4978718</v>
      </c>
      <c r="C7" t="n">
        <v>26</v>
      </c>
      <c r="D7" t="inlineStr">
        <is>
          <t>PR-2203-107</t>
        </is>
      </c>
      <c r="E7" t="inlineStr">
        <is>
          <t>HVLE</t>
        </is>
      </c>
      <c r="F7" t="inlineStr">
        <is>
          <t>Cargo</t>
        </is>
      </c>
      <c r="I7">
        <f>_xlfn.NUMBERVALUE(A7)</f>
        <v/>
      </c>
    </row>
    <row r="8">
      <c r="A8" s="2" t="n">
        <v>4978550</v>
      </c>
      <c r="C8" t="n">
        <v>44</v>
      </c>
      <c r="D8" t="inlineStr">
        <is>
          <t>PR-2203-087</t>
        </is>
      </c>
      <c r="E8" t="inlineStr">
        <is>
          <t>HVLE</t>
        </is>
      </c>
      <c r="F8" t="inlineStr">
        <is>
          <t>Cargo</t>
        </is>
      </c>
      <c r="I8">
        <f>_xlfn.NUMBERVALUE(A8)</f>
        <v/>
      </c>
    </row>
    <row r="9">
      <c r="A9" s="2" t="n">
        <v>4978696</v>
      </c>
      <c r="C9" t="n">
        <v>36</v>
      </c>
      <c r="D9" t="inlineStr">
        <is>
          <t>PR-2203-057</t>
        </is>
      </c>
      <c r="E9" t="inlineStr">
        <is>
          <t>HVLE</t>
        </is>
      </c>
      <c r="F9" t="inlineStr">
        <is>
          <t>Cargo</t>
        </is>
      </c>
      <c r="I9">
        <f>_xlfn.NUMBERVALUE(A9)</f>
        <v/>
      </c>
    </row>
    <row r="10">
      <c r="A10" s="2" t="n">
        <v>4978680</v>
      </c>
      <c r="C10" t="n">
        <v>14</v>
      </c>
      <c r="D10" t="inlineStr">
        <is>
          <t>PR-2203-084</t>
        </is>
      </c>
      <c r="E10" t="inlineStr">
        <is>
          <t>HVLE</t>
        </is>
      </c>
      <c r="F10" t="inlineStr">
        <is>
          <t>Cargo</t>
        </is>
      </c>
      <c r="I10">
        <f>_xlfn.NUMBERVALUE(A10)</f>
        <v/>
      </c>
    </row>
    <row r="11">
      <c r="A11" s="2" t="n">
        <v>4978756</v>
      </c>
      <c r="C11" t="n">
        <v>4</v>
      </c>
      <c r="D11" t="inlineStr">
        <is>
          <t>PR-2203-095</t>
        </is>
      </c>
      <c r="E11" t="inlineStr">
        <is>
          <t>HVLE</t>
        </is>
      </c>
      <c r="F11" t="inlineStr">
        <is>
          <t>Cargo</t>
        </is>
      </c>
      <c r="I11">
        <f>_xlfn.NUMBERVALUE(A11)</f>
        <v/>
      </c>
    </row>
    <row r="12">
      <c r="A12" s="2" t="n">
        <v>4978683</v>
      </c>
      <c r="C12" t="n">
        <v>40</v>
      </c>
      <c r="D12" t="inlineStr">
        <is>
          <t>PR-2203-046</t>
        </is>
      </c>
      <c r="E12" t="inlineStr">
        <is>
          <t>HVLE</t>
        </is>
      </c>
      <c r="F12" t="inlineStr">
        <is>
          <t>Cargo</t>
        </is>
      </c>
      <c r="I12">
        <f>_xlfn.NUMBERVALUE(A12)</f>
        <v/>
      </c>
    </row>
    <row r="13">
      <c r="A13" s="2" t="n">
        <v>4978557</v>
      </c>
      <c r="C13" t="n">
        <v>6</v>
      </c>
      <c r="D13" t="inlineStr">
        <is>
          <t>PR-2203-039</t>
        </is>
      </c>
      <c r="E13" t="inlineStr">
        <is>
          <t>HVLE</t>
        </is>
      </c>
      <c r="F13" t="inlineStr">
        <is>
          <t>Cargo</t>
        </is>
      </c>
      <c r="I13">
        <f>_xlfn.NUMBERVALUE(A13)</f>
        <v/>
      </c>
    </row>
    <row r="14">
      <c r="A14" s="2" t="n">
        <v>4978775</v>
      </c>
      <c r="C14" t="n">
        <v>8</v>
      </c>
      <c r="D14" t="inlineStr">
        <is>
          <t>PR-2203-054</t>
        </is>
      </c>
      <c r="E14" t="inlineStr">
        <is>
          <t>HVLE</t>
        </is>
      </c>
      <c r="F14" t="inlineStr">
        <is>
          <t>Cargo</t>
        </is>
      </c>
      <c r="I14">
        <f>_xlfn.NUMBERVALUE(A14)</f>
        <v/>
      </c>
    </row>
    <row r="15">
      <c r="A15" s="2" t="n">
        <v>4978768</v>
      </c>
      <c r="C15" t="n">
        <v>10</v>
      </c>
      <c r="D15" t="inlineStr">
        <is>
          <t>PR-2203-075</t>
        </is>
      </c>
      <c r="E15" t="inlineStr">
        <is>
          <t>HVLE</t>
        </is>
      </c>
      <c r="F15" t="inlineStr">
        <is>
          <t>Cargo</t>
        </is>
      </c>
      <c r="I15">
        <f>_xlfn.NUMBERVALUE(A15)</f>
        <v/>
      </c>
    </row>
    <row r="16">
      <c r="A16" s="2" t="n">
        <v>4978682</v>
      </c>
      <c r="C16" t="n">
        <v>16</v>
      </c>
      <c r="D16" t="inlineStr">
        <is>
          <t>PR-2203-110</t>
        </is>
      </c>
      <c r="E16" t="inlineStr">
        <is>
          <t>HVLE</t>
        </is>
      </c>
      <c r="F16" t="inlineStr">
        <is>
          <t>Cargo</t>
        </is>
      </c>
      <c r="I16">
        <f>_xlfn.NUMBERVALUE(A16)</f>
        <v/>
      </c>
    </row>
    <row r="17">
      <c r="A17" s="2" t="n">
        <v>4978833</v>
      </c>
      <c r="C17" t="n">
        <v>32</v>
      </c>
      <c r="D17" t="inlineStr">
        <is>
          <t>PR-2203-056</t>
        </is>
      </c>
      <c r="E17" t="inlineStr">
        <is>
          <t>HVLE</t>
        </is>
      </c>
      <c r="F17" t="inlineStr">
        <is>
          <t>Cargo</t>
        </is>
      </c>
      <c r="I17">
        <f>_xlfn.NUMBERVALUE(A17)</f>
        <v/>
      </c>
    </row>
    <row r="18">
      <c r="A18" s="2" t="n">
        <v>4978831</v>
      </c>
      <c r="C18" t="n">
        <v>64</v>
      </c>
      <c r="D18" t="inlineStr">
        <is>
          <t>PR-2203-020</t>
        </is>
      </c>
      <c r="E18" t="inlineStr">
        <is>
          <t>HVLE</t>
        </is>
      </c>
      <c r="F18" t="inlineStr">
        <is>
          <t>Cargo</t>
        </is>
      </c>
      <c r="I18">
        <f>_xlfn.NUMBERVALUE(A18)</f>
        <v/>
      </c>
    </row>
    <row r="19">
      <c r="A19" s="2" t="n">
        <v>4978776</v>
      </c>
      <c r="C19" t="n">
        <v>56</v>
      </c>
      <c r="D19" t="inlineStr">
        <is>
          <t>PR-2203-009</t>
        </is>
      </c>
      <c r="E19" t="inlineStr">
        <is>
          <t>HVLE</t>
        </is>
      </c>
      <c r="F19" t="inlineStr">
        <is>
          <t>Cargo</t>
        </is>
      </c>
      <c r="I19">
        <f>_xlfn.NUMBERVALUE(A19)</f>
        <v/>
      </c>
    </row>
    <row r="20">
      <c r="A20" s="2" t="n">
        <v>4978728</v>
      </c>
      <c r="C20" t="n">
        <v>34</v>
      </c>
      <c r="D20" t="inlineStr">
        <is>
          <t>PR-2203-003</t>
        </is>
      </c>
      <c r="E20" t="inlineStr">
        <is>
          <t>HVLE</t>
        </is>
      </c>
      <c r="F20" t="inlineStr">
        <is>
          <t>Cargo</t>
        </is>
      </c>
      <c r="I20">
        <f>_xlfn.NUMBERVALUE(A20)</f>
        <v/>
      </c>
    </row>
    <row r="21">
      <c r="A21" s="2" t="n">
        <v>4978748</v>
      </c>
      <c r="C21" t="n">
        <v>30</v>
      </c>
      <c r="D21" t="inlineStr">
        <is>
          <t>PR-2203-085</t>
        </is>
      </c>
      <c r="E21" t="inlineStr">
        <is>
          <t>HVLE</t>
        </is>
      </c>
      <c r="F21" t="inlineStr">
        <is>
          <t>Cargo</t>
        </is>
      </c>
      <c r="I21">
        <f>_xlfn.NUMBERVALUE(A21)</f>
        <v/>
      </c>
    </row>
    <row r="22">
      <c r="A22" s="2" t="n">
        <v>4978623</v>
      </c>
      <c r="C22" t="inlineStr">
        <is>
          <t>HA-2203-020</t>
        </is>
      </c>
      <c r="D22" t="inlineStr">
        <is>
          <t>PR-2203-060</t>
        </is>
      </c>
      <c r="E22" t="inlineStr">
        <is>
          <t>PACIFIC</t>
        </is>
      </c>
      <c r="F22" t="inlineStr">
        <is>
          <t>Cargo</t>
        </is>
      </c>
      <c r="I22">
        <f>_xlfn.NUMBERVALUE(A22)</f>
        <v/>
      </c>
    </row>
    <row r="23">
      <c r="A23" s="2" t="n">
        <v>4978824</v>
      </c>
      <c r="C23" t="n">
        <v>50</v>
      </c>
      <c r="D23" t="inlineStr">
        <is>
          <t>PR-2203-412</t>
        </is>
      </c>
      <c r="E23" t="inlineStr">
        <is>
          <t>HVLE</t>
        </is>
      </c>
      <c r="F23" t="inlineStr">
        <is>
          <t>Cargo</t>
        </is>
      </c>
      <c r="I23">
        <f>_xlfn.NUMBERVALUE(A23)</f>
        <v/>
      </c>
    </row>
    <row r="24">
      <c r="A24" s="2" t="n">
        <v>4978724</v>
      </c>
      <c r="C24" t="n">
        <v>28</v>
      </c>
      <c r="D24" t="inlineStr">
        <is>
          <t>PR-2203-043</t>
        </is>
      </c>
      <c r="E24" t="inlineStr">
        <is>
          <t>HVLE</t>
        </is>
      </c>
      <c r="F24" t="inlineStr">
        <is>
          <t>Cargo</t>
        </is>
      </c>
      <c r="I24">
        <f>_xlfn.NUMBERVALUE(A24)</f>
        <v/>
      </c>
    </row>
    <row r="25">
      <c r="A25" s="2" t="n">
        <v>4978620</v>
      </c>
      <c r="C25" t="n">
        <v>46</v>
      </c>
      <c r="D25" t="inlineStr">
        <is>
          <t>PR-2203-101</t>
        </is>
      </c>
      <c r="E25" t="inlineStr">
        <is>
          <t>HVLE</t>
        </is>
      </c>
      <c r="F25" t="inlineStr">
        <is>
          <t>Cargo</t>
        </is>
      </c>
      <c r="I25">
        <f>_xlfn.NUMBERVALUE(A25)</f>
        <v/>
      </c>
    </row>
    <row r="26">
      <c r="A26" s="2" t="n">
        <v>4978685</v>
      </c>
      <c r="C26" t="n">
        <v>52</v>
      </c>
      <c r="D26" t="inlineStr">
        <is>
          <t>PR-2203-091</t>
        </is>
      </c>
      <c r="E26" t="inlineStr">
        <is>
          <t>HVLE</t>
        </is>
      </c>
      <c r="F26" t="inlineStr">
        <is>
          <t>Cargo</t>
        </is>
      </c>
      <c r="I26">
        <f>_xlfn.NUMBERVALUE(A26)</f>
        <v/>
      </c>
    </row>
    <row r="27">
      <c r="A27" s="2" t="n">
        <v>4978715</v>
      </c>
      <c r="C27" t="n">
        <v>60</v>
      </c>
      <c r="D27" t="inlineStr">
        <is>
          <t>PR-2203-111</t>
        </is>
      </c>
      <c r="E27" t="inlineStr">
        <is>
          <t>HVLE</t>
        </is>
      </c>
      <c r="F27" t="inlineStr">
        <is>
          <t>Cargo</t>
        </is>
      </c>
      <c r="I27">
        <f>_xlfn.NUMBERVALUE(A27)</f>
        <v/>
      </c>
    </row>
    <row r="28">
      <c r="A28" s="2" t="n">
        <v>4978751</v>
      </c>
      <c r="C28" t="n">
        <v>48</v>
      </c>
      <c r="D28" t="inlineStr">
        <is>
          <t>PR-2203-015</t>
        </is>
      </c>
      <c r="E28" t="inlineStr">
        <is>
          <t>HVLE</t>
        </is>
      </c>
      <c r="F28" t="inlineStr">
        <is>
          <t>Cargo</t>
        </is>
      </c>
      <c r="I28">
        <f>_xlfn.NUMBERVALUE(A28)</f>
        <v/>
      </c>
    </row>
    <row r="29">
      <c r="A29" s="2" t="n">
        <v>4978693</v>
      </c>
      <c r="C29" t="n">
        <v>54</v>
      </c>
      <c r="D29" t="inlineStr">
        <is>
          <t>shit-1</t>
        </is>
      </c>
      <c r="F29" t="inlineStr">
        <is>
          <t>Cargo</t>
        </is>
      </c>
      <c r="I29">
        <f>_xlfn.NUMBERVALUE(A29)</f>
        <v/>
      </c>
    </row>
    <row r="30">
      <c r="A30" s="2" t="n">
        <v>4978528</v>
      </c>
      <c r="C30" t="n">
        <v>62</v>
      </c>
      <c r="D30" t="inlineStr">
        <is>
          <t>PR-2203-105</t>
        </is>
      </c>
      <c r="E30" t="inlineStr">
        <is>
          <t>HVLE</t>
        </is>
      </c>
      <c r="F30" t="inlineStr">
        <is>
          <t>Cargo</t>
        </is>
      </c>
      <c r="I30">
        <f>_xlfn.NUMBERVALUE(A30)</f>
        <v/>
      </c>
    </row>
    <row r="31">
      <c r="A31" s="2" t="n">
        <v>4978530</v>
      </c>
      <c r="C31" t="n">
        <v>84</v>
      </c>
      <c r="D31" t="inlineStr">
        <is>
          <t>PR-2203-073</t>
        </is>
      </c>
      <c r="E31" t="inlineStr">
        <is>
          <t>HVLE</t>
        </is>
      </c>
      <c r="F31" t="inlineStr">
        <is>
          <t>Cargo</t>
        </is>
      </c>
      <c r="I31">
        <f>_xlfn.NUMBERVALUE(A31)</f>
        <v/>
      </c>
    </row>
    <row r="32">
      <c r="A32" s="2" t="n">
        <v>4978698</v>
      </c>
      <c r="C32" t="n">
        <v>82</v>
      </c>
      <c r="D32" t="inlineStr">
        <is>
          <t>PR-2203-048</t>
        </is>
      </c>
      <c r="E32" t="inlineStr">
        <is>
          <t>HVLE</t>
        </is>
      </c>
      <c r="F32" t="inlineStr">
        <is>
          <t>Cargo</t>
        </is>
      </c>
      <c r="I32">
        <f>_xlfn.NUMBERVALUE(A32)</f>
        <v/>
      </c>
    </row>
    <row r="33">
      <c r="A33" s="2" t="n">
        <v>4978700</v>
      </c>
      <c r="C33" t="n">
        <v>114</v>
      </c>
      <c r="D33" t="inlineStr">
        <is>
          <t>PR-2203-052</t>
        </is>
      </c>
      <c r="E33" t="inlineStr">
        <is>
          <t>HVLE</t>
        </is>
      </c>
      <c r="F33" t="inlineStr">
        <is>
          <t>Cargo</t>
        </is>
      </c>
      <c r="I33">
        <f>_xlfn.NUMBERVALUE(A33)</f>
        <v/>
      </c>
    </row>
    <row r="34">
      <c r="A34" s="2" t="n">
        <v>4978644</v>
      </c>
      <c r="C34" t="n">
        <v>78</v>
      </c>
      <c r="D34" t="inlineStr">
        <is>
          <t>PR-2203-100</t>
        </is>
      </c>
      <c r="E34" t="inlineStr">
        <is>
          <t>HVLE</t>
        </is>
      </c>
      <c r="F34" t="inlineStr">
        <is>
          <t>Cargo</t>
        </is>
      </c>
      <c r="I34">
        <f>_xlfn.NUMBERVALUE(A34)</f>
        <v/>
      </c>
    </row>
    <row r="35">
      <c r="A35" s="2" t="n">
        <v>4978515</v>
      </c>
      <c r="C35" t="n">
        <v>96</v>
      </c>
      <c r="D35" t="inlineStr">
        <is>
          <t>shit-2</t>
        </is>
      </c>
      <c r="F35" t="inlineStr">
        <is>
          <t>Cargo</t>
        </is>
      </c>
      <c r="I35">
        <f>_xlfn.NUMBERVALUE(A35)</f>
        <v/>
      </c>
    </row>
    <row r="36">
      <c r="A36" s="2" t="n">
        <v>4978638</v>
      </c>
      <c r="C36" t="n">
        <v>118</v>
      </c>
      <c r="D36" t="inlineStr">
        <is>
          <t>PR-2203-077</t>
        </is>
      </c>
      <c r="E36" t="inlineStr">
        <is>
          <t>HVLE</t>
        </is>
      </c>
      <c r="F36" t="inlineStr">
        <is>
          <t>Cargo</t>
        </is>
      </c>
      <c r="I36">
        <f>_xlfn.NUMBERVALUE(A36)</f>
        <v/>
      </c>
    </row>
    <row r="37">
      <c r="A37" s="2" t="n">
        <v>4978618</v>
      </c>
      <c r="C37" t="n">
        <v>122</v>
      </c>
      <c r="D37" t="inlineStr">
        <is>
          <t>PR-2203-072</t>
        </is>
      </c>
      <c r="E37" t="inlineStr">
        <is>
          <t>HVLE</t>
        </is>
      </c>
      <c r="F37" t="inlineStr">
        <is>
          <t>Cargo</t>
        </is>
      </c>
      <c r="I37">
        <f>_xlfn.NUMBERVALUE(A37)</f>
        <v/>
      </c>
    </row>
    <row r="38">
      <c r="A38" s="2" t="n">
        <v>4978625</v>
      </c>
      <c r="C38" t="n">
        <v>68</v>
      </c>
      <c r="D38" t="inlineStr">
        <is>
          <t>PR-2203-034</t>
        </is>
      </c>
      <c r="E38" t="inlineStr">
        <is>
          <t>HVLE</t>
        </is>
      </c>
      <c r="F38" t="inlineStr">
        <is>
          <t>Cargo</t>
        </is>
      </c>
      <c r="I38">
        <f>_xlfn.NUMBERVALUE(A38)</f>
        <v/>
      </c>
    </row>
    <row r="39">
      <c r="A39" s="2" t="n">
        <v>4978627</v>
      </c>
      <c r="C39" t="inlineStr">
        <is>
          <t>HA-2203-422</t>
        </is>
      </c>
      <c r="D39" t="inlineStr">
        <is>
          <t>PR-2203-140</t>
        </is>
      </c>
      <c r="E39" t="inlineStr">
        <is>
          <t>GFR</t>
        </is>
      </c>
      <c r="F39" t="inlineStr">
        <is>
          <t>Cargo</t>
        </is>
      </c>
      <c r="I39">
        <f>_xlfn.NUMBERVALUE(A39)</f>
        <v/>
      </c>
    </row>
    <row r="40">
      <c r="A40" s="2" t="n">
        <v>4978513</v>
      </c>
      <c r="C40" t="n">
        <v>100</v>
      </c>
      <c r="D40" t="inlineStr">
        <is>
          <t>PR-2203-050</t>
        </is>
      </c>
      <c r="E40" t="inlineStr">
        <is>
          <t>HVLE</t>
        </is>
      </c>
      <c r="F40" t="inlineStr">
        <is>
          <t>Cargo</t>
        </is>
      </c>
      <c r="I40">
        <f>_xlfn.NUMBERVALUE(A40)</f>
        <v/>
      </c>
    </row>
    <row r="41">
      <c r="A41" s="2" t="n">
        <v>4978681</v>
      </c>
      <c r="C41" t="n">
        <v>116</v>
      </c>
      <c r="D41" t="inlineStr">
        <is>
          <t>PR-2203-088</t>
        </is>
      </c>
      <c r="E41" t="inlineStr">
        <is>
          <t>HVLE</t>
        </is>
      </c>
      <c r="F41" t="inlineStr">
        <is>
          <t>Cargo</t>
        </is>
      </c>
      <c r="I41">
        <f>_xlfn.NUMBERVALUE(A41)</f>
        <v/>
      </c>
    </row>
    <row r="42">
      <c r="A42" s="2" t="n">
        <v>4978704</v>
      </c>
      <c r="C42" t="n">
        <v>106</v>
      </c>
      <c r="D42" t="inlineStr">
        <is>
          <t>PR-2203-078</t>
        </is>
      </c>
      <c r="E42" t="inlineStr">
        <is>
          <t>HVLE</t>
        </is>
      </c>
      <c r="F42" t="inlineStr">
        <is>
          <t>Cargo</t>
        </is>
      </c>
      <c r="I42">
        <f>_xlfn.NUMBERVALUE(A42)</f>
        <v/>
      </c>
    </row>
    <row r="43">
      <c r="A43" s="2" t="n">
        <v>4978563</v>
      </c>
      <c r="C43" t="n">
        <v>112</v>
      </c>
      <c r="D43" t="inlineStr">
        <is>
          <t>PR-2203-005</t>
        </is>
      </c>
      <c r="E43" t="inlineStr">
        <is>
          <t>HVLE</t>
        </is>
      </c>
      <c r="F43" t="inlineStr">
        <is>
          <t>Cargo</t>
        </is>
      </c>
      <c r="I43">
        <f>_xlfn.NUMBERVALUE(A43)</f>
        <v/>
      </c>
    </row>
    <row r="44">
      <c r="A44" s="2" t="n">
        <v>4978553</v>
      </c>
      <c r="C44" t="n">
        <v>110</v>
      </c>
      <c r="D44" t="inlineStr">
        <is>
          <t>PR-2203-017</t>
        </is>
      </c>
      <c r="E44" t="inlineStr">
        <is>
          <t>HVLE</t>
        </is>
      </c>
      <c r="F44" t="inlineStr">
        <is>
          <t>Cargo</t>
        </is>
      </c>
      <c r="I44">
        <f>_xlfn.NUMBERVALUE(A44)</f>
        <v/>
      </c>
    </row>
    <row r="45">
      <c r="A45" s="2" t="n">
        <v>4978554</v>
      </c>
      <c r="C45" t="n">
        <v>72</v>
      </c>
      <c r="D45" t="inlineStr">
        <is>
          <t>PR-2203-074</t>
        </is>
      </c>
      <c r="E45" t="inlineStr">
        <is>
          <t>HVLE</t>
        </is>
      </c>
      <c r="F45" t="inlineStr">
        <is>
          <t>Cargo</t>
        </is>
      </c>
      <c r="I45">
        <f>_xlfn.NUMBERVALUE(A45)</f>
        <v/>
      </c>
    </row>
    <row r="46">
      <c r="A46" s="2" t="n">
        <v>4978640</v>
      </c>
      <c r="C46" t="n">
        <v>94</v>
      </c>
      <c r="D46" t="inlineStr">
        <is>
          <t>PR-2203-035</t>
        </is>
      </c>
      <c r="E46" t="inlineStr">
        <is>
          <t>HVLE</t>
        </is>
      </c>
      <c r="F46" t="inlineStr">
        <is>
          <t>Cargo</t>
        </is>
      </c>
      <c r="I46">
        <f>_xlfn.NUMBERVALUE(A46)</f>
        <v/>
      </c>
    </row>
    <row r="47">
      <c r="A47" s="2" t="n">
        <v>4978449</v>
      </c>
      <c r="C47" t="n">
        <v>70</v>
      </c>
      <c r="D47" t="inlineStr">
        <is>
          <t>PR-2203-094</t>
        </is>
      </c>
      <c r="E47" s="20" t="inlineStr">
        <is>
          <t>SGL</t>
        </is>
      </c>
      <c r="F47" t="inlineStr">
        <is>
          <t>Link</t>
        </is>
      </c>
      <c r="I47">
        <f>_xlfn.NUMBERVALUE(A47)</f>
        <v/>
      </c>
    </row>
    <row r="48">
      <c r="A48" s="2" t="n">
        <v>4978436</v>
      </c>
      <c r="C48" t="n">
        <v>90</v>
      </c>
      <c r="D48" t="inlineStr">
        <is>
          <t>PR-2203-045</t>
        </is>
      </c>
      <c r="E48" s="20" t="inlineStr">
        <is>
          <t>SGL</t>
        </is>
      </c>
      <c r="F48" t="inlineStr">
        <is>
          <t>Link</t>
        </is>
      </c>
      <c r="I48">
        <f>_xlfn.NUMBERVALUE(A48)</f>
        <v/>
      </c>
    </row>
    <row r="49">
      <c r="A49" s="2" t="n">
        <v>4978445</v>
      </c>
      <c r="C49" t="n">
        <v>76</v>
      </c>
      <c r="D49" t="inlineStr">
        <is>
          <t>PR-2203-049</t>
        </is>
      </c>
      <c r="E49" s="20" t="inlineStr">
        <is>
          <t>SGL</t>
        </is>
      </c>
      <c r="F49" t="inlineStr">
        <is>
          <t>Link</t>
        </is>
      </c>
      <c r="I49">
        <f>_xlfn.NUMBERVALUE(A49)</f>
        <v/>
      </c>
    </row>
    <row r="50">
      <c r="A50" s="2" t="n">
        <v>4978443</v>
      </c>
      <c r="C50" t="n">
        <v>92</v>
      </c>
      <c r="D50" t="inlineStr">
        <is>
          <t>PR-2203-041</t>
        </is>
      </c>
      <c r="E50" s="20" t="inlineStr">
        <is>
          <t>SGL</t>
        </is>
      </c>
      <c r="F50" t="inlineStr">
        <is>
          <t>Link</t>
        </is>
      </c>
      <c r="I50">
        <f>_xlfn.NUMBERVALUE(A50)</f>
        <v/>
      </c>
    </row>
    <row r="51">
      <c r="A51" s="2" t="n">
        <v>4978707</v>
      </c>
      <c r="C51" t="n">
        <v>88</v>
      </c>
      <c r="D51" t="inlineStr">
        <is>
          <t>PR-2203-079</t>
        </is>
      </c>
      <c r="E51" t="inlineStr">
        <is>
          <t>HVLE</t>
        </is>
      </c>
      <c r="F51" t="inlineStr">
        <is>
          <t>Cargo</t>
        </is>
      </c>
      <c r="I51">
        <f>_xlfn.NUMBERVALUE(A51)</f>
        <v/>
      </c>
    </row>
    <row r="52">
      <c r="A52" s="2" t="n">
        <v>4978624</v>
      </c>
      <c r="C52" t="n">
        <v>108</v>
      </c>
      <c r="D52" t="inlineStr">
        <is>
          <t>PR-2203-031</t>
        </is>
      </c>
      <c r="E52" t="inlineStr">
        <is>
          <t>HVLE</t>
        </is>
      </c>
      <c r="F52" t="inlineStr">
        <is>
          <t>Cargo</t>
        </is>
      </c>
      <c r="I52">
        <f>_xlfn.NUMBERVALUE(A52)</f>
        <v/>
      </c>
    </row>
    <row r="53">
      <c r="A53" s="2" t="n">
        <v>4978551</v>
      </c>
      <c r="C53" t="n">
        <v>102</v>
      </c>
      <c r="D53" t="inlineStr">
        <is>
          <t>PR-2203-002</t>
        </is>
      </c>
      <c r="E53" t="inlineStr">
        <is>
          <t>HVLE</t>
        </is>
      </c>
      <c r="F53" t="inlineStr">
        <is>
          <t>Cargo</t>
        </is>
      </c>
      <c r="I53">
        <f>_xlfn.NUMBERVALUE(A53)</f>
        <v/>
      </c>
    </row>
    <row r="54">
      <c r="A54" s="2" t="n">
        <v>4978883</v>
      </c>
      <c r="C54" t="n">
        <v>2</v>
      </c>
      <c r="D54" s="2" t="inlineStr">
        <is>
          <t>PR-2203-080</t>
        </is>
      </c>
      <c r="E54" t="inlineStr">
        <is>
          <t>HVLE</t>
        </is>
      </c>
      <c r="F54" t="inlineStr">
        <is>
          <t>Cargo</t>
        </is>
      </c>
      <c r="I54">
        <f>_xlfn.NUMBERVALUE(A54)</f>
        <v/>
      </c>
    </row>
    <row r="55">
      <c r="A55" s="2" t="n">
        <v>4978642</v>
      </c>
      <c r="C55" t="n">
        <v>98</v>
      </c>
      <c r="D55" t="inlineStr">
        <is>
          <t>PR-2203-103</t>
        </is>
      </c>
      <c r="E55" t="inlineStr">
        <is>
          <t>HVLE</t>
        </is>
      </c>
      <c r="F55" t="inlineStr">
        <is>
          <t>Cargo</t>
        </is>
      </c>
      <c r="I55">
        <f>_xlfn.NUMBERVALUE(A55)</f>
        <v/>
      </c>
    </row>
    <row r="56">
      <c r="A56" s="2" t="n">
        <v>4978703</v>
      </c>
      <c r="C56" t="n">
        <v>126</v>
      </c>
      <c r="D56" t="inlineStr">
        <is>
          <t>PR-2203-010</t>
        </is>
      </c>
      <c r="E56" t="inlineStr">
        <is>
          <t>HVLE</t>
        </is>
      </c>
      <c r="F56" t="inlineStr">
        <is>
          <t>Cargo</t>
        </is>
      </c>
      <c r="I56">
        <f>_xlfn.NUMBERVALUE(A56)</f>
        <v/>
      </c>
    </row>
    <row r="57">
      <c r="A57" s="2" t="n">
        <v>4978548</v>
      </c>
      <c r="C57" t="n">
        <v>124</v>
      </c>
      <c r="D57" t="inlineStr">
        <is>
          <t>PR-2203-070</t>
        </is>
      </c>
      <c r="E57" t="inlineStr">
        <is>
          <t>HVLE</t>
        </is>
      </c>
      <c r="F57" t="inlineStr">
        <is>
          <t>Cargo</t>
        </is>
      </c>
      <c r="I57">
        <f>_xlfn.NUMBERVALUE(A57)</f>
        <v/>
      </c>
    </row>
    <row r="58">
      <c r="A58" s="2" t="n">
        <v>4978560</v>
      </c>
      <c r="C58" t="n">
        <v>15</v>
      </c>
      <c r="D58" t="inlineStr">
        <is>
          <t>PR-2203-044</t>
        </is>
      </c>
      <c r="E58" t="inlineStr">
        <is>
          <t>HVLE</t>
        </is>
      </c>
      <c r="F58" t="inlineStr">
        <is>
          <t>Cargo</t>
        </is>
      </c>
      <c r="I58">
        <f>_xlfn.NUMBERVALUE(A58)</f>
        <v/>
      </c>
    </row>
    <row r="59">
      <c r="A59" s="2" t="n">
        <v>4978757</v>
      </c>
      <c r="C59" t="n">
        <v>9</v>
      </c>
      <c r="D59" t="inlineStr">
        <is>
          <t>PR-2203-096</t>
        </is>
      </c>
      <c r="E59" t="inlineStr">
        <is>
          <t>HVLE</t>
        </is>
      </c>
      <c r="F59" t="inlineStr">
        <is>
          <t>Cargo</t>
        </is>
      </c>
      <c r="I59">
        <f>_xlfn.NUMBERVALUE(A59)</f>
        <v/>
      </c>
    </row>
    <row r="60">
      <c r="A60" s="2" t="n">
        <v>4978678</v>
      </c>
      <c r="C60" t="n">
        <v>3</v>
      </c>
      <c r="D60" t="inlineStr">
        <is>
          <t>PR-2203-051</t>
        </is>
      </c>
      <c r="E60" t="inlineStr">
        <is>
          <t>HVLE</t>
        </is>
      </c>
      <c r="F60" t="inlineStr">
        <is>
          <t>Cargo</t>
        </is>
      </c>
      <c r="I60">
        <f>_xlfn.NUMBERVALUE(A60)</f>
        <v/>
      </c>
    </row>
    <row r="61">
      <c r="A61" s="2" t="n">
        <v>4978643</v>
      </c>
      <c r="C61" t="n">
        <v>27</v>
      </c>
      <c r="D61" t="inlineStr">
        <is>
          <t>PR-2203-090</t>
        </is>
      </c>
      <c r="E61" t="inlineStr">
        <is>
          <t>HVLE</t>
        </is>
      </c>
      <c r="F61" t="inlineStr">
        <is>
          <t>Cargo</t>
        </is>
      </c>
      <c r="I61">
        <f>_xlfn.NUMBERVALUE(A61)</f>
        <v/>
      </c>
    </row>
    <row r="62">
      <c r="A62" s="2" t="n">
        <v>4978564</v>
      </c>
      <c r="C62" t="n">
        <v>11</v>
      </c>
      <c r="D62" t="inlineStr">
        <is>
          <t>PR-2203-086</t>
        </is>
      </c>
      <c r="E62" t="inlineStr">
        <is>
          <t>HVLE</t>
        </is>
      </c>
      <c r="F62" t="inlineStr">
        <is>
          <t>Cargo</t>
        </is>
      </c>
      <c r="I62">
        <f>_xlfn.NUMBERVALUE(A62)</f>
        <v/>
      </c>
    </row>
    <row r="63">
      <c r="A63" s="2" t="n">
        <v>4978514</v>
      </c>
      <c r="C63" t="n">
        <v>5</v>
      </c>
      <c r="D63" t="inlineStr">
        <is>
          <t>PR-2203-069</t>
        </is>
      </c>
      <c r="E63" t="inlineStr">
        <is>
          <t>HVLE</t>
        </is>
      </c>
      <c r="F63" t="inlineStr">
        <is>
          <t>Cargo</t>
        </is>
      </c>
      <c r="I63">
        <f>_xlfn.NUMBERVALUE(A63)</f>
        <v/>
      </c>
    </row>
    <row r="64">
      <c r="A64" s="2" t="n">
        <v>4978900</v>
      </c>
      <c r="C64" t="n">
        <v>33</v>
      </c>
      <c r="D64" t="inlineStr">
        <is>
          <t>PR-2203-083</t>
        </is>
      </c>
      <c r="E64" t="inlineStr">
        <is>
          <t>HVLE</t>
        </is>
      </c>
      <c r="F64" t="inlineStr">
        <is>
          <t>Cargo</t>
        </is>
      </c>
      <c r="I64">
        <f>_xlfn.NUMBERVALUE(A64)</f>
        <v/>
      </c>
    </row>
    <row r="65">
      <c r="A65" s="2" t="n">
        <v>4978694</v>
      </c>
      <c r="C65" t="n">
        <v>41</v>
      </c>
      <c r="D65" t="inlineStr">
        <is>
          <t>PR-2203-102</t>
        </is>
      </c>
      <c r="E65" t="inlineStr">
        <is>
          <t>HVLE</t>
        </is>
      </c>
      <c r="F65" t="inlineStr">
        <is>
          <t>Cargo</t>
        </is>
      </c>
      <c r="I65">
        <f>_xlfn.NUMBERVALUE(A65)</f>
        <v/>
      </c>
    </row>
    <row r="66">
      <c r="A66" s="2" t="n">
        <v>4978532</v>
      </c>
      <c r="C66" t="n">
        <v>55</v>
      </c>
      <c r="D66" t="inlineStr">
        <is>
          <t>PR-2203-092</t>
        </is>
      </c>
      <c r="E66" t="inlineStr">
        <is>
          <t>HVLE</t>
        </is>
      </c>
      <c r="F66" t="inlineStr">
        <is>
          <t>Cargo</t>
        </is>
      </c>
      <c r="I66">
        <f>_xlfn.NUMBERVALUE(A66)</f>
        <v/>
      </c>
    </row>
    <row r="67">
      <c r="A67" s="2" t="n">
        <v>4978712</v>
      </c>
      <c r="C67" t="n">
        <v>53</v>
      </c>
      <c r="D67" t="inlineStr">
        <is>
          <t>PR-2203-016</t>
        </is>
      </c>
      <c r="E67" t="inlineStr">
        <is>
          <t>HVLE</t>
        </is>
      </c>
      <c r="F67" t="inlineStr">
        <is>
          <t>Cargo</t>
        </is>
      </c>
      <c r="I67">
        <f>_xlfn.NUMBERVALUE(A67)</f>
        <v/>
      </c>
    </row>
    <row r="68">
      <c r="A68" s="2" t="n">
        <v>4978699</v>
      </c>
      <c r="C68" t="n">
        <v>59</v>
      </c>
      <c r="D68" t="inlineStr">
        <is>
          <t>PR-2203-014</t>
        </is>
      </c>
      <c r="E68" t="inlineStr">
        <is>
          <t>HVLE</t>
        </is>
      </c>
      <c r="F68" t="inlineStr">
        <is>
          <t>Cargo</t>
        </is>
      </c>
      <c r="I68">
        <f>_xlfn.NUMBERVALUE(A68)</f>
        <v/>
      </c>
    </row>
    <row r="69">
      <c r="A69" s="2" t="n">
        <v>4978899</v>
      </c>
      <c r="C69" t="n">
        <v>19</v>
      </c>
      <c r="D69" t="inlineStr">
        <is>
          <t>PR-2203-082</t>
        </is>
      </c>
      <c r="E69" t="inlineStr">
        <is>
          <t>HVLE</t>
        </is>
      </c>
      <c r="F69" t="inlineStr">
        <is>
          <t>Cargo</t>
        </is>
      </c>
      <c r="I69">
        <f>_xlfn.NUMBERVALUE(A69)</f>
        <v/>
      </c>
    </row>
    <row r="70">
      <c r="A70" s="2" t="n">
        <v>4978689</v>
      </c>
      <c r="C70" t="n">
        <v>39</v>
      </c>
      <c r="D70" t="inlineStr">
        <is>
          <t>PR-2203-098</t>
        </is>
      </c>
      <c r="E70" t="inlineStr">
        <is>
          <t>HVLE</t>
        </is>
      </c>
      <c r="F70" t="inlineStr">
        <is>
          <t>Cargo</t>
        </is>
      </c>
      <c r="I70">
        <f>_xlfn.NUMBERVALUE(A70)</f>
        <v/>
      </c>
    </row>
    <row r="71">
      <c r="A71" s="2" t="n">
        <v>4978888</v>
      </c>
      <c r="C71" t="n">
        <v>13</v>
      </c>
      <c r="D71" t="inlineStr">
        <is>
          <t>PR-2203-071</t>
        </is>
      </c>
      <c r="E71" t="inlineStr">
        <is>
          <t>HVLE</t>
        </is>
      </c>
      <c r="F71" t="inlineStr">
        <is>
          <t>Cargo</t>
        </is>
      </c>
      <c r="I71">
        <f>_xlfn.NUMBERVALUE(A71)</f>
        <v/>
      </c>
    </row>
    <row r="72">
      <c r="A72" s="2" t="n">
        <v>4978882</v>
      </c>
      <c r="C72" t="n">
        <v>1</v>
      </c>
      <c r="D72" t="inlineStr">
        <is>
          <t>PR-2203-007</t>
        </is>
      </c>
      <c r="E72" t="inlineStr">
        <is>
          <t>HVLE</t>
        </is>
      </c>
      <c r="F72" t="inlineStr">
        <is>
          <t>Cargo</t>
        </is>
      </c>
      <c r="I72">
        <f>_xlfn.NUMBERVALUE(A72)</f>
        <v/>
      </c>
    </row>
    <row r="73">
      <c r="A73" s="2" t="n">
        <v>4978709</v>
      </c>
      <c r="C73" t="n">
        <v>7</v>
      </c>
      <c r="D73" t="inlineStr">
        <is>
          <t>PR-2203-109</t>
        </is>
      </c>
      <c r="E73" t="inlineStr">
        <is>
          <t>HVLE</t>
        </is>
      </c>
      <c r="F73" t="inlineStr">
        <is>
          <t>Cargo</t>
        </is>
      </c>
      <c r="I73">
        <f>_xlfn.NUMBERVALUE(A73)</f>
        <v/>
      </c>
    </row>
    <row r="74">
      <c r="A74" s="2" t="n">
        <v>4978706</v>
      </c>
      <c r="C74" t="n">
        <v>29</v>
      </c>
      <c r="D74" t="inlineStr">
        <is>
          <t>PR-2203-097</t>
        </is>
      </c>
      <c r="E74" t="inlineStr">
        <is>
          <t>HVLE</t>
        </is>
      </c>
      <c r="F74" t="inlineStr">
        <is>
          <t>Cargo</t>
        </is>
      </c>
      <c r="I74">
        <f>_xlfn.NUMBERVALUE(A74)</f>
        <v/>
      </c>
    </row>
    <row r="75">
      <c r="A75" s="2" t="n">
        <v>4978891</v>
      </c>
      <c r="C75" t="n">
        <v>63</v>
      </c>
      <c r="D75" t="inlineStr">
        <is>
          <t>PR-2203-047</t>
        </is>
      </c>
      <c r="E75" t="inlineStr">
        <is>
          <t>HVLE</t>
        </is>
      </c>
      <c r="F75" t="inlineStr">
        <is>
          <t>Cargo</t>
        </is>
      </c>
      <c r="I75">
        <f>_xlfn.NUMBERVALUE(A75)</f>
        <v/>
      </c>
    </row>
    <row r="76">
      <c r="A76" s="2" t="n">
        <v>4978721</v>
      </c>
      <c r="C76" t="n">
        <v>61</v>
      </c>
      <c r="D76" t="inlineStr">
        <is>
          <t>PR-2203-011</t>
        </is>
      </c>
      <c r="E76" t="inlineStr">
        <is>
          <t>HVLE</t>
        </is>
      </c>
      <c r="F76" t="inlineStr">
        <is>
          <t>Cargo</t>
        </is>
      </c>
      <c r="I76">
        <f>_xlfn.NUMBERVALUE(A76)</f>
        <v/>
      </c>
    </row>
    <row r="77">
      <c r="A77" s="2" t="n">
        <v>4978691</v>
      </c>
      <c r="C77" t="n">
        <v>43</v>
      </c>
      <c r="D77" t="inlineStr">
        <is>
          <t>PR-2203-089</t>
        </is>
      </c>
      <c r="E77" t="inlineStr">
        <is>
          <t>HVLE</t>
        </is>
      </c>
      <c r="F77" t="inlineStr">
        <is>
          <t>Cargo</t>
        </is>
      </c>
      <c r="I77">
        <f>_xlfn.NUMBERVALUE(A77)</f>
        <v/>
      </c>
    </row>
    <row r="78">
      <c r="A78" s="2" t="n">
        <v>4978697</v>
      </c>
      <c r="C78" t="n">
        <v>57</v>
      </c>
      <c r="D78" t="inlineStr">
        <is>
          <t>PR-2203-006</t>
        </is>
      </c>
      <c r="E78" t="inlineStr">
        <is>
          <t>HVLE</t>
        </is>
      </c>
      <c r="F78" t="inlineStr">
        <is>
          <t>Cargo</t>
        </is>
      </c>
      <c r="I78">
        <f>_xlfn.NUMBERVALUE(A78)</f>
        <v/>
      </c>
    </row>
    <row r="79">
      <c r="A79" s="2" t="n">
        <v>4978879</v>
      </c>
      <c r="C79" t="n">
        <v>17</v>
      </c>
      <c r="D79" t="inlineStr">
        <is>
          <t>PR-2203-004</t>
        </is>
      </c>
      <c r="E79" t="inlineStr">
        <is>
          <t>HVLE</t>
        </is>
      </c>
      <c r="F79" t="inlineStr">
        <is>
          <t>Cargo</t>
        </is>
      </c>
      <c r="I79">
        <f>_xlfn.NUMBERVALUE(A79)</f>
        <v/>
      </c>
    </row>
    <row r="80">
      <c r="A80" s="2" t="n">
        <v>4978754</v>
      </c>
      <c r="C80" t="n">
        <v>21</v>
      </c>
      <c r="D80" t="inlineStr">
        <is>
          <t>PR-2203-053</t>
        </is>
      </c>
      <c r="E80" t="inlineStr">
        <is>
          <t>HVLE</t>
        </is>
      </c>
      <c r="F80" t="inlineStr">
        <is>
          <t>Cargo</t>
        </is>
      </c>
      <c r="I80">
        <f>_xlfn.NUMBERVALUE(A80)</f>
        <v/>
      </c>
    </row>
    <row r="81">
      <c r="A81" s="2" t="n">
        <v>4978687</v>
      </c>
      <c r="C81" t="n">
        <v>35</v>
      </c>
      <c r="D81" t="inlineStr">
        <is>
          <t>PR-2203-027</t>
        </is>
      </c>
      <c r="E81" t="inlineStr">
        <is>
          <t>HVLE</t>
        </is>
      </c>
      <c r="F81" t="inlineStr">
        <is>
          <t>Cargo</t>
        </is>
      </c>
      <c r="I81">
        <f>_xlfn.NUMBERVALUE(A81)</f>
        <v/>
      </c>
    </row>
    <row r="82">
      <c r="A82" s="2" t="n">
        <v>4978686</v>
      </c>
      <c r="C82" t="n">
        <v>67</v>
      </c>
      <c r="D82" t="inlineStr">
        <is>
          <t>PR-2203-055</t>
        </is>
      </c>
      <c r="E82" t="inlineStr">
        <is>
          <t>HVLE</t>
        </is>
      </c>
      <c r="F82" t="inlineStr">
        <is>
          <t>Cargo</t>
        </is>
      </c>
      <c r="I82">
        <f>_xlfn.NUMBERVALUE(A82)</f>
        <v/>
      </c>
    </row>
    <row r="83">
      <c r="A83" s="2" t="n">
        <v>4978556</v>
      </c>
      <c r="C83" t="n">
        <v>51</v>
      </c>
      <c r="D83" t="inlineStr">
        <is>
          <t>PR-2203-081</t>
        </is>
      </c>
      <c r="E83" t="inlineStr">
        <is>
          <t>HVLE</t>
        </is>
      </c>
      <c r="F83" t="inlineStr">
        <is>
          <t>Cargo</t>
        </is>
      </c>
      <c r="I83">
        <f>_xlfn.NUMBERVALUE(A83)</f>
        <v/>
      </c>
    </row>
    <row r="84">
      <c r="A84" s="2" t="n">
        <v>4978886</v>
      </c>
      <c r="C84" t="n">
        <v>37</v>
      </c>
      <c r="D84" t="inlineStr">
        <is>
          <t>PR-2203-028</t>
        </is>
      </c>
      <c r="E84" t="inlineStr">
        <is>
          <t>HVLE</t>
        </is>
      </c>
      <c r="F84" t="inlineStr">
        <is>
          <t>Cargo</t>
        </is>
      </c>
      <c r="I84">
        <f>_xlfn.NUMBERVALUE(A84)</f>
        <v/>
      </c>
    </row>
    <row r="85">
      <c r="A85" s="2" t="n">
        <v>4978719</v>
      </c>
      <c r="C85" t="n">
        <v>45</v>
      </c>
      <c r="D85" t="inlineStr">
        <is>
          <t>PR-2203-023</t>
        </is>
      </c>
      <c r="E85" t="inlineStr">
        <is>
          <t>HVLE</t>
        </is>
      </c>
      <c r="F85" t="inlineStr">
        <is>
          <t>Cargo</t>
        </is>
      </c>
      <c r="I85">
        <f>_xlfn.NUMBERVALUE(A85)</f>
        <v/>
      </c>
    </row>
    <row r="86">
      <c r="A86" s="2" t="n">
        <v>4978679</v>
      </c>
      <c r="C86" t="n">
        <v>47</v>
      </c>
      <c r="D86" t="inlineStr">
        <is>
          <t>PR-2203-040</t>
        </is>
      </c>
      <c r="E86" t="inlineStr">
        <is>
          <t>HVLE</t>
        </is>
      </c>
      <c r="F86" t="inlineStr">
        <is>
          <t>Cargo</t>
        </is>
      </c>
      <c r="I86">
        <f>_xlfn.NUMBERVALUE(A86)</f>
        <v/>
      </c>
    </row>
    <row r="87">
      <c r="A87" s="2" t="n">
        <v>4978549</v>
      </c>
      <c r="C87" t="n">
        <v>49</v>
      </c>
      <c r="D87" t="inlineStr">
        <is>
          <t>PR-2203-012</t>
        </is>
      </c>
      <c r="E87" t="inlineStr">
        <is>
          <t>HVLE</t>
        </is>
      </c>
      <c r="F87" t="inlineStr">
        <is>
          <t>Cargo</t>
        </is>
      </c>
      <c r="I87">
        <f>_xlfn.NUMBERVALUE(A87)</f>
        <v/>
      </c>
    </row>
    <row r="88">
      <c r="A88" s="2" t="n">
        <v>4978727</v>
      </c>
      <c r="C88" t="n">
        <v>69</v>
      </c>
      <c r="D88" t="inlineStr">
        <is>
          <t>PR-2203-013</t>
        </is>
      </c>
      <c r="E88" t="inlineStr">
        <is>
          <t>HVLE</t>
        </is>
      </c>
      <c r="F88" t="inlineStr">
        <is>
          <t>Cargo</t>
        </is>
      </c>
      <c r="I88">
        <f>_xlfn.NUMBERVALUE(A88)</f>
        <v/>
      </c>
    </row>
    <row r="89">
      <c r="A89" s="2" t="n">
        <v>4978753</v>
      </c>
      <c r="C89" t="n">
        <v>65</v>
      </c>
      <c r="D89" t="inlineStr">
        <is>
          <t>PR-2203-076</t>
        </is>
      </c>
      <c r="E89" t="inlineStr">
        <is>
          <t>HVLE</t>
        </is>
      </c>
      <c r="F89" t="inlineStr">
        <is>
          <t>Cargo</t>
        </is>
      </c>
      <c r="I89">
        <f>_xlfn.NUMBERVALUE(A89)</f>
        <v/>
      </c>
    </row>
    <row r="90">
      <c r="A90" s="2" t="n">
        <v>4978830</v>
      </c>
      <c r="C90" t="inlineStr">
        <is>
          <t>HA-2203-247</t>
        </is>
      </c>
      <c r="D90" t="inlineStr">
        <is>
          <t>PR-2203-008</t>
        </is>
      </c>
      <c r="E90" t="inlineStr">
        <is>
          <t>PACIFIC</t>
        </is>
      </c>
      <c r="F90" t="inlineStr">
        <is>
          <t>Cargo</t>
        </is>
      </c>
      <c r="I90">
        <f>_xlfn.NUMBERVALUE(A90)</f>
        <v/>
      </c>
    </row>
    <row r="91">
      <c r="A91" s="2" t="n">
        <v>4978671</v>
      </c>
      <c r="C91" t="inlineStr">
        <is>
          <t>HA-2203-239</t>
        </is>
      </c>
      <c r="D91" t="inlineStr">
        <is>
          <t>PR-2203-036</t>
        </is>
      </c>
      <c r="E91" t="inlineStr">
        <is>
          <t>PACIFIC</t>
        </is>
      </c>
      <c r="F91" t="inlineStr">
        <is>
          <t>Cargo</t>
        </is>
      </c>
      <c r="I91">
        <f>_xlfn.NUMBERVALUE(A91)</f>
        <v/>
      </c>
    </row>
    <row r="92">
      <c r="A92" s="2" t="n">
        <v>4978621</v>
      </c>
      <c r="C92" t="inlineStr">
        <is>
          <t>HA-2203-267</t>
        </is>
      </c>
      <c r="D92" t="inlineStr">
        <is>
          <t>PR-2203-026</t>
        </is>
      </c>
      <c r="E92" t="inlineStr">
        <is>
          <t>PACIFIC</t>
        </is>
      </c>
      <c r="F92" t="inlineStr">
        <is>
          <t>Cargo</t>
        </is>
      </c>
      <c r="I92">
        <f>_xlfn.NUMBERVALUE(A92)</f>
        <v/>
      </c>
    </row>
    <row r="93">
      <c r="A93" s="2" t="n">
        <v>4978631</v>
      </c>
      <c r="C93" t="inlineStr">
        <is>
          <t>HA-2203-243</t>
        </is>
      </c>
      <c r="D93" t="inlineStr">
        <is>
          <t>PR-2203-058</t>
        </is>
      </c>
      <c r="E93" t="inlineStr">
        <is>
          <t>PACIFIC</t>
        </is>
      </c>
      <c r="F93" t="inlineStr">
        <is>
          <t>Cargo</t>
        </is>
      </c>
      <c r="I93">
        <f>_xlfn.NUMBERVALUE(A93)</f>
        <v/>
      </c>
    </row>
    <row r="94">
      <c r="A94" s="2" t="n">
        <v>4978659</v>
      </c>
      <c r="C94" t="inlineStr">
        <is>
          <t>HA-2203-209</t>
        </is>
      </c>
      <c r="D94" t="inlineStr">
        <is>
          <t>PR-2203-055dup</t>
        </is>
      </c>
      <c r="E94" t="inlineStr">
        <is>
          <t>PACIFIC</t>
        </is>
      </c>
      <c r="F94" t="inlineStr">
        <is>
          <t>Cargo</t>
        </is>
      </c>
      <c r="I94">
        <f>_xlfn.NUMBERVALUE(A94)</f>
        <v/>
      </c>
    </row>
    <row r="95">
      <c r="A95" s="2" t="n">
        <v>4978729</v>
      </c>
      <c r="C95" t="inlineStr">
        <is>
          <t>HA-2203-245</t>
        </is>
      </c>
      <c r="D95" t="inlineStr">
        <is>
          <t>PR-2203-022</t>
        </is>
      </c>
      <c r="E95" t="inlineStr">
        <is>
          <t>PACIFIC</t>
        </is>
      </c>
      <c r="F95" t="inlineStr">
        <is>
          <t>Cargo</t>
        </is>
      </c>
      <c r="I95">
        <f>_xlfn.NUMBERVALUE(A95)</f>
        <v/>
      </c>
    </row>
    <row r="96">
      <c r="A96" s="2" t="n">
        <v>4978735</v>
      </c>
      <c r="C96" t="inlineStr">
        <is>
          <t>HA-2203-275</t>
        </is>
      </c>
      <c r="D96" t="inlineStr">
        <is>
          <t>PR-2203-099</t>
        </is>
      </c>
      <c r="E96" t="inlineStr">
        <is>
          <t>PACIFIC</t>
        </is>
      </c>
      <c r="F96" t="inlineStr">
        <is>
          <t>Cargo</t>
        </is>
      </c>
      <c r="I96">
        <f>_xlfn.NUMBERVALUE(A96)</f>
        <v/>
      </c>
    </row>
    <row r="97">
      <c r="A97" s="2" t="n">
        <v>4978835</v>
      </c>
      <c r="C97" t="inlineStr">
        <is>
          <t>HA-2203-271</t>
        </is>
      </c>
      <c r="D97" t="inlineStr">
        <is>
          <t>PR-2203-032</t>
        </is>
      </c>
      <c r="E97" t="inlineStr">
        <is>
          <t>PACIFIC</t>
        </is>
      </c>
      <c r="F97" t="inlineStr">
        <is>
          <t>Cargo</t>
        </is>
      </c>
      <c r="I97">
        <f>_xlfn.NUMBERVALUE(A97)</f>
        <v/>
      </c>
    </row>
    <row r="98">
      <c r="A98" s="2" t="n">
        <v>4978628</v>
      </c>
      <c r="C98" t="inlineStr">
        <is>
          <t>HA-2203-265</t>
        </is>
      </c>
      <c r="D98" t="inlineStr">
        <is>
          <t>PR-2203-038</t>
        </is>
      </c>
      <c r="E98" t="inlineStr">
        <is>
          <t>PACIFIC</t>
        </is>
      </c>
      <c r="F98" t="inlineStr">
        <is>
          <t>Cargo</t>
        </is>
      </c>
      <c r="I98">
        <f>_xlfn.NUMBERVALUE(A98)</f>
        <v/>
      </c>
    </row>
    <row r="99">
      <c r="A99" s="2" t="n">
        <v>4978534</v>
      </c>
      <c r="C99" t="inlineStr">
        <is>
          <t>HA-2203-269</t>
        </is>
      </c>
      <c r="D99" t="inlineStr">
        <is>
          <t>PR-2203-021</t>
        </is>
      </c>
      <c r="E99" t="inlineStr">
        <is>
          <t>PACIFIC</t>
        </is>
      </c>
      <c r="F99" t="inlineStr">
        <is>
          <t>Cargo</t>
        </is>
      </c>
      <c r="I99">
        <f>_xlfn.NUMBERVALUE(A99)</f>
        <v/>
      </c>
    </row>
    <row r="100">
      <c r="A100" s="2" t="n">
        <v>4978767</v>
      </c>
      <c r="C100" t="inlineStr">
        <is>
          <t>HA-2203-249</t>
        </is>
      </c>
      <c r="D100" t="inlineStr">
        <is>
          <t>PR-2203-417</t>
        </is>
      </c>
      <c r="E100" t="inlineStr">
        <is>
          <t>PACIFIC</t>
        </is>
      </c>
      <c r="F100" t="inlineStr">
        <is>
          <t>Cargo</t>
        </is>
      </c>
      <c r="I100">
        <f>_xlfn.NUMBERVALUE(A100)</f>
        <v/>
      </c>
    </row>
    <row r="101">
      <c r="A101" s="2" t="n">
        <v>4978774</v>
      </c>
      <c r="C101" t="inlineStr">
        <is>
          <t>HA-2203-273</t>
        </is>
      </c>
      <c r="D101" t="inlineStr">
        <is>
          <t>PR-2203-029</t>
        </is>
      </c>
      <c r="E101" t="inlineStr">
        <is>
          <t>PACIFIC</t>
        </is>
      </c>
      <c r="F101" t="inlineStr">
        <is>
          <t>Cargo</t>
        </is>
      </c>
      <c r="I101">
        <f>_xlfn.NUMBERVALUE(A101)</f>
        <v/>
      </c>
    </row>
    <row r="102">
      <c r="A102" s="2" t="n">
        <v>4978667</v>
      </c>
      <c r="C102" t="inlineStr">
        <is>
          <t>HA-2203-263</t>
        </is>
      </c>
      <c r="D102" t="inlineStr">
        <is>
          <t>PR-2203-018</t>
        </is>
      </c>
      <c r="E102" t="inlineStr">
        <is>
          <t>PACIFIC</t>
        </is>
      </c>
      <c r="F102" t="inlineStr">
        <is>
          <t>Cargo</t>
        </is>
      </c>
      <c r="I102">
        <f>_xlfn.NUMBERVALUE(A102)</f>
        <v/>
      </c>
    </row>
    <row r="103">
      <c r="A103" s="2" t="n">
        <v>4978629</v>
      </c>
      <c r="C103" t="inlineStr">
        <is>
          <t>HA-2203-207</t>
        </is>
      </c>
      <c r="D103" t="inlineStr">
        <is>
          <t>PR-2203-059</t>
        </is>
      </c>
      <c r="E103" t="inlineStr">
        <is>
          <t>PACIFIC</t>
        </is>
      </c>
      <c r="F103" t="inlineStr">
        <is>
          <t>Cargo</t>
        </is>
      </c>
      <c r="I103">
        <f>_xlfn.NUMBERVALUE(A103)</f>
        <v/>
      </c>
    </row>
    <row r="104">
      <c r="A104" s="2" t="n">
        <v>4978668</v>
      </c>
      <c r="C104" t="inlineStr">
        <is>
          <t>HA-2203-235</t>
        </is>
      </c>
      <c r="D104" t="inlineStr">
        <is>
          <t>PR-2203-019</t>
        </is>
      </c>
      <c r="E104" t="inlineStr">
        <is>
          <t>PACIFIC</t>
        </is>
      </c>
      <c r="F104" t="inlineStr">
        <is>
          <t>Cargo</t>
        </is>
      </c>
      <c r="I104">
        <f>_xlfn.NUMBERVALUE(A104)</f>
        <v/>
      </c>
    </row>
    <row r="105">
      <c r="A105" s="2" t="n">
        <v>4978630</v>
      </c>
      <c r="C105" t="inlineStr">
        <is>
          <t>HA-2203-151</t>
        </is>
      </c>
      <c r="D105" t="inlineStr">
        <is>
          <t>PR-2203-341</t>
        </is>
      </c>
      <c r="E105" t="inlineStr">
        <is>
          <t>MEDWAY</t>
        </is>
      </c>
      <c r="F105" t="inlineStr">
        <is>
          <t>Cargo</t>
        </is>
      </c>
      <c r="I105">
        <f>_xlfn.NUMBERVALUE(A105)</f>
        <v/>
      </c>
    </row>
    <row r="106">
      <c r="A106" s="2" t="n">
        <v>4978825</v>
      </c>
      <c r="C106" t="inlineStr">
        <is>
          <t>HA-2203-155</t>
        </is>
      </c>
      <c r="D106" t="inlineStr">
        <is>
          <t>PR-2203-375</t>
        </is>
      </c>
      <c r="E106" t="inlineStr">
        <is>
          <t>MEDWAY</t>
        </is>
      </c>
      <c r="F106" t="inlineStr">
        <is>
          <t>Cargo</t>
        </is>
      </c>
      <c r="I106">
        <f>_xlfn.NUMBERVALUE(A106)</f>
        <v/>
      </c>
    </row>
    <row r="107">
      <c r="A107" s="2" t="n">
        <v>4978796</v>
      </c>
      <c r="C107" t="inlineStr">
        <is>
          <t>HA-2203-161</t>
        </is>
      </c>
      <c r="D107" t="inlineStr">
        <is>
          <t>PR-2203-369</t>
        </is>
      </c>
      <c r="E107" t="inlineStr">
        <is>
          <t>MEDWAY</t>
        </is>
      </c>
      <c r="F107" t="inlineStr">
        <is>
          <t>Cargo</t>
        </is>
      </c>
      <c r="I107">
        <f>_xlfn.NUMBERVALUE(A107)</f>
        <v/>
      </c>
    </row>
    <row r="108">
      <c r="A108" s="2" t="n">
        <v>4978531</v>
      </c>
      <c r="C108" t="inlineStr">
        <is>
          <t>HA-2203-159</t>
        </is>
      </c>
      <c r="D108" t="inlineStr">
        <is>
          <t>PR-2203-355</t>
        </is>
      </c>
      <c r="E108" t="inlineStr">
        <is>
          <t>MEDWAY</t>
        </is>
      </c>
      <c r="F108" t="inlineStr">
        <is>
          <t>Cargo</t>
        </is>
      </c>
      <c r="I108">
        <f>_xlfn.NUMBERVALUE(A108)</f>
        <v/>
      </c>
    </row>
    <row r="109">
      <c r="A109" s="2" t="n">
        <v>4978792</v>
      </c>
      <c r="C109" t="inlineStr">
        <is>
          <t>HA-2203-215</t>
        </is>
      </c>
      <c r="D109" t="inlineStr">
        <is>
          <t>PR-2203-372</t>
        </is>
      </c>
      <c r="E109" t="inlineStr">
        <is>
          <t>MEDWAY</t>
        </is>
      </c>
      <c r="F109" t="inlineStr">
        <is>
          <t>Cargo</t>
        </is>
      </c>
      <c r="I109">
        <f>_xlfn.NUMBERVALUE(A109)</f>
        <v/>
      </c>
    </row>
    <row r="110">
      <c r="A110" s="2" t="n">
        <v>4978705</v>
      </c>
      <c r="C110" t="inlineStr">
        <is>
          <t>HA-2203-229</t>
        </is>
      </c>
      <c r="D110" t="inlineStr">
        <is>
          <t>PR-2203-361</t>
        </is>
      </c>
      <c r="E110" t="inlineStr">
        <is>
          <t>MEDWAY</t>
        </is>
      </c>
      <c r="F110" t="inlineStr">
        <is>
          <t>Cargo</t>
        </is>
      </c>
      <c r="I110">
        <f>_xlfn.NUMBERVALUE(A110)</f>
        <v/>
      </c>
    </row>
    <row r="111">
      <c r="A111" s="2" t="n">
        <v>4978895</v>
      </c>
      <c r="C111" t="inlineStr">
        <is>
          <t>HA-2203-213</t>
        </is>
      </c>
      <c r="D111" t="inlineStr">
        <is>
          <t>PR-2203-343</t>
        </is>
      </c>
      <c r="E111" t="inlineStr">
        <is>
          <t>MEDWAY</t>
        </is>
      </c>
      <c r="F111" t="inlineStr">
        <is>
          <t>Cargo</t>
        </is>
      </c>
      <c r="I111">
        <f>_xlfn.NUMBERVALUE(A111)</f>
        <v/>
      </c>
    </row>
    <row r="112">
      <c r="A112" s="2" t="n">
        <v>4978828</v>
      </c>
      <c r="C112" t="inlineStr">
        <is>
          <t>HA-2203-217</t>
        </is>
      </c>
      <c r="D112" t="inlineStr">
        <is>
          <t>PR-2203-367</t>
        </is>
      </c>
      <c r="E112" t="inlineStr">
        <is>
          <t>MEDWAY</t>
        </is>
      </c>
      <c r="F112" t="inlineStr">
        <is>
          <t>Cargo</t>
        </is>
      </c>
      <c r="I112">
        <f>_xlfn.NUMBERVALUE(A112)</f>
        <v/>
      </c>
    </row>
    <row r="113">
      <c r="A113" s="2" t="n">
        <v>4978816</v>
      </c>
      <c r="C113" t="inlineStr">
        <is>
          <t>HA-2203-221</t>
        </is>
      </c>
      <c r="D113" t="inlineStr">
        <is>
          <t>PR-2203-366</t>
        </is>
      </c>
      <c r="E113" t="inlineStr">
        <is>
          <t>MEDWAY</t>
        </is>
      </c>
      <c r="F113" t="inlineStr">
        <is>
          <t>Cargo</t>
        </is>
      </c>
      <c r="I113">
        <f>_xlfn.NUMBERVALUE(A113)</f>
        <v/>
      </c>
    </row>
    <row r="114">
      <c r="A114" s="2" t="n">
        <v>4978837</v>
      </c>
      <c r="C114" t="inlineStr">
        <is>
          <t>HA-2203-223</t>
        </is>
      </c>
      <c r="D114" t="inlineStr">
        <is>
          <t>PR-2203-353</t>
        </is>
      </c>
      <c r="E114" t="inlineStr">
        <is>
          <t>MEDWAY</t>
        </is>
      </c>
      <c r="F114" t="inlineStr">
        <is>
          <t>Cargo</t>
        </is>
      </c>
      <c r="I114">
        <f>_xlfn.NUMBERVALUE(A114)</f>
        <v/>
      </c>
    </row>
    <row r="115">
      <c r="A115" s="2" t="n">
        <v>4978665</v>
      </c>
      <c r="C115" t="inlineStr">
        <is>
          <t>HA-2203-231</t>
        </is>
      </c>
      <c r="D115" t="inlineStr">
        <is>
          <t>PR-2203-345</t>
        </is>
      </c>
      <c r="E115" t="inlineStr">
        <is>
          <t>MEDWAY</t>
        </is>
      </c>
      <c r="F115" t="inlineStr">
        <is>
          <t>Cargo</t>
        </is>
      </c>
      <c r="I115">
        <f>_xlfn.NUMBERVALUE(A115)</f>
        <v/>
      </c>
    </row>
    <row r="116">
      <c r="A116" s="2" t="n">
        <v>4978596</v>
      </c>
      <c r="C116" t="inlineStr">
        <is>
          <t>HA-2203-211</t>
        </is>
      </c>
      <c r="D116" t="inlineStr">
        <is>
          <t>PR-2203-364</t>
        </is>
      </c>
      <c r="E116" t="inlineStr">
        <is>
          <t>MEDWAY</t>
        </is>
      </c>
      <c r="F116" t="inlineStr">
        <is>
          <t>Cargo</t>
        </is>
      </c>
      <c r="I116">
        <f>_xlfn.NUMBERVALUE(A116)</f>
        <v/>
      </c>
    </row>
    <row r="117">
      <c r="A117" s="2" t="n">
        <v>4978847</v>
      </c>
      <c r="C117" t="inlineStr">
        <is>
          <t>HA-2203-290</t>
        </is>
      </c>
      <c r="D117" t="inlineStr">
        <is>
          <t>PR-2203-373</t>
        </is>
      </c>
      <c r="E117" t="inlineStr">
        <is>
          <t>GROUPCAT</t>
        </is>
      </c>
      <c r="F117" t="inlineStr">
        <is>
          <t>Cargo</t>
        </is>
      </c>
      <c r="I117">
        <f>_xlfn.NUMBERVALUE(A117)</f>
        <v/>
      </c>
    </row>
    <row r="118">
      <c r="A118" s="2" t="n">
        <v>4978770</v>
      </c>
      <c r="C118" t="inlineStr">
        <is>
          <t>HA-2203-298</t>
        </is>
      </c>
      <c r="D118" t="inlineStr">
        <is>
          <t>PR-2203-352</t>
        </is>
      </c>
      <c r="E118" t="inlineStr">
        <is>
          <t>GROUPCAT</t>
        </is>
      </c>
      <c r="F118" t="inlineStr">
        <is>
          <t>Cargo</t>
        </is>
      </c>
      <c r="I118">
        <f>_xlfn.NUMBERVALUE(A118)</f>
        <v/>
      </c>
    </row>
    <row r="119">
      <c r="A119" s="2" t="n">
        <v>4978856</v>
      </c>
      <c r="C119" t="inlineStr">
        <is>
          <t>HA-2203-342</t>
        </is>
      </c>
      <c r="D119" t="inlineStr">
        <is>
          <t>PR-2203-408</t>
        </is>
      </c>
      <c r="E119" t="inlineStr">
        <is>
          <t>GROUPCAT</t>
        </is>
      </c>
      <c r="F119" t="inlineStr">
        <is>
          <t>Cargo</t>
        </is>
      </c>
      <c r="I119">
        <f>_xlfn.NUMBERVALUE(A119)</f>
        <v/>
      </c>
    </row>
    <row r="120">
      <c r="A120" s="2" t="n">
        <v>4978743</v>
      </c>
      <c r="C120" t="inlineStr">
        <is>
          <t>HA-2203-340</t>
        </is>
      </c>
      <c r="D120" t="inlineStr">
        <is>
          <t>PR-2203-410</t>
        </is>
      </c>
      <c r="E120" t="inlineStr">
        <is>
          <t>GROUPCAT</t>
        </is>
      </c>
      <c r="F120" t="inlineStr">
        <is>
          <t>Cargo</t>
        </is>
      </c>
      <c r="I120">
        <f>_xlfn.NUMBERVALUE(A120)</f>
        <v/>
      </c>
    </row>
    <row r="121">
      <c r="A121" s="2" t="n">
        <v>4978793</v>
      </c>
      <c r="C121" t="inlineStr">
        <is>
          <t>HA-2203-346</t>
        </is>
      </c>
      <c r="D121" t="inlineStr">
        <is>
          <t>PR-2203-404</t>
        </is>
      </c>
      <c r="E121" t="inlineStr">
        <is>
          <t>GROUPCAT</t>
        </is>
      </c>
      <c r="F121" t="inlineStr">
        <is>
          <t>Cargo</t>
        </is>
      </c>
      <c r="I121">
        <f>_xlfn.NUMBERVALUE(A121)</f>
        <v/>
      </c>
    </row>
    <row r="122">
      <c r="A122" s="2" t="n">
        <v>4978885</v>
      </c>
      <c r="C122" t="inlineStr">
        <is>
          <t>HA-2206-68</t>
        </is>
      </c>
      <c r="D122" t="inlineStr">
        <is>
          <t>PR-2206-132</t>
        </is>
      </c>
      <c r="E122" t="inlineStr">
        <is>
          <t>GFR</t>
        </is>
      </c>
      <c r="F122" t="inlineStr">
        <is>
          <t>Cargo</t>
        </is>
      </c>
      <c r="I122">
        <f>_xlfn.NUMBERVALUE(A122)</f>
        <v/>
      </c>
    </row>
    <row r="123">
      <c r="A123" s="2" t="n">
        <v>4978911</v>
      </c>
      <c r="C123" t="inlineStr">
        <is>
          <t>HA-2203-326</t>
        </is>
      </c>
      <c r="D123" t="inlineStr">
        <is>
          <t>PR-2203-347</t>
        </is>
      </c>
      <c r="E123" t="inlineStr">
        <is>
          <t>GROUPCAT</t>
        </is>
      </c>
      <c r="F123" t="inlineStr">
        <is>
          <t>Cargo</t>
        </is>
      </c>
      <c r="I123">
        <f>_xlfn.NUMBERVALUE(A123)</f>
        <v/>
      </c>
    </row>
    <row r="124">
      <c r="A124" s="2" t="n">
        <v>4978731</v>
      </c>
      <c r="C124" t="inlineStr">
        <is>
          <t>HA-2203-322</t>
        </is>
      </c>
      <c r="D124" t="inlineStr">
        <is>
          <t>PR-2203-374</t>
        </is>
      </c>
      <c r="E124" t="inlineStr">
        <is>
          <t>GROUPCAT</t>
        </is>
      </c>
      <c r="F124" t="inlineStr">
        <is>
          <t>Cargo</t>
        </is>
      </c>
      <c r="I124">
        <f>_xlfn.NUMBERVALUE(A124)</f>
        <v/>
      </c>
    </row>
    <row r="125">
      <c r="A125" s="2" t="n">
        <v>4978826</v>
      </c>
      <c r="C125" t="inlineStr">
        <is>
          <t>HA-2203-304</t>
        </is>
      </c>
      <c r="D125" t="inlineStr">
        <is>
          <t>PR-2203-358</t>
        </is>
      </c>
      <c r="E125" t="inlineStr">
        <is>
          <t>GROUPCAT</t>
        </is>
      </c>
      <c r="F125" t="inlineStr">
        <is>
          <t>Cargo</t>
        </is>
      </c>
      <c r="I125">
        <f>_xlfn.NUMBERVALUE(A125)</f>
        <v/>
      </c>
    </row>
    <row r="126">
      <c r="A126" s="2" t="n">
        <v>4978859</v>
      </c>
      <c r="C126" t="inlineStr">
        <is>
          <t>HA-2203-350</t>
        </is>
      </c>
      <c r="D126" t="inlineStr">
        <is>
          <t>PR-2203-351</t>
        </is>
      </c>
      <c r="E126" t="inlineStr">
        <is>
          <t>GROUPCAT</t>
        </is>
      </c>
      <c r="F126" t="inlineStr">
        <is>
          <t>Cargo</t>
        </is>
      </c>
      <c r="I126">
        <f>_xlfn.NUMBERVALUE(A126)</f>
        <v/>
      </c>
    </row>
    <row r="127">
      <c r="A127" s="2" t="n">
        <v>4978844</v>
      </c>
      <c r="C127" t="inlineStr">
        <is>
          <t>HA-2203-336</t>
        </is>
      </c>
      <c r="D127" t="inlineStr">
        <is>
          <t>PR-2203-370</t>
        </is>
      </c>
      <c r="E127" t="inlineStr">
        <is>
          <t>GROUPCAT</t>
        </is>
      </c>
      <c r="F127" t="inlineStr">
        <is>
          <t>Cargo</t>
        </is>
      </c>
      <c r="I127">
        <f>_xlfn.NUMBERVALUE(A127)</f>
        <v/>
      </c>
    </row>
    <row r="128">
      <c r="A128" s="2" t="n">
        <v>4978807</v>
      </c>
      <c r="C128" t="inlineStr">
        <is>
          <t>HA-2203-324</t>
        </is>
      </c>
      <c r="D128" t="inlineStr">
        <is>
          <t>PR-2203-403</t>
        </is>
      </c>
      <c r="E128" t="inlineStr">
        <is>
          <t>GROUPCAT</t>
        </is>
      </c>
      <c r="F128" t="inlineStr">
        <is>
          <t>Cargo</t>
        </is>
      </c>
      <c r="I128">
        <f>_xlfn.NUMBERVALUE(A128)</f>
        <v/>
      </c>
    </row>
    <row r="129">
      <c r="A129" s="2" t="n">
        <v>4978790</v>
      </c>
      <c r="C129" t="inlineStr">
        <is>
          <t>HA-2203-296</t>
        </is>
      </c>
      <c r="D129" t="inlineStr">
        <is>
          <t>PR-2203-382</t>
        </is>
      </c>
      <c r="E129" t="inlineStr">
        <is>
          <t>GROUPCAT</t>
        </is>
      </c>
      <c r="F129" t="inlineStr">
        <is>
          <t>Cargo</t>
        </is>
      </c>
      <c r="I129">
        <f>_xlfn.NUMBERVALUE(A129)</f>
        <v/>
      </c>
    </row>
    <row r="130">
      <c r="A130" s="2" t="n">
        <v>4978552</v>
      </c>
      <c r="C130" t="inlineStr">
        <is>
          <t>HA-2203-302</t>
        </is>
      </c>
      <c r="D130" t="inlineStr">
        <is>
          <t>PR-2203-406</t>
        </is>
      </c>
      <c r="E130" t="inlineStr">
        <is>
          <t>GROUPCAT</t>
        </is>
      </c>
      <c r="F130" t="inlineStr">
        <is>
          <t>Cargo</t>
        </is>
      </c>
      <c r="I130">
        <f>_xlfn.NUMBERVALUE(A130)</f>
        <v/>
      </c>
    </row>
    <row r="131">
      <c r="A131" s="2" t="n">
        <v>4978639</v>
      </c>
      <c r="C131" t="inlineStr">
        <is>
          <t>HA-2203-236</t>
        </is>
      </c>
      <c r="D131" t="inlineStr">
        <is>
          <t>PR-2203-400</t>
        </is>
      </c>
      <c r="E131" t="inlineStr">
        <is>
          <t>GROUPCAT</t>
        </is>
      </c>
      <c r="F131" t="inlineStr">
        <is>
          <t>Cargo</t>
        </is>
      </c>
      <c r="I131">
        <f>_xlfn.NUMBERVALUE(A131)</f>
        <v/>
      </c>
    </row>
    <row r="132">
      <c r="A132" s="2" t="n">
        <v>4978622</v>
      </c>
      <c r="C132" t="inlineStr">
        <is>
          <t>HA-2203-228</t>
        </is>
      </c>
      <c r="D132" t="inlineStr">
        <is>
          <t>PR-2203-413</t>
        </is>
      </c>
      <c r="E132" t="inlineStr">
        <is>
          <t>GROUPCAT</t>
        </is>
      </c>
      <c r="F132" t="inlineStr">
        <is>
          <t>Cargo</t>
        </is>
      </c>
      <c r="I132">
        <f>_xlfn.NUMBERVALUE(A132)</f>
        <v/>
      </c>
    </row>
    <row r="133">
      <c r="A133" s="2" t="n">
        <v>4978862</v>
      </c>
      <c r="C133" t="inlineStr">
        <is>
          <t>HA-2203-238</t>
        </is>
      </c>
      <c r="D133" t="inlineStr">
        <is>
          <t>PR-2203-416</t>
        </is>
      </c>
      <c r="E133" t="inlineStr">
        <is>
          <t>GROUPCAT</t>
        </is>
      </c>
      <c r="F133" t="inlineStr">
        <is>
          <t>Cargo</t>
        </is>
      </c>
      <c r="I133">
        <f>_xlfn.NUMBERVALUE(A133)</f>
        <v/>
      </c>
    </row>
    <row r="134">
      <c r="A134" s="2" t="n">
        <v>4978846</v>
      </c>
      <c r="C134" t="inlineStr">
        <is>
          <t>HA-2203-202</t>
        </is>
      </c>
      <c r="D134" t="inlineStr">
        <is>
          <t>PR-2203-272</t>
        </is>
      </c>
      <c r="E134" t="inlineStr">
        <is>
          <t>HUPAC</t>
        </is>
      </c>
      <c r="F134" t="inlineStr">
        <is>
          <t>Cargo</t>
        </is>
      </c>
      <c r="I134">
        <f>_xlfn.NUMBERVALUE(A134)</f>
        <v/>
      </c>
    </row>
    <row r="135">
      <c r="A135" s="2" t="n">
        <v>4978692</v>
      </c>
      <c r="C135" t="inlineStr">
        <is>
          <t>HA-2203-134</t>
        </is>
      </c>
      <c r="D135" t="inlineStr">
        <is>
          <t>PR-2203-292</t>
        </is>
      </c>
      <c r="E135" t="inlineStr">
        <is>
          <t>HUPAC</t>
        </is>
      </c>
      <c r="F135" t="inlineStr">
        <is>
          <t>Cargo</t>
        </is>
      </c>
      <c r="I135">
        <f>_xlfn.NUMBERVALUE(A135)</f>
        <v/>
      </c>
    </row>
    <row r="136">
      <c r="A136" s="2" t="n">
        <v>4978905</v>
      </c>
      <c r="C136" t="inlineStr">
        <is>
          <t>HA-2203-330</t>
        </is>
      </c>
      <c r="D136" t="inlineStr">
        <is>
          <t>PR-2203-315</t>
        </is>
      </c>
      <c r="E136" t="inlineStr">
        <is>
          <t>HUPAC</t>
        </is>
      </c>
      <c r="F136" t="inlineStr">
        <is>
          <t>Cargo</t>
        </is>
      </c>
      <c r="I136">
        <f>_xlfn.NUMBERVALUE(A136)</f>
        <v/>
      </c>
    </row>
    <row r="137">
      <c r="A137" s="2" t="n">
        <v>4978858</v>
      </c>
      <c r="C137" t="inlineStr">
        <is>
          <t>HA-2203-258</t>
        </is>
      </c>
      <c r="D137" t="inlineStr">
        <is>
          <t>PR-2203-324</t>
        </is>
      </c>
      <c r="E137" t="inlineStr">
        <is>
          <t>HUPAC</t>
        </is>
      </c>
      <c r="F137" t="inlineStr">
        <is>
          <t>Cargo</t>
        </is>
      </c>
      <c r="I137">
        <f>_xlfn.NUMBERVALUE(A137)</f>
        <v/>
      </c>
    </row>
    <row r="138">
      <c r="A138" s="2" t="n">
        <v>4978842</v>
      </c>
      <c r="C138" t="inlineStr">
        <is>
          <t>HA-2203-232</t>
        </is>
      </c>
      <c r="D138" t="inlineStr">
        <is>
          <t>PR-2203-322</t>
        </is>
      </c>
      <c r="E138" t="inlineStr">
        <is>
          <t>HUPAC</t>
        </is>
      </c>
      <c r="F138" t="inlineStr">
        <is>
          <t>Cargo</t>
        </is>
      </c>
      <c r="I138">
        <f>_xlfn.NUMBERVALUE(A138)</f>
        <v/>
      </c>
    </row>
    <row r="139">
      <c r="A139" s="2" t="n">
        <v>4978861</v>
      </c>
      <c r="C139" t="inlineStr">
        <is>
          <t>HA-2203-200</t>
        </is>
      </c>
      <c r="D139" t="inlineStr">
        <is>
          <t>PR-2203-284</t>
        </is>
      </c>
      <c r="E139" t="inlineStr">
        <is>
          <t>HUPAC</t>
        </is>
      </c>
      <c r="F139" t="inlineStr">
        <is>
          <t>Cargo</t>
        </is>
      </c>
      <c r="I139">
        <f>_xlfn.NUMBERVALUE(A139)</f>
        <v/>
      </c>
    </row>
    <row r="140">
      <c r="A140" s="2" t="n">
        <v>4978800</v>
      </c>
      <c r="C140" t="inlineStr">
        <is>
          <t>HA-2203-260</t>
        </is>
      </c>
      <c r="D140" t="inlineStr">
        <is>
          <t>PR2203-266</t>
        </is>
      </c>
      <c r="E140" t="inlineStr">
        <is>
          <t>HUPAC</t>
        </is>
      </c>
      <c r="F140" t="inlineStr">
        <is>
          <t>Cargo</t>
        </is>
      </c>
      <c r="I140">
        <f>_xlfn.NUMBERVALUE(A140)</f>
        <v/>
      </c>
    </row>
    <row r="141">
      <c r="A141" s="2" t="n">
        <v>4978801</v>
      </c>
      <c r="C141" t="inlineStr">
        <is>
          <t>HA-2203-264</t>
        </is>
      </c>
      <c r="D141" t="inlineStr">
        <is>
          <t>PR-2203-332</t>
        </is>
      </c>
      <c r="E141" t="inlineStr">
        <is>
          <t>HUPAC</t>
        </is>
      </c>
      <c r="F141" t="inlineStr">
        <is>
          <t>Cargo</t>
        </is>
      </c>
      <c r="I141">
        <f>_xlfn.NUMBERVALUE(A141)</f>
        <v/>
      </c>
    </row>
    <row r="142">
      <c r="A142" s="2" t="n">
        <v>4978802</v>
      </c>
      <c r="C142" t="inlineStr">
        <is>
          <t>HA-2203-256</t>
        </is>
      </c>
      <c r="D142" t="inlineStr">
        <is>
          <t>PR-2203-339</t>
        </is>
      </c>
      <c r="E142" t="inlineStr">
        <is>
          <t>HUPAC</t>
        </is>
      </c>
      <c r="F142" t="inlineStr">
        <is>
          <t>Cargo</t>
        </is>
      </c>
      <c r="I142">
        <f>_xlfn.NUMBERVALUE(A142)</f>
        <v/>
      </c>
    </row>
    <row r="143">
      <c r="A143" s="2" t="n">
        <v>4978765</v>
      </c>
      <c r="C143" t="inlineStr">
        <is>
          <t>HA-2203-194</t>
        </is>
      </c>
      <c r="D143" t="inlineStr">
        <is>
          <t>PR-2203-294</t>
        </is>
      </c>
      <c r="E143" t="inlineStr">
        <is>
          <t>HUPAC</t>
        </is>
      </c>
      <c r="F143" t="inlineStr">
        <is>
          <t>Cargo</t>
        </is>
      </c>
      <c r="I143">
        <f>_xlfn.NUMBERVALUE(A143)</f>
        <v/>
      </c>
    </row>
    <row r="144">
      <c r="A144" s="2" t="n">
        <v>4978799</v>
      </c>
      <c r="C144" t="inlineStr">
        <is>
          <t>HA-2203-192</t>
        </is>
      </c>
      <c r="D144" t="inlineStr">
        <is>
          <t>PR-2203-267</t>
        </is>
      </c>
      <c r="E144" t="inlineStr">
        <is>
          <t>HUPAC</t>
        </is>
      </c>
      <c r="F144" t="inlineStr">
        <is>
          <t>Cargo</t>
        </is>
      </c>
      <c r="I144">
        <f>_xlfn.NUMBERVALUE(A144)</f>
        <v/>
      </c>
    </row>
    <row r="145">
      <c r="A145" s="2" t="n">
        <v>4978817</v>
      </c>
      <c r="C145" t="inlineStr">
        <is>
          <t>HA-2203-130</t>
        </is>
      </c>
      <c r="D145" t="inlineStr">
        <is>
          <t>PR-2203-287</t>
        </is>
      </c>
      <c r="E145" t="inlineStr">
        <is>
          <t>HUPAC</t>
        </is>
      </c>
      <c r="F145" t="inlineStr">
        <is>
          <t>Cargo</t>
        </is>
      </c>
      <c r="I145">
        <f>_xlfn.NUMBERVALUE(A145)</f>
        <v/>
      </c>
    </row>
    <row r="146">
      <c r="A146" s="2" t="n">
        <v>4978909</v>
      </c>
      <c r="C146" t="inlineStr">
        <is>
          <t>HA-2203-254</t>
        </is>
      </c>
      <c r="D146" t="inlineStr">
        <is>
          <t>PR-2203-312</t>
        </is>
      </c>
      <c r="E146" t="inlineStr">
        <is>
          <t>HUPAC</t>
        </is>
      </c>
      <c r="F146" t="inlineStr">
        <is>
          <t>Cargo</t>
        </is>
      </c>
      <c r="I146">
        <f>_xlfn.NUMBERVALUE(A146)</f>
        <v/>
      </c>
    </row>
    <row r="147">
      <c r="A147" s="2" t="n">
        <v>4978853</v>
      </c>
      <c r="C147" t="inlineStr">
        <is>
          <t>HA-2203-219</t>
        </is>
      </c>
      <c r="D147" t="inlineStr">
        <is>
          <t>PR-2203-273</t>
        </is>
      </c>
      <c r="E147" t="inlineStr">
        <is>
          <t>HUPAC</t>
        </is>
      </c>
      <c r="F147" t="inlineStr">
        <is>
          <t>Cargo</t>
        </is>
      </c>
      <c r="I147">
        <f>_xlfn.NUMBERVALUE(A147)</f>
        <v/>
      </c>
    </row>
    <row r="148">
      <c r="A148" s="2" t="n">
        <v>4978890</v>
      </c>
      <c r="C148" t="inlineStr">
        <is>
          <t>HA-2203-203</t>
        </is>
      </c>
      <c r="D148" t="inlineStr">
        <is>
          <t>PR-2203-305</t>
        </is>
      </c>
      <c r="E148" t="inlineStr">
        <is>
          <t>HUPAC</t>
        </is>
      </c>
      <c r="F148" t="inlineStr">
        <is>
          <t>Cargo</t>
        </is>
      </c>
      <c r="I148">
        <f>_xlfn.NUMBERVALUE(A148)</f>
        <v/>
      </c>
    </row>
    <row r="149">
      <c r="A149" s="2" t="n">
        <v>4978864</v>
      </c>
      <c r="C149" t="inlineStr">
        <is>
          <t>HA-2203-179</t>
        </is>
      </c>
      <c r="D149" t="inlineStr">
        <is>
          <t>PR-2203-271</t>
        </is>
      </c>
      <c r="E149" t="inlineStr">
        <is>
          <t>HUPAC</t>
        </is>
      </c>
      <c r="F149" t="inlineStr">
        <is>
          <t>Cargo</t>
        </is>
      </c>
      <c r="I149">
        <f>_xlfn.NUMBERVALUE(A149)</f>
        <v/>
      </c>
    </row>
    <row r="150">
      <c r="A150" s="2" t="n">
        <v>4978716</v>
      </c>
      <c r="C150" t="inlineStr">
        <is>
          <t>HA-2203-251</t>
        </is>
      </c>
      <c r="D150" t="inlineStr">
        <is>
          <t>PR-2203-310</t>
        </is>
      </c>
      <c r="E150" t="inlineStr">
        <is>
          <t>HUPAC</t>
        </is>
      </c>
      <c r="F150" t="inlineStr">
        <is>
          <t>Cargo</t>
        </is>
      </c>
      <c r="I150">
        <f>_xlfn.NUMBERVALUE(A150)</f>
        <v/>
      </c>
    </row>
    <row r="151">
      <c r="A151" s="2" t="n">
        <v>4978742</v>
      </c>
      <c r="C151" t="inlineStr">
        <is>
          <t>HA-2203-257</t>
        </is>
      </c>
      <c r="D151" t="inlineStr">
        <is>
          <t>PR-2203-313</t>
        </is>
      </c>
      <c r="E151" t="inlineStr">
        <is>
          <t>HUPAC</t>
        </is>
      </c>
      <c r="F151" t="inlineStr">
        <is>
          <t>Cargo</t>
        </is>
      </c>
      <c r="I151">
        <f>_xlfn.NUMBERVALUE(A151)</f>
        <v/>
      </c>
    </row>
    <row r="152">
      <c r="A152" s="2" t="n">
        <v>4978868</v>
      </c>
      <c r="C152" t="inlineStr">
        <is>
          <t>HA-2203-248</t>
        </is>
      </c>
      <c r="D152" t="inlineStr">
        <is>
          <t>PR-2203-299</t>
        </is>
      </c>
      <c r="E152" t="inlineStr">
        <is>
          <t>HUPAC</t>
        </is>
      </c>
      <c r="F152" t="inlineStr">
        <is>
          <t>Cargo</t>
        </is>
      </c>
      <c r="I152">
        <f>_xlfn.NUMBERVALUE(A152)</f>
        <v/>
      </c>
    </row>
    <row r="153">
      <c r="A153" s="2" t="n">
        <v>4978876</v>
      </c>
      <c r="C153" t="inlineStr">
        <is>
          <t>HA-2203-191</t>
        </is>
      </c>
      <c r="D153" t="inlineStr">
        <is>
          <t>PR-2203-274</t>
        </is>
      </c>
      <c r="E153" t="inlineStr">
        <is>
          <t>HUPAC</t>
        </is>
      </c>
      <c r="F153" t="inlineStr">
        <is>
          <t>Cargo</t>
        </is>
      </c>
      <c r="I153">
        <f>_xlfn.NUMBERVALUE(A153)</f>
        <v/>
      </c>
    </row>
    <row r="154">
      <c r="A154" s="2" t="n">
        <v>4978809</v>
      </c>
      <c r="C154" t="inlineStr">
        <is>
          <t>HA-2203-237</t>
        </is>
      </c>
      <c r="D154" t="inlineStr">
        <is>
          <t>PR-2203-350</t>
        </is>
      </c>
      <c r="E154" t="inlineStr">
        <is>
          <t>HUPAC</t>
        </is>
      </c>
      <c r="F154" t="inlineStr">
        <is>
          <t>Cargo</t>
        </is>
      </c>
      <c r="I154">
        <f>_xlfn.NUMBERVALUE(A154)</f>
        <v/>
      </c>
    </row>
    <row r="155">
      <c r="A155" s="2" t="n">
        <v>4978814</v>
      </c>
      <c r="C155" t="inlineStr">
        <is>
          <t>HA-2203-71</t>
        </is>
      </c>
      <c r="D155" t="inlineStr">
        <is>
          <t>PR-2203-323</t>
        </is>
      </c>
      <c r="E155" t="inlineStr">
        <is>
          <t>HUPAC</t>
        </is>
      </c>
      <c r="F155" t="inlineStr">
        <is>
          <t>Cargo</t>
        </is>
      </c>
      <c r="I155">
        <f>_xlfn.NUMBERVALUE(A155)</f>
        <v/>
      </c>
    </row>
    <row r="156">
      <c r="A156" s="2" t="n">
        <v>4978746</v>
      </c>
      <c r="C156" t="inlineStr">
        <is>
          <t>HA-2203-131</t>
        </is>
      </c>
      <c r="D156" t="inlineStr">
        <is>
          <t>PR-2203-307</t>
        </is>
      </c>
      <c r="E156" t="inlineStr">
        <is>
          <t>HUPAC</t>
        </is>
      </c>
      <c r="F156" t="inlineStr">
        <is>
          <t>Cargo</t>
        </is>
      </c>
      <c r="I156">
        <f>_xlfn.NUMBERVALUE(A156)</f>
        <v/>
      </c>
    </row>
    <row r="157">
      <c r="A157" s="40" t="n">
        <v>4978741</v>
      </c>
      <c r="B157" s="40" t="n"/>
      <c r="C157" t="inlineStr">
        <is>
          <t>HA-2203-75</t>
        </is>
      </c>
      <c r="D157" t="inlineStr">
        <is>
          <t>PR2203-142</t>
        </is>
      </c>
      <c r="E157" t="inlineStr">
        <is>
          <t>HUPAC</t>
        </is>
      </c>
      <c r="F157" t="inlineStr">
        <is>
          <t>Cargo</t>
        </is>
      </c>
      <c r="I157">
        <f>_xlfn.NUMBERVALUE(A157)</f>
        <v/>
      </c>
    </row>
    <row r="158">
      <c r="A158" s="2" t="n">
        <v>4978788</v>
      </c>
      <c r="C158" t="inlineStr">
        <is>
          <t>HA-2203-79</t>
        </is>
      </c>
      <c r="D158" t="inlineStr">
        <is>
          <t>PR-2203-xxx</t>
        </is>
      </c>
      <c r="E158" t="inlineStr">
        <is>
          <t>HUPAC</t>
        </is>
      </c>
      <c r="F158" t="inlineStr">
        <is>
          <t>Cargo</t>
        </is>
      </c>
      <c r="I158">
        <f>_xlfn.NUMBERVALUE(A158)</f>
        <v/>
      </c>
    </row>
    <row r="159">
      <c r="A159" s="2" t="n">
        <v>4978761</v>
      </c>
      <c r="C159" t="inlineStr">
        <is>
          <t>HA-2203-73</t>
        </is>
      </c>
      <c r="D159" t="inlineStr">
        <is>
          <t>PR-2203-354</t>
        </is>
      </c>
      <c r="E159" t="inlineStr">
        <is>
          <t>HUPAC</t>
        </is>
      </c>
      <c r="F159" t="inlineStr">
        <is>
          <t>Cargo</t>
        </is>
      </c>
      <c r="I159">
        <f>_xlfn.NUMBERVALUE(A159)</f>
        <v/>
      </c>
    </row>
    <row r="160">
      <c r="A160" s="2" t="n">
        <v>4978867</v>
      </c>
      <c r="C160" t="inlineStr">
        <is>
          <t>HA-2203-165</t>
        </is>
      </c>
      <c r="D160" t="inlineStr">
        <is>
          <t>PR-2203-337</t>
        </is>
      </c>
      <c r="E160" t="inlineStr">
        <is>
          <t>HUPAC</t>
        </is>
      </c>
      <c r="F160" t="inlineStr">
        <is>
          <t>Cargo</t>
        </is>
      </c>
      <c r="I160">
        <f>_xlfn.NUMBERVALUE(A160)</f>
        <v/>
      </c>
    </row>
    <row r="161">
      <c r="A161" s="2" t="n">
        <v>4978723</v>
      </c>
      <c r="C161" t="inlineStr">
        <is>
          <t>HA-2203-163</t>
        </is>
      </c>
      <c r="D161" t="inlineStr">
        <is>
          <t>PR-2203-346</t>
        </is>
      </c>
      <c r="E161" t="inlineStr">
        <is>
          <t>HUPAC</t>
        </is>
      </c>
      <c r="F161" t="inlineStr">
        <is>
          <t>Cargo</t>
        </is>
      </c>
      <c r="I161">
        <f>_xlfn.NUMBERVALUE(A161)</f>
        <v/>
      </c>
    </row>
    <row r="162">
      <c r="A162" s="2" t="n">
        <v>4978901</v>
      </c>
      <c r="C162" t="inlineStr">
        <is>
          <t>HA-2203-147</t>
        </is>
      </c>
      <c r="D162" t="inlineStr">
        <is>
          <t>PR-2203-270</t>
        </is>
      </c>
      <c r="E162" t="inlineStr">
        <is>
          <t>HUPAC</t>
        </is>
      </c>
      <c r="F162" t="inlineStr">
        <is>
          <t>Cargo</t>
        </is>
      </c>
      <c r="I162">
        <f>_xlfn.NUMBERVALUE(A162)</f>
        <v/>
      </c>
    </row>
    <row r="163">
      <c r="A163" s="2" t="n">
        <v>4978841</v>
      </c>
      <c r="C163" t="inlineStr">
        <is>
          <t>HA-2203-169</t>
        </is>
      </c>
      <c r="D163" t="inlineStr">
        <is>
          <t>PR-2203-320</t>
        </is>
      </c>
      <c r="E163" t="inlineStr">
        <is>
          <t>HUPAC</t>
        </is>
      </c>
      <c r="F163" t="inlineStr">
        <is>
          <t>Cargo</t>
        </is>
      </c>
      <c r="I163">
        <f>_xlfn.NUMBERVALUE(A163)</f>
        <v/>
      </c>
    </row>
    <row r="164">
      <c r="A164" s="2" t="n">
        <v>4978713</v>
      </c>
      <c r="C164" t="inlineStr">
        <is>
          <t>HA-2203-171</t>
        </is>
      </c>
      <c r="D164" t="inlineStr">
        <is>
          <t>PR-2203-331</t>
        </is>
      </c>
      <c r="E164" t="inlineStr">
        <is>
          <t>HUPAC</t>
        </is>
      </c>
      <c r="F164" t="inlineStr">
        <is>
          <t>Cargo</t>
        </is>
      </c>
      <c r="I164">
        <f>_xlfn.NUMBERVALUE(A164)</f>
        <v/>
      </c>
    </row>
    <row r="165">
      <c r="A165" s="2" t="n">
        <v>4978632</v>
      </c>
      <c r="C165" t="inlineStr">
        <is>
          <t>HA-2203-190</t>
        </is>
      </c>
      <c r="D165" t="inlineStr">
        <is>
          <t>PR-2203-295</t>
        </is>
      </c>
      <c r="E165" t="inlineStr">
        <is>
          <t>HUPAC</t>
        </is>
      </c>
      <c r="F165" t="inlineStr">
        <is>
          <t>Cargo</t>
        </is>
      </c>
      <c r="I165">
        <f>_xlfn.NUMBERVALUE(A165)</f>
        <v/>
      </c>
    </row>
    <row r="166">
      <c r="A166" s="2" t="n">
        <v>4978877</v>
      </c>
      <c r="C166" t="inlineStr">
        <is>
          <t>HA-2203-184</t>
        </is>
      </c>
      <c r="D166" t="inlineStr">
        <is>
          <t>PR-2203-286</t>
        </is>
      </c>
      <c r="E166" t="inlineStr">
        <is>
          <t>HUPAC</t>
        </is>
      </c>
      <c r="F166" t="inlineStr">
        <is>
          <t>Cargo</t>
        </is>
      </c>
      <c r="I166">
        <f>_xlfn.NUMBERVALUE(A166)</f>
        <v/>
      </c>
    </row>
    <row r="167">
      <c r="A167" s="2" t="n">
        <v>4978562</v>
      </c>
      <c r="C167" t="inlineStr">
        <is>
          <t>HA-2203-186</t>
        </is>
      </c>
      <c r="D167" t="inlineStr">
        <is>
          <t>PR-2203-280</t>
        </is>
      </c>
      <c r="E167" t="inlineStr">
        <is>
          <t>HUPAC</t>
        </is>
      </c>
      <c r="F167" t="inlineStr">
        <is>
          <t>Cargo</t>
        </is>
      </c>
      <c r="I167">
        <f>_xlfn.NUMBERVALUE(A167)</f>
        <v/>
      </c>
    </row>
    <row r="168">
      <c r="A168" s="2" t="n">
        <v>4978611</v>
      </c>
      <c r="C168" t="inlineStr">
        <is>
          <t>HA-2203-201</t>
        </is>
      </c>
      <c r="D168" t="inlineStr">
        <is>
          <t>PR2203-298</t>
        </is>
      </c>
      <c r="E168" t="inlineStr">
        <is>
          <t>HUPAC</t>
        </is>
      </c>
      <c r="F168" t="inlineStr">
        <is>
          <t>Cargo</t>
        </is>
      </c>
      <c r="I168">
        <f>_xlfn.NUMBERVALUE(A168)</f>
        <v/>
      </c>
    </row>
    <row r="169">
      <c r="A169" s="2" t="n">
        <v>4978749</v>
      </c>
      <c r="C169" t="inlineStr">
        <is>
          <t>HA-2203-172</t>
        </is>
      </c>
      <c r="D169" t="inlineStr">
        <is>
          <t>PR-2203-344</t>
        </is>
      </c>
      <c r="E169" t="inlineStr">
        <is>
          <t>HUPAC</t>
        </is>
      </c>
      <c r="F169" t="inlineStr">
        <is>
          <t>Cargo</t>
        </is>
      </c>
      <c r="I169">
        <f>_xlfn.NUMBERVALUE(A169)</f>
        <v/>
      </c>
    </row>
    <row r="170">
      <c r="A170" s="2" t="n">
        <v>4978855</v>
      </c>
      <c r="C170" t="inlineStr">
        <is>
          <t>HA-2203-164</t>
        </is>
      </c>
      <c r="D170" t="inlineStr">
        <is>
          <t>PR-2203-311</t>
        </is>
      </c>
      <c r="E170" t="inlineStr">
        <is>
          <t>HUPAC</t>
        </is>
      </c>
      <c r="F170" t="inlineStr">
        <is>
          <t>Cargo</t>
        </is>
      </c>
      <c r="I170">
        <f>_xlfn.NUMBERVALUE(A170)</f>
        <v/>
      </c>
    </row>
    <row r="171">
      <c r="A171" s="2" t="n">
        <v>4978710</v>
      </c>
      <c r="C171" t="inlineStr">
        <is>
          <t>HA-2203-162</t>
        </is>
      </c>
      <c r="D171" t="inlineStr">
        <is>
          <t>PR-2203-289</t>
        </is>
      </c>
      <c r="E171" t="inlineStr">
        <is>
          <t>HUPAC</t>
        </is>
      </c>
      <c r="F171" t="inlineStr">
        <is>
          <t>Cargo</t>
        </is>
      </c>
      <c r="I171">
        <f>_xlfn.NUMBERVALUE(A171)</f>
        <v/>
      </c>
    </row>
    <row r="172">
      <c r="A172" s="2" t="n">
        <v>4978777</v>
      </c>
      <c r="C172" t="inlineStr">
        <is>
          <t>HA-2203-166</t>
        </is>
      </c>
      <c r="D172" t="inlineStr">
        <is>
          <t>PR-2203-293</t>
        </is>
      </c>
      <c r="E172" t="inlineStr">
        <is>
          <t>HUPAC</t>
        </is>
      </c>
      <c r="F172" t="inlineStr">
        <is>
          <t>Cargo</t>
        </is>
      </c>
      <c r="I172">
        <f>_xlfn.NUMBERVALUE(A172)</f>
        <v/>
      </c>
    </row>
    <row r="173">
      <c r="A173" s="2" t="n">
        <v>4978787</v>
      </c>
      <c r="C173" t="inlineStr">
        <is>
          <t>HA-2203-195</t>
        </is>
      </c>
      <c r="D173" t="inlineStr">
        <is>
          <t>PR-2203-349</t>
        </is>
      </c>
      <c r="E173" t="inlineStr">
        <is>
          <t>HUPAC</t>
        </is>
      </c>
      <c r="F173" t="inlineStr">
        <is>
          <t>Cargo</t>
        </is>
      </c>
      <c r="I173">
        <f>_xlfn.NUMBERVALUE(A173)</f>
        <v/>
      </c>
    </row>
    <row r="174">
      <c r="A174" s="2" t="n">
        <v>4978571</v>
      </c>
      <c r="C174" t="inlineStr">
        <is>
          <t>HA-2203-181</t>
        </is>
      </c>
      <c r="D174" t="inlineStr">
        <is>
          <t>PR-2203-348</t>
        </is>
      </c>
      <c r="E174" t="inlineStr">
        <is>
          <t>HUPAC</t>
        </is>
      </c>
      <c r="F174" t="inlineStr">
        <is>
          <t>Cargo</t>
        </is>
      </c>
      <c r="I174">
        <f>_xlfn.NUMBERVALUE(A174)</f>
        <v/>
      </c>
    </row>
    <row r="175">
      <c r="A175" s="2" t="n">
        <v>4978819</v>
      </c>
      <c r="C175" t="inlineStr">
        <is>
          <t>HA-2203-188</t>
        </is>
      </c>
      <c r="D175" t="inlineStr">
        <is>
          <t>PR-2203-268</t>
        </is>
      </c>
      <c r="E175" t="inlineStr">
        <is>
          <t>HUPAC</t>
        </is>
      </c>
      <c r="F175" t="inlineStr">
        <is>
          <t>Cargo</t>
        </is>
      </c>
      <c r="I175">
        <f>_xlfn.NUMBERVALUE(A175)</f>
        <v/>
      </c>
    </row>
    <row r="176">
      <c r="A176" s="2" t="n">
        <v>4978654</v>
      </c>
      <c r="C176" t="inlineStr">
        <is>
          <t>HA-2203-183</t>
        </is>
      </c>
      <c r="D176" t="inlineStr">
        <is>
          <t>PR2203-319</t>
        </is>
      </c>
      <c r="E176" t="inlineStr">
        <is>
          <t>HUPAC</t>
        </is>
      </c>
      <c r="F176" t="inlineStr">
        <is>
          <t>Cargo</t>
        </is>
      </c>
      <c r="I176">
        <f>_xlfn.NUMBERVALUE(A176)</f>
        <v/>
      </c>
    </row>
    <row r="177">
      <c r="A177" s="2" t="n">
        <v>4978722</v>
      </c>
      <c r="C177" t="inlineStr">
        <is>
          <t>HA-2203-177</t>
        </is>
      </c>
      <c r="D177" t="inlineStr">
        <is>
          <t>PR-2203-334</t>
        </is>
      </c>
      <c r="E177" t="inlineStr">
        <is>
          <t>HUPAC</t>
        </is>
      </c>
      <c r="F177" t="inlineStr">
        <is>
          <t>Cargo</t>
        </is>
      </c>
      <c r="I177">
        <f>_xlfn.NUMBERVALUE(A177)</f>
        <v/>
      </c>
    </row>
    <row r="178">
      <c r="A178" s="2" t="n">
        <v>4978543</v>
      </c>
      <c r="C178" t="inlineStr">
        <is>
          <t>HA-2203-185</t>
        </is>
      </c>
      <c r="D178" t="inlineStr">
        <is>
          <t>PR-2203-291</t>
        </is>
      </c>
      <c r="E178" t="inlineStr">
        <is>
          <t>HUPAC</t>
        </is>
      </c>
      <c r="F178" t="inlineStr">
        <is>
          <t>Cargo</t>
        </is>
      </c>
      <c r="I178">
        <f>_xlfn.NUMBERVALUE(A178)</f>
        <v/>
      </c>
    </row>
    <row r="179">
      <c r="A179" s="2" t="n">
        <v>4978784</v>
      </c>
      <c r="C179" t="inlineStr">
        <is>
          <t>HA-2203-197</t>
        </is>
      </c>
      <c r="D179" t="inlineStr">
        <is>
          <t>PR-2203-328</t>
        </is>
      </c>
      <c r="E179" t="inlineStr">
        <is>
          <t>HUPAC</t>
        </is>
      </c>
      <c r="F179" t="inlineStr">
        <is>
          <t>Cargo</t>
        </is>
      </c>
      <c r="I179">
        <f>_xlfn.NUMBERVALUE(A179)</f>
        <v/>
      </c>
    </row>
    <row r="180">
      <c r="A180" s="2" t="n">
        <v>4978739</v>
      </c>
      <c r="C180" t="inlineStr">
        <is>
          <t>HA-2203-199</t>
        </is>
      </c>
      <c r="D180" t="inlineStr">
        <is>
          <t>PR-2203-265</t>
        </is>
      </c>
      <c r="E180" t="inlineStr">
        <is>
          <t>HUPAC</t>
        </is>
      </c>
      <c r="F180" t="inlineStr">
        <is>
          <t>Cargo</t>
        </is>
      </c>
      <c r="I180">
        <f>_xlfn.NUMBERVALUE(A180)</f>
        <v/>
      </c>
    </row>
    <row r="181">
      <c r="A181" s="2" t="n">
        <v>4978605</v>
      </c>
      <c r="C181" t="inlineStr">
        <is>
          <t>HA-2203-11</t>
        </is>
      </c>
      <c r="D181" t="inlineStr">
        <is>
          <t>PR-2203-338</t>
        </is>
      </c>
      <c r="E181" t="inlineStr">
        <is>
          <t>HUPAC</t>
        </is>
      </c>
      <c r="F181" t="inlineStr">
        <is>
          <t>Cargo</t>
        </is>
      </c>
      <c r="I181">
        <f>_xlfn.NUMBERVALUE(A181)</f>
        <v/>
      </c>
    </row>
    <row r="182">
      <c r="A182" s="2" t="n">
        <v>4978617</v>
      </c>
      <c r="C182" t="inlineStr">
        <is>
          <t>HA-2203-107</t>
        </is>
      </c>
      <c r="D182" t="inlineStr">
        <is>
          <t>PR2206-425</t>
        </is>
      </c>
      <c r="E182" t="inlineStr">
        <is>
          <t>HUPAC</t>
        </is>
      </c>
      <c r="F182" t="inlineStr">
        <is>
          <t>Cargo</t>
        </is>
      </c>
      <c r="I182">
        <f>_xlfn.NUMBERVALUE(A182)</f>
        <v/>
      </c>
    </row>
    <row r="183">
      <c r="A183" s="2" t="n">
        <v>4978582</v>
      </c>
      <c r="C183" t="inlineStr">
        <is>
          <t>HA-2203-97</t>
        </is>
      </c>
      <c r="D183" t="inlineStr">
        <is>
          <t>PR-2203-300</t>
        </is>
      </c>
      <c r="E183" t="inlineStr">
        <is>
          <t>HUPAC</t>
        </is>
      </c>
      <c r="F183" t="inlineStr">
        <is>
          <t>Cargo</t>
        </is>
      </c>
      <c r="I183">
        <f>_xlfn.NUMBERVALUE(A183)</f>
        <v/>
      </c>
    </row>
    <row r="184">
      <c r="A184" s="2" t="n">
        <v>4978747</v>
      </c>
      <c r="C184" t="inlineStr">
        <is>
          <t>HA-2203-127</t>
        </is>
      </c>
      <c r="D184" t="inlineStr">
        <is>
          <t>PR-2203-359</t>
        </is>
      </c>
      <c r="E184" t="inlineStr">
        <is>
          <t>HUPAC</t>
        </is>
      </c>
      <c r="F184" t="inlineStr">
        <is>
          <t>Cargo</t>
        </is>
      </c>
      <c r="I184">
        <f>_xlfn.NUMBERVALUE(A184)</f>
        <v/>
      </c>
    </row>
    <row r="185">
      <c r="A185" s="2" t="n">
        <v>4978769</v>
      </c>
      <c r="C185" t="inlineStr">
        <is>
          <t>HA-2203-81</t>
        </is>
      </c>
      <c r="D185" t="inlineStr">
        <is>
          <t>PR-2203-309</t>
        </is>
      </c>
      <c r="E185" t="inlineStr">
        <is>
          <t>HUPAC</t>
        </is>
      </c>
      <c r="F185" t="inlineStr">
        <is>
          <t>Cargo</t>
        </is>
      </c>
      <c r="I185">
        <f>_xlfn.NUMBERVALUE(A185)</f>
        <v/>
      </c>
    </row>
    <row r="186">
      <c r="A186" s="2" t="n">
        <v>4978803</v>
      </c>
      <c r="C186" t="inlineStr">
        <is>
          <t>HA-2203-103</t>
        </is>
      </c>
      <c r="D186" t="inlineStr">
        <is>
          <t>PR-2203-316</t>
        </is>
      </c>
      <c r="E186" t="inlineStr">
        <is>
          <t>HUPAC</t>
        </is>
      </c>
      <c r="F186" t="inlineStr">
        <is>
          <t>Cargo</t>
        </is>
      </c>
      <c r="I186">
        <f>_xlfn.NUMBERVALUE(A186)</f>
        <v/>
      </c>
    </row>
    <row r="187">
      <c r="A187" s="2" t="n">
        <v>4978606</v>
      </c>
      <c r="C187" t="inlineStr">
        <is>
          <t>HA-2203-115</t>
        </is>
      </c>
      <c r="D187" t="inlineStr">
        <is>
          <t>PR-2203-335</t>
        </is>
      </c>
      <c r="E187" t="inlineStr">
        <is>
          <t>HUPAC</t>
        </is>
      </c>
      <c r="F187" t="inlineStr">
        <is>
          <t>Cargo</t>
        </is>
      </c>
      <c r="I187">
        <f>_xlfn.NUMBERVALUE(A187)</f>
        <v/>
      </c>
    </row>
    <row r="188">
      <c r="A188" s="2" t="n">
        <v>4978600</v>
      </c>
      <c r="C188" t="inlineStr">
        <is>
          <t>HA-2203-121</t>
        </is>
      </c>
      <c r="D188" t="inlineStr">
        <is>
          <t>PR-2203-296</t>
        </is>
      </c>
      <c r="E188" t="inlineStr">
        <is>
          <t>HUPAC</t>
        </is>
      </c>
      <c r="F188" t="inlineStr">
        <is>
          <t>Cargo</t>
        </is>
      </c>
      <c r="I188">
        <f>_xlfn.NUMBERVALUE(A188)</f>
        <v/>
      </c>
    </row>
    <row r="189">
      <c r="A189" s="2" t="n">
        <v>4978651</v>
      </c>
      <c r="C189" t="inlineStr">
        <is>
          <t>HA-2203-113</t>
        </is>
      </c>
      <c r="D189" t="inlineStr">
        <is>
          <t>PR-2203-318</t>
        </is>
      </c>
      <c r="E189" t="inlineStr">
        <is>
          <t>HUPAC</t>
        </is>
      </c>
      <c r="F189" t="inlineStr">
        <is>
          <t>Cargo</t>
        </is>
      </c>
      <c r="I189">
        <f>_xlfn.NUMBERVALUE(A189)</f>
        <v/>
      </c>
    </row>
    <row r="190">
      <c r="A190" s="2" t="n">
        <v>4978798</v>
      </c>
      <c r="C190" t="inlineStr">
        <is>
          <t>HA-2203-117</t>
        </is>
      </c>
      <c r="D190" t="inlineStr">
        <is>
          <t>PR2203-207</t>
        </is>
      </c>
      <c r="E190" t="inlineStr">
        <is>
          <t>HUPAC</t>
        </is>
      </c>
      <c r="F190" t="inlineStr">
        <is>
          <t>Cargo</t>
        </is>
      </c>
      <c r="I190">
        <f>_xlfn.NUMBERVALUE(A190)</f>
        <v/>
      </c>
    </row>
    <row r="191">
      <c r="A191" s="2" t="n">
        <v>4978750</v>
      </c>
      <c r="C191" t="inlineStr">
        <is>
          <t>HA-2203-119</t>
        </is>
      </c>
      <c r="D191" t="inlineStr">
        <is>
          <t>PR-2203-279</t>
        </is>
      </c>
      <c r="E191" t="inlineStr">
        <is>
          <t>HUPAC</t>
        </is>
      </c>
      <c r="F191" t="inlineStr">
        <is>
          <t>Cargo</t>
        </is>
      </c>
      <c r="I191">
        <f>_xlfn.NUMBERVALUE(A191)</f>
        <v/>
      </c>
    </row>
    <row r="192">
      <c r="A192" s="2" t="n">
        <v>4978586</v>
      </c>
      <c r="C192" t="inlineStr">
        <is>
          <t>HA-2203-123</t>
        </is>
      </c>
      <c r="D192" t="inlineStr">
        <is>
          <t>PR-2203-301</t>
        </is>
      </c>
      <c r="E192" t="inlineStr">
        <is>
          <t>HUPAC</t>
        </is>
      </c>
      <c r="F192" t="inlineStr">
        <is>
          <t>Cargo</t>
        </is>
      </c>
      <c r="I192">
        <f>_xlfn.NUMBERVALUE(A192)</f>
        <v/>
      </c>
    </row>
    <row r="193">
      <c r="A193" s="2" t="n">
        <v>4978745</v>
      </c>
      <c r="C193" t="inlineStr">
        <is>
          <t>HA-2203-133</t>
        </is>
      </c>
      <c r="D193" t="inlineStr">
        <is>
          <t>PR-2203-308</t>
        </is>
      </c>
      <c r="E193" t="inlineStr">
        <is>
          <t>HUPAC</t>
        </is>
      </c>
      <c r="F193" t="inlineStr">
        <is>
          <t>Cargo</t>
        </is>
      </c>
      <c r="I193">
        <f>_xlfn.NUMBERVALUE(A193)</f>
        <v/>
      </c>
    </row>
    <row r="194">
      <c r="A194" s="2" t="n">
        <v>4978786</v>
      </c>
      <c r="C194" t="inlineStr">
        <is>
          <t>HA-2203-129</t>
        </is>
      </c>
      <c r="D194" t="inlineStr">
        <is>
          <t>PR-2203-314</t>
        </is>
      </c>
      <c r="E194" t="inlineStr">
        <is>
          <t>HUPAC</t>
        </is>
      </c>
      <c r="F194" t="inlineStr">
        <is>
          <t>Cargo</t>
        </is>
      </c>
      <c r="I194">
        <f>_xlfn.NUMBERVALUE(A194)</f>
        <v/>
      </c>
    </row>
    <row r="195">
      <c r="A195" s="2" t="n">
        <v>4978812</v>
      </c>
      <c r="C195" t="inlineStr">
        <is>
          <t>HA-2203-143</t>
        </is>
      </c>
      <c r="D195" t="inlineStr">
        <is>
          <t>PR-2203-356</t>
        </is>
      </c>
      <c r="E195" t="inlineStr">
        <is>
          <t>HUPAC</t>
        </is>
      </c>
      <c r="F195" t="inlineStr">
        <is>
          <t>Cargo</t>
        </is>
      </c>
      <c r="I195">
        <f>_xlfn.NUMBERVALUE(A195)</f>
        <v/>
      </c>
    </row>
    <row r="196">
      <c r="A196" s="2" t="n">
        <v>4978576</v>
      </c>
      <c r="C196" t="inlineStr">
        <is>
          <t>HA-2203-141</t>
        </is>
      </c>
      <c r="D196" t="inlineStr">
        <is>
          <t>PR-2203-319</t>
        </is>
      </c>
      <c r="E196" t="inlineStr">
        <is>
          <t>HUPAC</t>
        </is>
      </c>
      <c r="F196" t="inlineStr">
        <is>
          <t>Cargo</t>
        </is>
      </c>
      <c r="I196">
        <f>_xlfn.NUMBERVALUE(A196)</f>
        <v/>
      </c>
    </row>
    <row r="197">
      <c r="A197" s="2" t="n">
        <v>4978522</v>
      </c>
      <c r="C197" t="inlineStr">
        <is>
          <t>HA-2203-135</t>
        </is>
      </c>
      <c r="D197" t="inlineStr">
        <is>
          <t>PR-2203-330</t>
        </is>
      </c>
      <c r="E197" t="inlineStr">
        <is>
          <t>HUPAC</t>
        </is>
      </c>
      <c r="F197" t="inlineStr">
        <is>
          <t>Cargo</t>
        </is>
      </c>
      <c r="I197">
        <f>_xlfn.NUMBERVALUE(A197)</f>
        <v/>
      </c>
    </row>
    <row r="198">
      <c r="A198" s="2" t="n">
        <v>4978717</v>
      </c>
      <c r="C198" t="inlineStr">
        <is>
          <t>HA-2203-99</t>
        </is>
      </c>
      <c r="D198" t="inlineStr">
        <is>
          <t>PR-2203-303</t>
        </is>
      </c>
      <c r="E198" t="inlineStr">
        <is>
          <t>HUPAC</t>
        </is>
      </c>
      <c r="F198" t="inlineStr">
        <is>
          <t>Cargo</t>
        </is>
      </c>
      <c r="I198">
        <f>_xlfn.NUMBERVALUE(A198)</f>
        <v/>
      </c>
    </row>
    <row r="199">
      <c r="A199" s="2" t="n">
        <v>4978866</v>
      </c>
      <c r="C199" t="inlineStr">
        <is>
          <t>HA-2203-77</t>
        </is>
      </c>
      <c r="D199" t="inlineStr">
        <is>
          <t>PR-2203-288</t>
        </is>
      </c>
      <c r="E199" t="inlineStr">
        <is>
          <t>HUPAC</t>
        </is>
      </c>
      <c r="F199" t="inlineStr">
        <is>
          <t>Cargo</t>
        </is>
      </c>
      <c r="I199">
        <f>_xlfn.NUMBERVALUE(A199)</f>
        <v/>
      </c>
    </row>
    <row r="200">
      <c r="A200" s="2" t="n">
        <v>4978542</v>
      </c>
      <c r="C200" t="inlineStr">
        <is>
          <t>HA-2203-101</t>
        </is>
      </c>
      <c r="D200" t="inlineStr">
        <is>
          <t>PR-2203-329</t>
        </is>
      </c>
      <c r="E200" t="inlineStr">
        <is>
          <t>HUPAC</t>
        </is>
      </c>
      <c r="F200" t="inlineStr">
        <is>
          <t>Cargo</t>
        </is>
      </c>
      <c r="I200">
        <f>_xlfn.NUMBERVALUE(A200)</f>
        <v/>
      </c>
    </row>
    <row r="201">
      <c r="A201" s="2" t="n">
        <v>4978785</v>
      </c>
      <c r="C201" t="inlineStr">
        <is>
          <t>HA-2203-91</t>
        </is>
      </c>
      <c r="D201" t="inlineStr">
        <is>
          <t>PR-2203-327</t>
        </is>
      </c>
      <c r="E201" t="inlineStr">
        <is>
          <t>HUPAC</t>
        </is>
      </c>
      <c r="F201" t="inlineStr">
        <is>
          <t>Cargo</t>
        </is>
      </c>
      <c r="I201">
        <f>_xlfn.NUMBERVALUE(A201)</f>
        <v/>
      </c>
    </row>
    <row r="202">
      <c r="A202" s="2" t="n">
        <v>4978865</v>
      </c>
      <c r="C202" t="inlineStr">
        <is>
          <t>HA-2203-138</t>
        </is>
      </c>
      <c r="D202" t="inlineStr">
        <is>
          <t>PR-2203-297</t>
        </is>
      </c>
      <c r="E202" t="inlineStr">
        <is>
          <t>HUPAC</t>
        </is>
      </c>
      <c r="F202" t="inlineStr">
        <is>
          <t>Cargo</t>
        </is>
      </c>
      <c r="I202">
        <f>_xlfn.NUMBERVALUE(A202)</f>
        <v/>
      </c>
    </row>
    <row r="203">
      <c r="A203" s="2" t="n">
        <v>4978781</v>
      </c>
      <c r="C203" t="inlineStr">
        <is>
          <t>HA-2203-83</t>
        </is>
      </c>
      <c r="D203" t="inlineStr">
        <is>
          <t>PR-2203-360</t>
        </is>
      </c>
      <c r="E203" t="inlineStr">
        <is>
          <t>HUPAC</t>
        </is>
      </c>
      <c r="F203" t="inlineStr">
        <is>
          <t>Cargo</t>
        </is>
      </c>
      <c r="I203">
        <f>_xlfn.NUMBERVALUE(A203)</f>
        <v/>
      </c>
    </row>
    <row r="204">
      <c r="A204" s="2" t="n">
        <v>4978626</v>
      </c>
      <c r="C204" t="inlineStr">
        <is>
          <t>HA-2203-160</t>
        </is>
      </c>
      <c r="D204" t="inlineStr">
        <is>
          <t>PR-2203-269</t>
        </is>
      </c>
      <c r="E204" t="inlineStr">
        <is>
          <t>HUPAC</t>
        </is>
      </c>
      <c r="F204" t="inlineStr">
        <is>
          <t>Cargo</t>
        </is>
      </c>
      <c r="I204">
        <f>_xlfn.NUMBERVALUE(A204)</f>
        <v/>
      </c>
    </row>
    <row r="205">
      <c r="A205" s="2" t="n">
        <v>4978794</v>
      </c>
      <c r="C205" t="inlineStr">
        <is>
          <t>HA-2203-145</t>
        </is>
      </c>
      <c r="D205" t="inlineStr">
        <is>
          <t>PR-2203-321</t>
        </is>
      </c>
      <c r="E205" t="inlineStr">
        <is>
          <t>HUPAC</t>
        </is>
      </c>
      <c r="F205" t="inlineStr">
        <is>
          <t>Cargo</t>
        </is>
      </c>
      <c r="I205">
        <f>_xlfn.NUMBERVALUE(A205)</f>
        <v/>
      </c>
    </row>
    <row r="206">
      <c r="A206" s="2" t="n">
        <v>4978581</v>
      </c>
      <c r="C206" t="inlineStr">
        <is>
          <t>HA-2203-93</t>
        </is>
      </c>
      <c r="D206" t="inlineStr">
        <is>
          <t>PR-2203-336</t>
        </is>
      </c>
      <c r="E206" t="inlineStr">
        <is>
          <t>HUPAC</t>
        </is>
      </c>
      <c r="F206" t="inlineStr">
        <is>
          <t>Cargo</t>
        </is>
      </c>
      <c r="I206">
        <f>_xlfn.NUMBERVALUE(A206)</f>
        <v/>
      </c>
    </row>
    <row r="207">
      <c r="A207" s="2" t="n">
        <v>4978892</v>
      </c>
      <c r="C207" t="inlineStr">
        <is>
          <t>HA-2203-156</t>
        </is>
      </c>
      <c r="D207" t="inlineStr">
        <is>
          <t>PR-2203-XXX</t>
        </is>
      </c>
      <c r="E207" t="inlineStr">
        <is>
          <t>HUPAC</t>
        </is>
      </c>
      <c r="F207" t="inlineStr">
        <is>
          <t>Cargo</t>
        </is>
      </c>
      <c r="I207">
        <f>_xlfn.NUMBERVALUE(A207)</f>
        <v/>
      </c>
    </row>
    <row r="208">
      <c r="A208" s="2" t="n">
        <v>4978574</v>
      </c>
      <c r="C208" t="inlineStr">
        <is>
          <t>HA-2203-139</t>
        </is>
      </c>
      <c r="D208" t="inlineStr">
        <is>
          <t>PR-2203-342</t>
        </is>
      </c>
      <c r="E208" t="inlineStr">
        <is>
          <t>HUPAC</t>
        </is>
      </c>
      <c r="F208" t="inlineStr">
        <is>
          <t>Cargo</t>
        </is>
      </c>
      <c r="I208">
        <f>_xlfn.NUMBERVALUE(A208)</f>
        <v/>
      </c>
    </row>
    <row r="209">
      <c r="A209" s="2" t="n">
        <v>4978744</v>
      </c>
      <c r="C209" t="inlineStr">
        <is>
          <t>HA-2203-137</t>
        </is>
      </c>
      <c r="D209" s="7" t="inlineStr">
        <is>
          <t>PR-2203-306</t>
        </is>
      </c>
      <c r="E209" t="inlineStr">
        <is>
          <t>HUPAC</t>
        </is>
      </c>
      <c r="F209" t="inlineStr">
        <is>
          <t>Cargo</t>
        </is>
      </c>
      <c r="G209" t="inlineStr">
        <is>
          <t>duplicate</t>
        </is>
      </c>
      <c r="I209">
        <f>_xlfn.NUMBERVALUE(A209)</f>
        <v/>
      </c>
    </row>
    <row r="210">
      <c r="A210" s="2" t="n">
        <v>4978870</v>
      </c>
      <c r="C210" t="inlineStr">
        <is>
          <t>HA-2203-125</t>
        </is>
      </c>
      <c r="D210" t="inlineStr">
        <is>
          <t>PR-2203-317</t>
        </is>
      </c>
      <c r="E210" t="inlineStr">
        <is>
          <t>HUPAC</t>
        </is>
      </c>
      <c r="F210" t="inlineStr">
        <is>
          <t>Cargo</t>
        </is>
      </c>
      <c r="I210">
        <f>_xlfn.NUMBERVALUE(A210)</f>
        <v/>
      </c>
    </row>
    <row r="211">
      <c r="A211" s="2" t="n">
        <v>4978912</v>
      </c>
      <c r="C211" t="inlineStr">
        <is>
          <t>HA-2203-105</t>
        </is>
      </c>
      <c r="D211" t="inlineStr">
        <is>
          <t>PR-2203-340</t>
        </is>
      </c>
      <c r="E211" t="inlineStr">
        <is>
          <t>HUPAC</t>
        </is>
      </c>
      <c r="F211" t="inlineStr">
        <is>
          <t>Cargo</t>
        </is>
      </c>
      <c r="I211">
        <f>_xlfn.NUMBERVALUE(A211)</f>
        <v/>
      </c>
    </row>
    <row r="212">
      <c r="A212" s="2" t="n">
        <v>4978873</v>
      </c>
      <c r="C212" t="inlineStr">
        <is>
          <t>HA-2203-246</t>
        </is>
      </c>
      <c r="D212" t="inlineStr">
        <is>
          <t>PR2203-333</t>
        </is>
      </c>
      <c r="E212" t="inlineStr">
        <is>
          <t>HUPAC</t>
        </is>
      </c>
      <c r="F212" t="inlineStr">
        <is>
          <t>Cargo</t>
        </is>
      </c>
      <c r="I212">
        <f>_xlfn.NUMBERVALUE(A212)</f>
        <v/>
      </c>
    </row>
    <row r="213">
      <c r="A213" s="2" t="n">
        <v>4978849</v>
      </c>
      <c r="C213" t="inlineStr">
        <is>
          <t>HA-2203-180</t>
        </is>
      </c>
      <c r="D213" t="inlineStr">
        <is>
          <t>PR-2203-290</t>
        </is>
      </c>
      <c r="E213" t="inlineStr">
        <is>
          <t>HUPAC</t>
        </is>
      </c>
      <c r="F213" t="inlineStr">
        <is>
          <t>Cargo</t>
        </is>
      </c>
      <c r="I213">
        <f>_xlfn.NUMBERVALUE(A213)</f>
        <v/>
      </c>
    </row>
    <row r="214">
      <c r="A214" s="2" t="n">
        <v>4978783</v>
      </c>
      <c r="C214" t="inlineStr">
        <is>
          <t>Tadiran</t>
        </is>
      </c>
      <c r="D214" t="inlineStr">
        <is>
          <t>LINK-PR2201-010</t>
        </is>
      </c>
      <c r="E214" t="inlineStr">
        <is>
          <t>LTG</t>
        </is>
      </c>
      <c r="F214" t="inlineStr">
        <is>
          <t>Link</t>
        </is>
      </c>
      <c r="I214">
        <f>_xlfn.NUMBERVALUE(A214)</f>
        <v/>
      </c>
    </row>
    <row r="215">
      <c r="A215" s="2" t="n">
        <v>4978720</v>
      </c>
      <c r="C215" t="inlineStr">
        <is>
          <t>Tadiran</t>
        </is>
      </c>
      <c r="D215" t="inlineStr">
        <is>
          <t>LINK-PR2201-006</t>
        </is>
      </c>
      <c r="E215" t="inlineStr">
        <is>
          <t>LTG</t>
        </is>
      </c>
      <c r="F215" t="inlineStr">
        <is>
          <t>Link</t>
        </is>
      </c>
      <c r="I215">
        <f>_xlfn.NUMBERVALUE(A215)</f>
        <v/>
      </c>
    </row>
    <row r="216">
      <c r="A216" s="2" t="n">
        <v>4978771</v>
      </c>
      <c r="C216" t="inlineStr">
        <is>
          <t>Tadiran</t>
        </is>
      </c>
      <c r="D216" t="inlineStr">
        <is>
          <t>LINK-PR2201-007</t>
        </is>
      </c>
      <c r="E216" t="inlineStr">
        <is>
          <t>LTG</t>
        </is>
      </c>
      <c r="F216" t="inlineStr">
        <is>
          <t>Link</t>
        </is>
      </c>
      <c r="I216">
        <f>_xlfn.NUMBERVALUE(A216)</f>
        <v/>
      </c>
    </row>
    <row r="217">
      <c r="A217" s="2" t="n">
        <v>4978780</v>
      </c>
      <c r="C217" t="inlineStr">
        <is>
          <t>Tadiran</t>
        </is>
      </c>
      <c r="D217" t="inlineStr">
        <is>
          <t>LINK-PR2201-009</t>
        </is>
      </c>
      <c r="E217" t="inlineStr">
        <is>
          <t>LTG</t>
        </is>
      </c>
      <c r="F217" t="inlineStr">
        <is>
          <t>Link</t>
        </is>
      </c>
      <c r="I217">
        <f>_xlfn.NUMBERVALUE(A217)</f>
        <v/>
      </c>
    </row>
    <row r="218">
      <c r="A218" s="2" t="n">
        <v>4978804</v>
      </c>
      <c r="C218" t="inlineStr">
        <is>
          <t>Tadiran</t>
        </is>
      </c>
      <c r="D218" t="inlineStr">
        <is>
          <t>LINK-PR2201-003</t>
        </is>
      </c>
      <c r="E218" t="inlineStr">
        <is>
          <t>LTG</t>
        </is>
      </c>
      <c r="F218" t="inlineStr">
        <is>
          <t>Link</t>
        </is>
      </c>
      <c r="I218">
        <f>_xlfn.NUMBERVALUE(A218)</f>
        <v/>
      </c>
    </row>
    <row r="219">
      <c r="A219" s="2" t="n">
        <v>4978726</v>
      </c>
      <c r="C219" t="inlineStr">
        <is>
          <t>Tadiran</t>
        </is>
      </c>
      <c r="D219" t="inlineStr">
        <is>
          <t>LINK-PR2201-002</t>
        </is>
      </c>
      <c r="E219" t="inlineStr">
        <is>
          <t>LTG</t>
        </is>
      </c>
      <c r="F219" t="inlineStr">
        <is>
          <t>Link</t>
        </is>
      </c>
      <c r="I219">
        <f>_xlfn.NUMBERVALUE(A219)</f>
        <v/>
      </c>
    </row>
    <row r="220">
      <c r="A220" s="2" t="n">
        <v>4978805</v>
      </c>
      <c r="C220" t="inlineStr">
        <is>
          <t>Tadiran</t>
        </is>
      </c>
      <c r="D220" t="inlineStr">
        <is>
          <t>LINK-PR2201-001</t>
        </is>
      </c>
      <c r="E220" t="inlineStr">
        <is>
          <t>LTG</t>
        </is>
      </c>
      <c r="F220" t="inlineStr">
        <is>
          <t>Link</t>
        </is>
      </c>
      <c r="I220">
        <f>_xlfn.NUMBERVALUE(A220)</f>
        <v/>
      </c>
    </row>
    <row r="221">
      <c r="A221" s="2" t="n">
        <v>4978875</v>
      </c>
      <c r="C221" t="inlineStr">
        <is>
          <t>HA-2203-436</t>
        </is>
      </c>
      <c r="D221" t="inlineStr">
        <is>
          <t>PR-2203-176</t>
        </is>
      </c>
      <c r="E221" t="inlineStr">
        <is>
          <t>HUPAC</t>
        </is>
      </c>
      <c r="F221" t="inlineStr">
        <is>
          <t>Cargo</t>
        </is>
      </c>
      <c r="G221" t="inlineStr">
        <is>
          <t>warranty replacement</t>
        </is>
      </c>
      <c r="I221">
        <f>_xlfn.NUMBERVALUE(A221)</f>
        <v/>
      </c>
    </row>
    <row r="222">
      <c r="A222" s="2" t="n">
        <v>4978593</v>
      </c>
      <c r="C222" t="inlineStr">
        <is>
          <t>SS-PR2203-349</t>
        </is>
      </c>
      <c r="D222" t="inlineStr">
        <is>
          <t>PR-2203-241</t>
        </is>
      </c>
      <c r="E222" t="inlineStr">
        <is>
          <t>HUPAC</t>
        </is>
      </c>
      <c r="F222" t="inlineStr">
        <is>
          <t>Cargo</t>
        </is>
      </c>
      <c r="G222" t="inlineStr">
        <is>
          <t>warranty replacement</t>
        </is>
      </c>
      <c r="I222">
        <f>_xlfn.NUMBERVALUE(A222)</f>
        <v/>
      </c>
    </row>
    <row r="223">
      <c r="A223" s="2" t="n">
        <v>4978580</v>
      </c>
      <c r="C223" t="inlineStr">
        <is>
          <t>SS-PR2203-295</t>
        </is>
      </c>
      <c r="D223" t="inlineStr">
        <is>
          <t>PR-2203-216</t>
        </is>
      </c>
      <c r="E223" t="inlineStr">
        <is>
          <t>HUPAC</t>
        </is>
      </c>
      <c r="F223" t="inlineStr">
        <is>
          <t>Cargo</t>
        </is>
      </c>
      <c r="G223" t="inlineStr">
        <is>
          <t>warranty replacement</t>
        </is>
      </c>
      <c r="I223">
        <f>_xlfn.NUMBERVALUE(A223)</f>
        <v/>
      </c>
    </row>
    <row r="224">
      <c r="A224" s="2" t="n">
        <v>4978822</v>
      </c>
      <c r="C224" t="inlineStr">
        <is>
          <t>SS-PR2203-303</t>
        </is>
      </c>
      <c r="D224" t="inlineStr">
        <is>
          <t>PR-2203-184</t>
        </is>
      </c>
      <c r="E224" t="inlineStr">
        <is>
          <t>HUPAC</t>
        </is>
      </c>
      <c r="F224" t="inlineStr">
        <is>
          <t>Cargo</t>
        </is>
      </c>
      <c r="G224" t="inlineStr">
        <is>
          <t>warranty replacement</t>
        </is>
      </c>
      <c r="I224">
        <f>_xlfn.NUMBERVALUE(A224)</f>
        <v/>
      </c>
    </row>
    <row r="225">
      <c r="A225" s="2" t="n">
        <v>4978525</v>
      </c>
      <c r="C225" t="inlineStr">
        <is>
          <t>SS-PR2203-309</t>
        </is>
      </c>
      <c r="D225" t="inlineStr">
        <is>
          <t>PR-2203-142</t>
        </is>
      </c>
      <c r="E225" t="inlineStr">
        <is>
          <t>HUPAC</t>
        </is>
      </c>
      <c r="F225" t="inlineStr">
        <is>
          <t>Cargo</t>
        </is>
      </c>
      <c r="G225" t="inlineStr">
        <is>
          <t>warranty replacement</t>
        </is>
      </c>
      <c r="I225">
        <f>_xlfn.NUMBERVALUE(A225)</f>
        <v/>
      </c>
    </row>
    <row r="226">
      <c r="A226" s="2" t="n">
        <v>4978764</v>
      </c>
      <c r="C226" t="inlineStr">
        <is>
          <t>SS-PR2203-311</t>
        </is>
      </c>
      <c r="D226" t="inlineStr">
        <is>
          <t>PR-2203-217</t>
        </is>
      </c>
      <c r="E226" t="inlineStr">
        <is>
          <t>HUPAC</t>
        </is>
      </c>
      <c r="F226" t="inlineStr">
        <is>
          <t>Cargo</t>
        </is>
      </c>
      <c r="G226" t="inlineStr">
        <is>
          <t>warranty replacement</t>
        </is>
      </c>
      <c r="I226">
        <f>_xlfn.NUMBERVALUE(A226)</f>
        <v/>
      </c>
    </row>
    <row r="227">
      <c r="A227" s="2" t="n">
        <v>4978594</v>
      </c>
      <c r="C227" t="inlineStr">
        <is>
          <t>SG-PR2203-428</t>
        </is>
      </c>
      <c r="D227" t="inlineStr">
        <is>
          <t>PR-2203-240</t>
        </is>
      </c>
      <c r="E227" t="inlineStr">
        <is>
          <t>HUPAC</t>
        </is>
      </c>
      <c r="F227" t="inlineStr">
        <is>
          <t>Cargo</t>
        </is>
      </c>
      <c r="G227" t="inlineStr">
        <is>
          <t>warranty replacement</t>
        </is>
      </c>
      <c r="I227">
        <f>_xlfn.NUMBERVALUE(A227)</f>
        <v/>
      </c>
    </row>
    <row r="228">
      <c r="A228" s="2" t="n">
        <v>4978652</v>
      </c>
      <c r="C228" t="inlineStr">
        <is>
          <t>SS-PR2203-345</t>
        </is>
      </c>
      <c r="D228" t="inlineStr">
        <is>
          <t>PR-2203-182</t>
        </is>
      </c>
      <c r="E228" t="inlineStr">
        <is>
          <t>HUPAC</t>
        </is>
      </c>
      <c r="F228" t="inlineStr">
        <is>
          <t>Cargo</t>
        </is>
      </c>
      <c r="G228" t="inlineStr">
        <is>
          <t>warranty replacement</t>
        </is>
      </c>
      <c r="I228">
        <f>_xlfn.NUMBERVALUE(A228)</f>
        <v/>
      </c>
    </row>
    <row r="229">
      <c r="A229" s="2" t="n">
        <v>4978587</v>
      </c>
      <c r="C229" t="inlineStr">
        <is>
          <t>SG-PR2203-402</t>
        </is>
      </c>
      <c r="D229" t="inlineStr">
        <is>
          <t>PR-2203-151</t>
        </is>
      </c>
      <c r="E229" t="inlineStr">
        <is>
          <t>HUPAC</t>
        </is>
      </c>
      <c r="F229" t="inlineStr">
        <is>
          <t>Cargo</t>
        </is>
      </c>
      <c r="G229" t="inlineStr">
        <is>
          <t>warranty replacement</t>
        </is>
      </c>
      <c r="I229">
        <f>_xlfn.NUMBERVALUE(A229)</f>
        <v/>
      </c>
    </row>
    <row r="230">
      <c r="A230" s="2" t="n">
        <v>4978904</v>
      </c>
      <c r="C230" t="inlineStr">
        <is>
          <t>HA-2203-460</t>
        </is>
      </c>
      <c r="D230" t="inlineStr">
        <is>
          <t>PR-2203-119</t>
        </is>
      </c>
      <c r="E230" t="inlineStr">
        <is>
          <t>HUPAC</t>
        </is>
      </c>
      <c r="F230" t="inlineStr">
        <is>
          <t>Cargo</t>
        </is>
      </c>
      <c r="G230" t="inlineStr">
        <is>
          <t>warranty replacement</t>
        </is>
      </c>
      <c r="I230">
        <f>_xlfn.NUMBERVALUE(A230)</f>
        <v/>
      </c>
    </row>
    <row r="231">
      <c r="A231" s="2" t="n">
        <v>4978545</v>
      </c>
      <c r="C231" t="inlineStr">
        <is>
          <t>HA-2203-432</t>
        </is>
      </c>
      <c r="D231" t="inlineStr">
        <is>
          <t>PR-2203-243</t>
        </is>
      </c>
      <c r="E231" t="inlineStr">
        <is>
          <t>EUROWAGON</t>
        </is>
      </c>
      <c r="F231" t="inlineStr">
        <is>
          <t>Cargo</t>
        </is>
      </c>
      <c r="I231">
        <f>_xlfn.NUMBERVALUE(A231)</f>
        <v/>
      </c>
    </row>
    <row r="232">
      <c r="A232" s="2" t="n">
        <v>4978766</v>
      </c>
      <c r="C232" t="inlineStr">
        <is>
          <t>HA-2203-462</t>
        </is>
      </c>
      <c r="D232" t="inlineStr">
        <is>
          <t>PR-2203-132</t>
        </is>
      </c>
      <c r="E232" t="inlineStr">
        <is>
          <t>EUROWAGON</t>
        </is>
      </c>
      <c r="F232" t="inlineStr">
        <is>
          <t>Cargo</t>
        </is>
      </c>
      <c r="I232">
        <f>_xlfn.NUMBERVALUE(A232)</f>
        <v/>
      </c>
    </row>
    <row r="233">
      <c r="A233" s="2" t="n">
        <v>4978818</v>
      </c>
      <c r="C233" t="inlineStr">
        <is>
          <t>HA-2203-289</t>
        </is>
      </c>
      <c r="D233" t="inlineStr">
        <is>
          <t>PR-2203-226</t>
        </is>
      </c>
      <c r="E233" t="inlineStr">
        <is>
          <t>EUROWAGON</t>
        </is>
      </c>
      <c r="F233" t="inlineStr">
        <is>
          <t>Cargo</t>
        </is>
      </c>
      <c r="I233">
        <f>_xlfn.NUMBERVALUE(A233)</f>
        <v/>
      </c>
    </row>
    <row r="234">
      <c r="A234" s="2" t="n">
        <v>4978589</v>
      </c>
      <c r="C234" t="inlineStr">
        <is>
          <t>HA-2203-434</t>
        </is>
      </c>
      <c r="D234" t="inlineStr">
        <is>
          <t>PR-2203-175</t>
        </is>
      </c>
      <c r="E234" t="inlineStr">
        <is>
          <t>EUROWAGON</t>
        </is>
      </c>
      <c r="F234" t="inlineStr">
        <is>
          <t>Cargo</t>
        </is>
      </c>
      <c r="I234">
        <f>_xlfn.NUMBERVALUE(A234)</f>
        <v/>
      </c>
    </row>
    <row r="235">
      <c r="A235" s="2" t="n">
        <v>4978657</v>
      </c>
      <c r="C235" t="inlineStr">
        <is>
          <t>HA-2203-291</t>
        </is>
      </c>
      <c r="D235" t="inlineStr">
        <is>
          <t>PR-2203-148</t>
        </is>
      </c>
      <c r="E235" t="inlineStr">
        <is>
          <t>EUROWAGON</t>
        </is>
      </c>
      <c r="F235" t="inlineStr">
        <is>
          <t>Cargo</t>
        </is>
      </c>
      <c r="I235">
        <f>_xlfn.NUMBERVALUE(A235)</f>
        <v/>
      </c>
    </row>
    <row r="236">
      <c r="A236" s="2" t="n">
        <v>4978609</v>
      </c>
      <c r="C236" t="inlineStr">
        <is>
          <t>HA-2203-464</t>
        </is>
      </c>
      <c r="D236" t="inlineStr">
        <is>
          <t>PR-2203-131</t>
        </is>
      </c>
      <c r="E236" t="inlineStr">
        <is>
          <t>EUROWAGON</t>
        </is>
      </c>
      <c r="F236" t="inlineStr">
        <is>
          <t>Cargo</t>
        </is>
      </c>
      <c r="I236">
        <f>_xlfn.NUMBERVALUE(A236)</f>
        <v/>
      </c>
    </row>
    <row r="237">
      <c r="A237" s="2" t="n">
        <v>4978906</v>
      </c>
      <c r="C237" t="inlineStr">
        <is>
          <t>HA-2203-364</t>
        </is>
      </c>
      <c r="D237" t="inlineStr">
        <is>
          <t>PR-2203-171</t>
        </is>
      </c>
      <c r="F237" t="inlineStr">
        <is>
          <t>Cargo</t>
        </is>
      </c>
      <c r="I237">
        <f>_xlfn.NUMBERVALUE(A237)</f>
        <v/>
      </c>
    </row>
    <row r="238">
      <c r="A238" s="2" t="n">
        <v>4978711</v>
      </c>
      <c r="C238" t="inlineStr">
        <is>
          <t>HA-2203-376</t>
        </is>
      </c>
      <c r="D238" t="inlineStr">
        <is>
          <t>PR-2203-183</t>
        </is>
      </c>
      <c r="E238" t="inlineStr">
        <is>
          <t>EUROWAGON</t>
        </is>
      </c>
      <c r="F238" t="inlineStr">
        <is>
          <t>Cargo</t>
        </is>
      </c>
      <c r="I238">
        <f>_xlfn.NUMBERVALUE(A238)</f>
        <v/>
      </c>
    </row>
    <row r="239">
      <c r="A239" s="2" t="n">
        <v>4978521</v>
      </c>
      <c r="C239" t="inlineStr">
        <is>
          <t>HA-2203-458</t>
        </is>
      </c>
      <c r="D239" t="inlineStr">
        <is>
          <t>PR-2203-160</t>
        </is>
      </c>
      <c r="E239" t="inlineStr">
        <is>
          <t>Viezo</t>
        </is>
      </c>
      <c r="F239" t="inlineStr">
        <is>
          <t>Cargo</t>
        </is>
      </c>
      <c r="G239" t="inlineStr">
        <is>
          <t>dead</t>
        </is>
      </c>
      <c r="I239">
        <f>_xlfn.NUMBERVALUE(A239)</f>
        <v/>
      </c>
    </row>
    <row r="240">
      <c r="A240" s="2" t="n">
        <v>4978569</v>
      </c>
      <c r="C240" t="inlineStr">
        <is>
          <t>HA-2203-371</t>
        </is>
      </c>
      <c r="D240" t="inlineStr">
        <is>
          <t>PR-2203-435</t>
        </is>
      </c>
      <c r="E240" t="inlineStr">
        <is>
          <t>HVLE</t>
        </is>
      </c>
      <c r="F240" t="inlineStr">
        <is>
          <t>Cargo</t>
        </is>
      </c>
      <c r="G240" t="inlineStr">
        <is>
          <t>warranty replacement</t>
        </is>
      </c>
      <c r="I240">
        <f>_xlfn.NUMBERVALUE(A240)</f>
        <v/>
      </c>
    </row>
    <row r="241">
      <c r="A241" s="2" t="n">
        <v>4978613</v>
      </c>
      <c r="C241" t="inlineStr">
        <is>
          <t>HA-2203-331</t>
        </is>
      </c>
      <c r="D241" t="inlineStr">
        <is>
          <t>PR-2203-440</t>
        </is>
      </c>
      <c r="E241" t="inlineStr">
        <is>
          <t>HVLE</t>
        </is>
      </c>
      <c r="F241" t="inlineStr">
        <is>
          <t>Cargo</t>
        </is>
      </c>
      <c r="G241" t="inlineStr">
        <is>
          <t>warranty replacement</t>
        </is>
      </c>
      <c r="I241">
        <f>_xlfn.NUMBERVALUE(A241)</f>
        <v/>
      </c>
    </row>
    <row r="242">
      <c r="A242" s="2" t="n">
        <v>4978603</v>
      </c>
      <c r="C242" t="inlineStr">
        <is>
          <t>HA-2203-461</t>
        </is>
      </c>
      <c r="D242" t="inlineStr">
        <is>
          <t>PR-2203-433</t>
        </is>
      </c>
      <c r="E242" t="inlineStr">
        <is>
          <t>HVLE</t>
        </is>
      </c>
      <c r="F242" t="inlineStr">
        <is>
          <t>Cargo</t>
        </is>
      </c>
      <c r="G242" t="inlineStr">
        <is>
          <t>warranty replacement</t>
        </is>
      </c>
      <c r="I242">
        <f>_xlfn.NUMBERVALUE(A242)</f>
        <v/>
      </c>
    </row>
    <row r="243">
      <c r="A243" s="2" t="n">
        <v>4978827</v>
      </c>
      <c r="C243" t="inlineStr">
        <is>
          <t>HA-2203-395</t>
        </is>
      </c>
      <c r="D243" t="inlineStr">
        <is>
          <t>PR-2203-162</t>
        </is>
      </c>
      <c r="E243" t="inlineStr">
        <is>
          <t>HVLE</t>
        </is>
      </c>
      <c r="F243" t="inlineStr">
        <is>
          <t>Cargo</t>
        </is>
      </c>
      <c r="G243" t="inlineStr">
        <is>
          <t>warranty replacement</t>
        </is>
      </c>
      <c r="I243">
        <f>_xlfn.NUMBERVALUE(A243)</f>
        <v/>
      </c>
    </row>
    <row r="244">
      <c r="A244" s="2" t="n">
        <v>4978570</v>
      </c>
      <c r="C244" t="inlineStr">
        <is>
          <t>HA-2203-449</t>
        </is>
      </c>
      <c r="D244" t="inlineStr">
        <is>
          <t>PR-2203-137</t>
        </is>
      </c>
      <c r="E244" t="inlineStr">
        <is>
          <t>HVLE</t>
        </is>
      </c>
      <c r="F244" t="inlineStr">
        <is>
          <t>Cargo</t>
        </is>
      </c>
      <c r="G244" t="inlineStr">
        <is>
          <t>warranty replacement</t>
        </is>
      </c>
      <c r="I244">
        <f>_xlfn.NUMBERVALUE(A244)</f>
        <v/>
      </c>
    </row>
    <row r="245">
      <c r="A245" s="2" t="n">
        <v>4978533</v>
      </c>
      <c r="C245" t="inlineStr">
        <is>
          <t>HA-2203-323</t>
        </is>
      </c>
      <c r="D245" t="inlineStr">
        <is>
          <t>PR-2203-153</t>
        </is>
      </c>
      <c r="E245" t="inlineStr">
        <is>
          <t>HVLE</t>
        </is>
      </c>
      <c r="F245" t="inlineStr">
        <is>
          <t>Cargo</t>
        </is>
      </c>
      <c r="G245" t="inlineStr">
        <is>
          <t>warranty replacement</t>
        </is>
      </c>
      <c r="I245">
        <f>_xlfn.NUMBERVALUE(A245)</f>
        <v/>
      </c>
    </row>
    <row r="246">
      <c r="A246" s="2" t="n">
        <v>4978529</v>
      </c>
      <c r="C246" t="inlineStr">
        <is>
          <t>HA-2203-437</t>
        </is>
      </c>
      <c r="D246" t="inlineStr">
        <is>
          <t>PR-2203-427</t>
        </is>
      </c>
      <c r="E246" t="inlineStr">
        <is>
          <t>HVLE</t>
        </is>
      </c>
      <c r="F246" t="inlineStr">
        <is>
          <t>Cargo</t>
        </is>
      </c>
      <c r="G246" t="inlineStr">
        <is>
          <t>warranty replacement</t>
        </is>
      </c>
      <c r="I246">
        <f>_xlfn.NUMBERVALUE(A246)</f>
        <v/>
      </c>
    </row>
    <row r="247">
      <c r="A247" s="2" t="n">
        <v>4978675</v>
      </c>
      <c r="C247" t="inlineStr">
        <is>
          <t>HA-2203-419</t>
        </is>
      </c>
      <c r="D247" t="inlineStr">
        <is>
          <t>PR-2203-475</t>
        </is>
      </c>
      <c r="E247" t="inlineStr">
        <is>
          <t>HVLE</t>
        </is>
      </c>
      <c r="F247" t="inlineStr">
        <is>
          <t>Cargo</t>
        </is>
      </c>
      <c r="G247" t="inlineStr">
        <is>
          <t>warranty replacement</t>
        </is>
      </c>
      <c r="I247">
        <f>_xlfn.NUMBERVALUE(A247)</f>
        <v/>
      </c>
    </row>
    <row r="248">
      <c r="A248" s="2" t="n">
        <v>4978519</v>
      </c>
      <c r="C248" t="inlineStr">
        <is>
          <t>HA-2203-463</t>
        </is>
      </c>
      <c r="D248" t="inlineStr">
        <is>
          <t>PR-2203-157</t>
        </is>
      </c>
      <c r="E248" t="inlineStr">
        <is>
          <t>HVLE</t>
        </is>
      </c>
      <c r="F248" t="inlineStr">
        <is>
          <t>Cargo</t>
        </is>
      </c>
      <c r="G248" t="inlineStr">
        <is>
          <t>warranty replacement</t>
        </is>
      </c>
      <c r="I248">
        <f>_xlfn.NUMBERVALUE(A248)</f>
        <v/>
      </c>
    </row>
    <row r="249">
      <c r="A249" s="2" t="n">
        <v>4978575</v>
      </c>
      <c r="C249" t="inlineStr">
        <is>
          <t>HA-2203-421</t>
        </is>
      </c>
      <c r="D249" t="inlineStr">
        <is>
          <t>PR-2203-164</t>
        </is>
      </c>
      <c r="E249" t="inlineStr">
        <is>
          <t>HVLE</t>
        </is>
      </c>
      <c r="F249" t="inlineStr">
        <is>
          <t>Cargo</t>
        </is>
      </c>
      <c r="G249" t="inlineStr">
        <is>
          <t>warranty replacement</t>
        </is>
      </c>
      <c r="I249">
        <f>_xlfn.NUMBERVALUE(A249)</f>
        <v/>
      </c>
    </row>
    <row r="250">
      <c r="A250" s="2" t="n">
        <v>4978737</v>
      </c>
      <c r="C250" t="inlineStr">
        <is>
          <t>HA-2203-359</t>
        </is>
      </c>
      <c r="D250" t="inlineStr">
        <is>
          <t>PR-2203-180</t>
        </is>
      </c>
      <c r="E250" t="inlineStr">
        <is>
          <t>HVLE</t>
        </is>
      </c>
      <c r="F250" t="inlineStr">
        <is>
          <t>Cargo</t>
        </is>
      </c>
      <c r="G250" t="inlineStr">
        <is>
          <t>warranty replacement</t>
        </is>
      </c>
      <c r="I250">
        <f>_xlfn.NUMBERVALUE(A250)</f>
        <v/>
      </c>
    </row>
    <row r="251">
      <c r="A251" s="2" t="n">
        <v>4978524</v>
      </c>
      <c r="C251" t="inlineStr">
        <is>
          <t>HA-2203-403</t>
        </is>
      </c>
      <c r="D251" t="inlineStr">
        <is>
          <t>PR-2203-149</t>
        </is>
      </c>
      <c r="E251" t="inlineStr">
        <is>
          <t>HVLE</t>
        </is>
      </c>
      <c r="F251" t="inlineStr">
        <is>
          <t>Cargo</t>
        </is>
      </c>
      <c r="G251" t="inlineStr">
        <is>
          <t>warranty replacement</t>
        </is>
      </c>
      <c r="I251">
        <f>_xlfn.NUMBERVALUE(A251)</f>
        <v/>
      </c>
    </row>
    <row r="252">
      <c r="A252" s="2" t="n">
        <v>4978585</v>
      </c>
      <c r="C252" t="inlineStr">
        <is>
          <t>HA-2203-465</t>
        </is>
      </c>
      <c r="D252" t="inlineStr">
        <is>
          <t>PR-2203-116</t>
        </is>
      </c>
      <c r="E252" t="inlineStr">
        <is>
          <t>HVLE</t>
        </is>
      </c>
      <c r="F252" t="inlineStr">
        <is>
          <t>Cargo</t>
        </is>
      </c>
      <c r="G252" t="inlineStr">
        <is>
          <t>warranty replacement</t>
        </is>
      </c>
      <c r="I252">
        <f>_xlfn.NUMBERVALUE(A252)</f>
        <v/>
      </c>
    </row>
    <row r="253">
      <c r="A253" s="2" t="n">
        <v>4978655</v>
      </c>
      <c r="C253" t="inlineStr">
        <is>
          <t>HA-2203-335</t>
        </is>
      </c>
      <c r="D253" t="inlineStr">
        <is>
          <t>PR-2203-423</t>
        </is>
      </c>
      <c r="E253" t="inlineStr">
        <is>
          <t>HVLE</t>
        </is>
      </c>
      <c r="F253" t="inlineStr">
        <is>
          <t>Cargo</t>
        </is>
      </c>
      <c r="G253" t="inlineStr">
        <is>
          <t>warranty replacement</t>
        </is>
      </c>
      <c r="I253">
        <f>_xlfn.NUMBERVALUE(A253)</f>
        <v/>
      </c>
    </row>
    <row r="254">
      <c r="A254" s="2" t="n">
        <v>4978577</v>
      </c>
      <c r="C254" t="inlineStr">
        <is>
          <t>HA-2203-329</t>
        </is>
      </c>
      <c r="D254" t="inlineStr">
        <is>
          <t>PR-2203-192</t>
        </is>
      </c>
      <c r="E254" t="inlineStr">
        <is>
          <t>HVLE</t>
        </is>
      </c>
      <c r="F254" t="inlineStr">
        <is>
          <t>Cargo</t>
        </is>
      </c>
      <c r="G254" t="inlineStr">
        <is>
          <t>warranty replacement</t>
        </is>
      </c>
      <c r="I254">
        <f>_xlfn.NUMBERVALUE(A254)</f>
        <v/>
      </c>
    </row>
    <row r="255">
      <c r="A255" s="2" t="n">
        <v>4978526</v>
      </c>
      <c r="C255" t="inlineStr">
        <is>
          <t>HA-2203-343</t>
        </is>
      </c>
      <c r="D255" t="inlineStr">
        <is>
          <t>PR-2203-178</t>
        </is>
      </c>
      <c r="E255" t="inlineStr">
        <is>
          <t>HVLE</t>
        </is>
      </c>
      <c r="F255" t="inlineStr">
        <is>
          <t>Cargo</t>
        </is>
      </c>
      <c r="G255" t="inlineStr">
        <is>
          <t>warranty replacement</t>
        </is>
      </c>
      <c r="I255">
        <f>_xlfn.NUMBERVALUE(A255)</f>
        <v/>
      </c>
    </row>
    <row r="256">
      <c r="A256" s="2" t="n">
        <v>4978595</v>
      </c>
      <c r="C256" t="inlineStr">
        <is>
          <t>HA-2203-301</t>
        </is>
      </c>
      <c r="D256" t="inlineStr">
        <is>
          <t>PR-2203-166</t>
        </is>
      </c>
      <c r="E256" t="inlineStr">
        <is>
          <t>HVLE</t>
        </is>
      </c>
      <c r="F256" t="inlineStr">
        <is>
          <t>Cargo</t>
        </is>
      </c>
      <c r="G256" t="inlineStr">
        <is>
          <t>warranty replacement</t>
        </is>
      </c>
      <c r="I256">
        <f>_xlfn.NUMBERVALUE(A256)</f>
        <v/>
      </c>
    </row>
    <row r="257">
      <c r="A257" s="2" t="n">
        <v>4978677</v>
      </c>
      <c r="C257" t="inlineStr">
        <is>
          <t>HA-2203-439</t>
        </is>
      </c>
      <c r="D257" t="inlineStr">
        <is>
          <t>PR-2203-206</t>
        </is>
      </c>
      <c r="E257" t="inlineStr">
        <is>
          <t>HVLE</t>
        </is>
      </c>
      <c r="F257" t="inlineStr">
        <is>
          <t>Cargo</t>
        </is>
      </c>
      <c r="G257" t="inlineStr">
        <is>
          <t>warranty replacement</t>
        </is>
      </c>
      <c r="I257">
        <f>_xlfn.NUMBERVALUE(A257)</f>
        <v/>
      </c>
    </row>
    <row r="258">
      <c r="A258" s="2" t="n">
        <v>4978672</v>
      </c>
      <c r="C258" t="inlineStr">
        <is>
          <t>HA-2203-357</t>
        </is>
      </c>
      <c r="D258" t="inlineStr">
        <is>
          <t>PR-2203-448</t>
        </is>
      </c>
      <c r="E258" t="inlineStr">
        <is>
          <t>HVLE</t>
        </is>
      </c>
      <c r="F258" t="inlineStr">
        <is>
          <t>Cargo</t>
        </is>
      </c>
      <c r="G258" t="inlineStr">
        <is>
          <t>warranty replacement</t>
        </is>
      </c>
      <c r="I258">
        <f>_xlfn.NUMBERVALUE(A258)</f>
        <v/>
      </c>
    </row>
    <row r="259">
      <c r="A259" s="2" t="n">
        <v>4978832</v>
      </c>
      <c r="C259" t="inlineStr">
        <is>
          <t>HA-2203-453</t>
        </is>
      </c>
      <c r="D259" t="inlineStr">
        <is>
          <t>PR-2203-426</t>
        </is>
      </c>
      <c r="E259" t="inlineStr">
        <is>
          <t>HVLE</t>
        </is>
      </c>
      <c r="F259" t="inlineStr">
        <is>
          <t>Cargo</t>
        </is>
      </c>
      <c r="G259" t="inlineStr">
        <is>
          <t>warranty replacement</t>
        </is>
      </c>
      <c r="I259">
        <f>_xlfn.NUMBERVALUE(A259)</f>
        <v/>
      </c>
    </row>
    <row r="260">
      <c r="A260" s="2" t="n">
        <v>4978591</v>
      </c>
      <c r="C260" t="inlineStr">
        <is>
          <t>HA-2203-299</t>
        </is>
      </c>
      <c r="D260" t="inlineStr">
        <is>
          <t>PR-2203-190</t>
        </is>
      </c>
      <c r="E260" t="inlineStr">
        <is>
          <t>HVLE</t>
        </is>
      </c>
      <c r="F260" t="inlineStr">
        <is>
          <t>Cargo</t>
        </is>
      </c>
      <c r="G260" t="inlineStr">
        <is>
          <t>warranty replacement</t>
        </is>
      </c>
      <c r="I260">
        <f>_xlfn.NUMBERVALUE(A260)</f>
        <v/>
      </c>
    </row>
    <row r="261">
      <c r="A261" s="2" t="n">
        <v>4978612</v>
      </c>
      <c r="C261" t="inlineStr">
        <is>
          <t>HA-2203-423</t>
        </is>
      </c>
      <c r="D261" t="inlineStr">
        <is>
          <t>PR-2203-431</t>
        </is>
      </c>
      <c r="E261" t="inlineStr">
        <is>
          <t>HVLE</t>
        </is>
      </c>
      <c r="F261" t="inlineStr">
        <is>
          <t>Cargo</t>
        </is>
      </c>
      <c r="G261" t="inlineStr">
        <is>
          <t>warranty replacement</t>
        </is>
      </c>
      <c r="I261">
        <f>_xlfn.NUMBERVALUE(A261)</f>
        <v/>
      </c>
    </row>
    <row r="262">
      <c r="A262" s="2" t="n">
        <v>4978670</v>
      </c>
      <c r="C262" t="inlineStr">
        <is>
          <t>HA-2203-470</t>
        </is>
      </c>
      <c r="D262" t="inlineStr">
        <is>
          <t>PR-2203-212</t>
        </is>
      </c>
      <c r="E262" t="inlineStr">
        <is>
          <t>HVLE</t>
        </is>
      </c>
      <c r="F262" t="inlineStr">
        <is>
          <t>Cargo</t>
        </is>
      </c>
      <c r="G262" t="inlineStr">
        <is>
          <t>warranty replacement</t>
        </is>
      </c>
      <c r="I262">
        <f>_xlfn.NUMBERVALUE(A262)</f>
        <v/>
      </c>
    </row>
    <row r="263">
      <c r="A263" s="2" t="n">
        <v>4978590</v>
      </c>
      <c r="C263" t="inlineStr">
        <is>
          <t>HA-2203-399</t>
        </is>
      </c>
      <c r="D263" t="inlineStr">
        <is>
          <t>PR-2203-430</t>
        </is>
      </c>
      <c r="E263" t="inlineStr">
        <is>
          <t>HVLE</t>
        </is>
      </c>
      <c r="F263" t="inlineStr">
        <is>
          <t>Cargo</t>
        </is>
      </c>
      <c r="G263" t="inlineStr">
        <is>
          <t>warranty replacement</t>
        </is>
      </c>
      <c r="I263">
        <f>_xlfn.NUMBERVALUE(A263)</f>
        <v/>
      </c>
    </row>
    <row r="264">
      <c r="A264" s="2" t="n">
        <v>4978527</v>
      </c>
      <c r="C264" t="inlineStr">
        <is>
          <t>HA-2203-407</t>
        </is>
      </c>
      <c r="D264" t="inlineStr">
        <is>
          <t>PR-2203-478</t>
        </is>
      </c>
      <c r="E264" t="inlineStr">
        <is>
          <t>HVLE</t>
        </is>
      </c>
      <c r="F264" t="inlineStr">
        <is>
          <t>Cargo</t>
        </is>
      </c>
      <c r="G264" t="inlineStr">
        <is>
          <t>warranty replacement</t>
        </is>
      </c>
      <c r="I264">
        <f>_xlfn.NUMBERVALUE(A264)</f>
        <v/>
      </c>
    </row>
    <row r="265">
      <c r="A265" s="2" t="n">
        <v>4978648</v>
      </c>
      <c r="C265" t="inlineStr">
        <is>
          <t>HA-2203-313</t>
        </is>
      </c>
      <c r="D265" t="inlineStr">
        <is>
          <t>PR-2203-468</t>
        </is>
      </c>
      <c r="E265" t="inlineStr">
        <is>
          <t>HVLE</t>
        </is>
      </c>
      <c r="F265" t="inlineStr">
        <is>
          <t>Cargo</t>
        </is>
      </c>
      <c r="G265" t="inlineStr">
        <is>
          <t>warranty replacement</t>
        </is>
      </c>
      <c r="I265">
        <f>_xlfn.NUMBERVALUE(A265)</f>
        <v/>
      </c>
    </row>
    <row r="266">
      <c r="A266" s="2" t="n">
        <v>4978523</v>
      </c>
      <c r="C266" t="inlineStr">
        <is>
          <t>HA-2203-451</t>
        </is>
      </c>
      <c r="D266" t="inlineStr">
        <is>
          <t>PR2203-434</t>
        </is>
      </c>
      <c r="E266" t="inlineStr">
        <is>
          <t>HVLE</t>
        </is>
      </c>
      <c r="F266" t="inlineStr">
        <is>
          <t>Cargo</t>
        </is>
      </c>
      <c r="G266" t="inlineStr">
        <is>
          <t>warranty replacement</t>
        </is>
      </c>
      <c r="I266">
        <f>_xlfn.NUMBERVALUE(A266)</f>
        <v/>
      </c>
    </row>
    <row r="267">
      <c r="A267" s="2" t="n">
        <v>4978650</v>
      </c>
      <c r="C267" t="inlineStr">
        <is>
          <t>HA-2203-429</t>
        </is>
      </c>
      <c r="D267" t="inlineStr">
        <is>
          <t>PR-2203-146</t>
        </is>
      </c>
      <c r="E267" t="inlineStr">
        <is>
          <t>HVLE</t>
        </is>
      </c>
      <c r="F267" t="inlineStr">
        <is>
          <t>Cargo</t>
        </is>
      </c>
      <c r="G267" t="inlineStr">
        <is>
          <t>warranty replacement</t>
        </is>
      </c>
      <c r="I267">
        <f>_xlfn.NUMBERVALUE(A267)</f>
        <v/>
      </c>
    </row>
    <row r="268">
      <c r="A268" s="2" t="n">
        <v>4978616</v>
      </c>
      <c r="C268" t="inlineStr">
        <is>
          <t>HA-2203-469</t>
        </is>
      </c>
      <c r="D268" t="inlineStr">
        <is>
          <t>PR-2203-451</t>
        </is>
      </c>
      <c r="E268" t="inlineStr">
        <is>
          <t>HVLE</t>
        </is>
      </c>
      <c r="F268" t="inlineStr">
        <is>
          <t>Cargo</t>
        </is>
      </c>
      <c r="G268" t="inlineStr">
        <is>
          <t>warranty replacement</t>
        </is>
      </c>
      <c r="I268">
        <f>_xlfn.NUMBERVALUE(A268)</f>
        <v/>
      </c>
    </row>
    <row r="269">
      <c r="A269" s="2" t="n">
        <v>4978544</v>
      </c>
      <c r="C269" t="inlineStr">
        <is>
          <t>HA-2203-468</t>
        </is>
      </c>
      <c r="D269" t="inlineStr">
        <is>
          <t>PR-2203-466</t>
        </is>
      </c>
      <c r="E269" t="inlineStr">
        <is>
          <t>HVLE</t>
        </is>
      </c>
      <c r="F269" t="inlineStr">
        <is>
          <t>Cargo</t>
        </is>
      </c>
      <c r="G269" t="inlineStr">
        <is>
          <t>warranty replacement</t>
        </is>
      </c>
      <c r="I269">
        <f>_xlfn.NUMBERVALUE(A269)</f>
        <v/>
      </c>
    </row>
    <row r="270">
      <c r="A270" s="2" t="n">
        <v>4978518</v>
      </c>
      <c r="C270" t="inlineStr">
        <is>
          <t>HA-2203-457</t>
        </is>
      </c>
      <c r="D270" t="inlineStr">
        <is>
          <t>PR-2203-465</t>
        </is>
      </c>
      <c r="E270" t="inlineStr">
        <is>
          <t>HVLE</t>
        </is>
      </c>
      <c r="F270" t="inlineStr">
        <is>
          <t>Cargo</t>
        </is>
      </c>
      <c r="G270" t="inlineStr">
        <is>
          <t>warranty replacement</t>
        </is>
      </c>
      <c r="I270">
        <f>_xlfn.NUMBERVALUE(A270)</f>
        <v/>
      </c>
    </row>
    <row r="271">
      <c r="A271" s="2" t="n">
        <v>4978813</v>
      </c>
      <c r="C271" t="inlineStr">
        <is>
          <t>HA-2203-409</t>
        </is>
      </c>
      <c r="D271" t="inlineStr">
        <is>
          <t>PR-2203-437</t>
        </is>
      </c>
      <c r="E271" t="inlineStr">
        <is>
          <t>HVLE</t>
        </is>
      </c>
      <c r="F271" t="inlineStr">
        <is>
          <t>Cargo</t>
        </is>
      </c>
      <c r="G271" t="inlineStr">
        <is>
          <t>warranty replacement</t>
        </is>
      </c>
      <c r="I271">
        <f>_xlfn.NUMBERVALUE(A271)</f>
        <v/>
      </c>
    </row>
    <row r="272">
      <c r="A272" s="2" t="n">
        <v>4978811</v>
      </c>
      <c r="C272" t="inlineStr">
        <is>
          <t>HA-2203-413</t>
        </is>
      </c>
      <c r="D272" t="inlineStr">
        <is>
          <t>PR-2203-161</t>
        </is>
      </c>
      <c r="E272" t="inlineStr">
        <is>
          <t>HVLE</t>
        </is>
      </c>
      <c r="F272" t="inlineStr">
        <is>
          <t>Cargo</t>
        </is>
      </c>
      <c r="G272" t="inlineStr">
        <is>
          <t>warranty replacement</t>
        </is>
      </c>
      <c r="I272">
        <f>_xlfn.NUMBERVALUE(A272)</f>
        <v/>
      </c>
    </row>
    <row r="273">
      <c r="A273" s="2" t="n">
        <v>4978791</v>
      </c>
      <c r="C273" t="inlineStr">
        <is>
          <t>HA-2203-377</t>
        </is>
      </c>
      <c r="D273" t="inlineStr">
        <is>
          <t>PR-2203-173</t>
        </is>
      </c>
      <c r="E273" t="inlineStr">
        <is>
          <t>HVLE</t>
        </is>
      </c>
      <c r="F273" t="inlineStr">
        <is>
          <t>Cargo</t>
        </is>
      </c>
      <c r="G273" t="inlineStr">
        <is>
          <t>warranty replacement</t>
        </is>
      </c>
      <c r="I273">
        <f>_xlfn.NUMBERVALUE(A273)</f>
        <v/>
      </c>
    </row>
    <row r="274">
      <c r="A274" s="2" t="n">
        <v>4978520</v>
      </c>
      <c r="C274" t="inlineStr">
        <is>
          <t>HA-2203-435</t>
        </is>
      </c>
      <c r="D274" t="inlineStr">
        <is>
          <t>PR-2203-141</t>
        </is>
      </c>
      <c r="E274" t="inlineStr">
        <is>
          <t>HVLE</t>
        </is>
      </c>
      <c r="F274" t="inlineStr">
        <is>
          <t>Cargo</t>
        </is>
      </c>
      <c r="G274" t="inlineStr">
        <is>
          <t>warranty replacement</t>
        </is>
      </c>
      <c r="I274">
        <f>_xlfn.NUMBERVALUE(A274)</f>
        <v/>
      </c>
    </row>
    <row r="275">
      <c r="A275" s="2" t="n">
        <v>4978645</v>
      </c>
      <c r="C275" t="inlineStr">
        <is>
          <t>HA-2203-433</t>
        </is>
      </c>
      <c r="D275" t="inlineStr">
        <is>
          <t>PR-2203-189</t>
        </is>
      </c>
      <c r="E275" t="inlineStr">
        <is>
          <t>HVLE</t>
        </is>
      </c>
      <c r="F275" t="inlineStr">
        <is>
          <t>Cargo</t>
        </is>
      </c>
      <c r="G275" t="inlineStr">
        <is>
          <t>warranty replacement</t>
        </is>
      </c>
      <c r="I275">
        <f>_xlfn.NUMBERVALUE(A275)</f>
        <v/>
      </c>
    </row>
    <row r="276">
      <c r="A276" s="2" t="n">
        <v>4978821</v>
      </c>
      <c r="C276" t="inlineStr">
        <is>
          <t>HA-2203-431</t>
        </is>
      </c>
      <c r="D276" t="inlineStr">
        <is>
          <t>PR-2203-204</t>
        </is>
      </c>
      <c r="E276" t="inlineStr">
        <is>
          <t>HVLE</t>
        </is>
      </c>
      <c r="F276" t="inlineStr">
        <is>
          <t>Cargo</t>
        </is>
      </c>
      <c r="G276" t="inlineStr">
        <is>
          <t>warranty replacement</t>
        </is>
      </c>
      <c r="I276">
        <f>_xlfn.NUMBERVALUE(A276)</f>
        <v/>
      </c>
    </row>
    <row r="277">
      <c r="A277" s="2" t="n">
        <v>4978495</v>
      </c>
      <c r="C277" t="inlineStr">
        <is>
          <t>HA-2203-387</t>
        </is>
      </c>
      <c r="D277" t="inlineStr">
        <is>
          <t>PR-2203-214</t>
        </is>
      </c>
      <c r="E277" t="inlineStr">
        <is>
          <t>HVLE</t>
        </is>
      </c>
      <c r="F277" t="inlineStr">
        <is>
          <t>Cargo</t>
        </is>
      </c>
      <c r="G277" t="inlineStr">
        <is>
          <t>warranty replacement</t>
        </is>
      </c>
      <c r="I277">
        <f>_xlfn.NUMBERVALUE(A277)</f>
        <v/>
      </c>
    </row>
    <row r="278">
      <c r="A278" s="2" t="n">
        <v>4978636</v>
      </c>
      <c r="C278" t="inlineStr">
        <is>
          <t>HA-2203-455</t>
        </is>
      </c>
      <c r="D278" t="inlineStr">
        <is>
          <t>PR-2203-425</t>
        </is>
      </c>
      <c r="E278" t="inlineStr">
        <is>
          <t>HVLE</t>
        </is>
      </c>
      <c r="F278" t="inlineStr">
        <is>
          <t>Cargo</t>
        </is>
      </c>
      <c r="G278" t="inlineStr">
        <is>
          <t>warranty replacement</t>
        </is>
      </c>
      <c r="I278">
        <f>_xlfn.NUMBERVALUE(A278)</f>
        <v/>
      </c>
    </row>
    <row r="279">
      <c r="A279" s="2" t="n">
        <v>4978701</v>
      </c>
      <c r="C279" t="inlineStr">
        <is>
          <t>HA-2203-373</t>
        </is>
      </c>
      <c r="D279" t="inlineStr">
        <is>
          <t>PR-2203-418</t>
        </is>
      </c>
      <c r="E279" t="inlineStr">
        <is>
          <t>HVLE</t>
        </is>
      </c>
      <c r="F279" t="inlineStr">
        <is>
          <t>Cargo</t>
        </is>
      </c>
      <c r="G279" t="inlineStr">
        <is>
          <t>warranty replacement</t>
        </is>
      </c>
      <c r="I279">
        <f>_xlfn.NUMBERVALUE(A279)</f>
        <v/>
      </c>
    </row>
    <row r="280">
      <c r="A280" s="2" t="n">
        <v>4978508</v>
      </c>
      <c r="C280" t="inlineStr">
        <is>
          <t>HA-2203-447</t>
        </is>
      </c>
      <c r="D280" t="inlineStr">
        <is>
          <t>PR-2203-467</t>
        </is>
      </c>
      <c r="E280" t="inlineStr">
        <is>
          <t>HVLE</t>
        </is>
      </c>
      <c r="F280" t="inlineStr">
        <is>
          <t>Link</t>
        </is>
      </c>
      <c r="G280" t="inlineStr">
        <is>
          <t>warranty replacement</t>
        </is>
      </c>
      <c r="I280">
        <f>_xlfn.NUMBERVALUE(A280)</f>
        <v/>
      </c>
    </row>
    <row r="281">
      <c r="A281" s="2" t="n">
        <v>4978459</v>
      </c>
      <c r="C281" t="inlineStr">
        <is>
          <t>HA-2203-417</t>
        </is>
      </c>
      <c r="D281" t="inlineStr">
        <is>
          <t>PR-2203-429</t>
        </is>
      </c>
      <c r="E281" t="inlineStr">
        <is>
          <t>HVLE</t>
        </is>
      </c>
      <c r="F281" t="inlineStr">
        <is>
          <t>Link</t>
        </is>
      </c>
      <c r="G281" t="inlineStr">
        <is>
          <t>warranty replacement</t>
        </is>
      </c>
      <c r="I281">
        <f>_xlfn.NUMBERVALUE(A281)</f>
        <v/>
      </c>
    </row>
    <row r="282">
      <c r="A282" s="2" t="n">
        <v>4978502</v>
      </c>
      <c r="C282" t="inlineStr">
        <is>
          <t>HA-2203-397</t>
        </is>
      </c>
      <c r="D282" t="inlineStr">
        <is>
          <t>PR-2203-424</t>
        </is>
      </c>
      <c r="E282" t="inlineStr">
        <is>
          <t>HVLE</t>
        </is>
      </c>
      <c r="F282" t="inlineStr">
        <is>
          <t>Link</t>
        </is>
      </c>
      <c r="G282" t="inlineStr">
        <is>
          <t>warranty replacement</t>
        </is>
      </c>
      <c r="I282">
        <f>_xlfn.NUMBERVALUE(A282)</f>
        <v/>
      </c>
    </row>
    <row r="283">
      <c r="A283" s="2" t="n">
        <v>4978456</v>
      </c>
      <c r="C283" t="inlineStr">
        <is>
          <t>HA-2203-415</t>
        </is>
      </c>
      <c r="D283" t="inlineStr">
        <is>
          <t>PR-2203-209</t>
        </is>
      </c>
      <c r="E283" t="inlineStr">
        <is>
          <t>HVLE</t>
        </is>
      </c>
      <c r="F283" t="inlineStr">
        <is>
          <t>Link</t>
        </is>
      </c>
      <c r="G283" t="inlineStr">
        <is>
          <t>warranty replacement</t>
        </is>
      </c>
      <c r="I283">
        <f>_xlfn.NUMBERVALUE(A283)</f>
        <v/>
      </c>
    </row>
    <row r="284">
      <c r="A284" s="2" t="n">
        <v>4978468</v>
      </c>
      <c r="C284" t="inlineStr">
        <is>
          <t>HA-2203-401</t>
        </is>
      </c>
      <c r="D284" t="inlineStr">
        <is>
          <t>PR-2203-201</t>
        </is>
      </c>
      <c r="E284" t="inlineStr">
        <is>
          <t>HVLE</t>
        </is>
      </c>
      <c r="F284" t="inlineStr">
        <is>
          <t>Link</t>
        </is>
      </c>
      <c r="G284" t="inlineStr">
        <is>
          <t>warranty replacement</t>
        </is>
      </c>
      <c r="I284">
        <f>_xlfn.NUMBERVALUE(A284)</f>
        <v/>
      </c>
    </row>
    <row r="285">
      <c r="A285" s="2" t="n">
        <v>4978475</v>
      </c>
      <c r="C285" t="inlineStr">
        <is>
          <t>HA-2203-393</t>
        </is>
      </c>
      <c r="D285" t="inlineStr">
        <is>
          <t>PR-2203-113</t>
        </is>
      </c>
      <c r="E285" t="inlineStr">
        <is>
          <t>HVLE</t>
        </is>
      </c>
      <c r="F285" t="inlineStr">
        <is>
          <t>Link</t>
        </is>
      </c>
      <c r="G285" t="inlineStr">
        <is>
          <t>warranty replacement</t>
        </is>
      </c>
      <c r="I285">
        <f>_xlfn.NUMBERVALUE(A285)</f>
        <v/>
      </c>
    </row>
    <row r="286">
      <c r="A286" s="2" t="n">
        <v>4978504</v>
      </c>
      <c r="C286" t="inlineStr">
        <is>
          <t>HA-2203-307</t>
        </is>
      </c>
      <c r="D286" t="inlineStr">
        <is>
          <t>PR-2203-446</t>
        </is>
      </c>
      <c r="E286" t="inlineStr">
        <is>
          <t>HVLE</t>
        </is>
      </c>
      <c r="F286" t="inlineStr">
        <is>
          <t>Link</t>
        </is>
      </c>
      <c r="G286" t="inlineStr">
        <is>
          <t>warranty replacement</t>
        </is>
      </c>
      <c r="I286">
        <f>_xlfn.NUMBERVALUE(A286)</f>
        <v/>
      </c>
    </row>
    <row r="287">
      <c r="A287" s="2" t="n">
        <v>4978482</v>
      </c>
      <c r="C287" t="inlineStr">
        <is>
          <t>HA-2203-443</t>
        </is>
      </c>
      <c r="D287" t="inlineStr">
        <is>
          <t>PR-2203-114</t>
        </is>
      </c>
      <c r="E287" t="inlineStr">
        <is>
          <t>HVLE</t>
        </is>
      </c>
      <c r="F287" t="inlineStr">
        <is>
          <t>Link</t>
        </is>
      </c>
      <c r="G287" t="inlineStr">
        <is>
          <t>warranty replacement</t>
        </is>
      </c>
      <c r="I287">
        <f>_xlfn.NUMBERVALUE(A287)</f>
        <v/>
      </c>
    </row>
    <row r="288">
      <c r="A288" s="2" t="n">
        <v>4978464</v>
      </c>
      <c r="C288" t="inlineStr">
        <is>
          <t>HA-2203-471</t>
        </is>
      </c>
      <c r="D288" t="inlineStr">
        <is>
          <t>PR-2203-421</t>
        </is>
      </c>
      <c r="E288" t="inlineStr">
        <is>
          <t>HVLE</t>
        </is>
      </c>
      <c r="F288" t="inlineStr">
        <is>
          <t>Link</t>
        </is>
      </c>
      <c r="G288" t="inlineStr">
        <is>
          <t>warranty replacement</t>
        </is>
      </c>
      <c r="I288">
        <f>_xlfn.NUMBERVALUE(A288)</f>
        <v/>
      </c>
    </row>
    <row r="289">
      <c r="A289" s="2" t="n">
        <v>4978453</v>
      </c>
      <c r="C289" t="inlineStr">
        <is>
          <t>HA-2203-441</t>
        </is>
      </c>
      <c r="D289" t="inlineStr">
        <is>
          <t>PR-2203-177</t>
        </is>
      </c>
      <c r="E289" t="inlineStr">
        <is>
          <t>HVLE</t>
        </is>
      </c>
      <c r="F289" t="inlineStr">
        <is>
          <t>Link</t>
        </is>
      </c>
      <c r="G289" t="inlineStr">
        <is>
          <t>warranty replacement</t>
        </is>
      </c>
      <c r="I289">
        <f>_xlfn.NUMBERVALUE(A289)</f>
        <v/>
      </c>
    </row>
    <row r="290">
      <c r="A290" s="2" t="n">
        <v>4978488</v>
      </c>
      <c r="C290" t="inlineStr">
        <is>
          <t>HA-2203-405</t>
        </is>
      </c>
      <c r="D290" t="inlineStr">
        <is>
          <t>PR-2203-456</t>
        </is>
      </c>
      <c r="E290" t="inlineStr">
        <is>
          <t>HVLE</t>
        </is>
      </c>
      <c r="F290" t="inlineStr">
        <is>
          <t>Link</t>
        </is>
      </c>
      <c r="G290" t="inlineStr">
        <is>
          <t>warranty replacement</t>
        </is>
      </c>
      <c r="I290">
        <f>_xlfn.NUMBERVALUE(A290)</f>
        <v/>
      </c>
    </row>
    <row r="291">
      <c r="A291" s="2" t="n">
        <v>4978510</v>
      </c>
      <c r="C291" t="inlineStr">
        <is>
          <t>HA-2203-293</t>
        </is>
      </c>
      <c r="D291" t="inlineStr">
        <is>
          <t>PR-2203-443</t>
        </is>
      </c>
      <c r="E291" t="inlineStr">
        <is>
          <t>HVLE</t>
        </is>
      </c>
      <c r="F291" t="inlineStr">
        <is>
          <t>Link</t>
        </is>
      </c>
      <c r="G291" t="inlineStr">
        <is>
          <t>warranty replacement</t>
        </is>
      </c>
      <c r="I291">
        <f>_xlfn.NUMBERVALUE(A291)</f>
        <v/>
      </c>
    </row>
    <row r="292">
      <c r="A292" s="2" t="n">
        <v>4978450</v>
      </c>
      <c r="C292" t="inlineStr">
        <is>
          <t>HA-2203-445</t>
        </is>
      </c>
      <c r="D292" t="inlineStr">
        <is>
          <t>PR-2203-133</t>
        </is>
      </c>
      <c r="E292" t="inlineStr">
        <is>
          <t>HVLE</t>
        </is>
      </c>
      <c r="F292" t="inlineStr">
        <is>
          <t>Link</t>
        </is>
      </c>
      <c r="G292" t="inlineStr">
        <is>
          <t>warranty replacement</t>
        </is>
      </c>
      <c r="I292">
        <f>_xlfn.NUMBERVALUE(A292)</f>
        <v/>
      </c>
    </row>
    <row r="293">
      <c r="A293" s="2" t="n">
        <v>4978474</v>
      </c>
      <c r="C293" t="inlineStr">
        <is>
          <t>HA-2203-385</t>
        </is>
      </c>
      <c r="D293" t="inlineStr">
        <is>
          <t>PR-2203-170</t>
        </is>
      </c>
      <c r="E293" t="inlineStr">
        <is>
          <t>HVLE</t>
        </is>
      </c>
      <c r="F293" t="inlineStr">
        <is>
          <t>Link</t>
        </is>
      </c>
      <c r="G293" t="inlineStr">
        <is>
          <t>warranty replacement</t>
        </is>
      </c>
      <c r="I293">
        <f>_xlfn.NUMBERVALUE(A293)</f>
        <v/>
      </c>
    </row>
    <row r="294">
      <c r="A294" s="2" t="n">
        <v>4978492</v>
      </c>
      <c r="C294" t="inlineStr">
        <is>
          <t>HA-2203-337</t>
        </is>
      </c>
      <c r="D294" t="inlineStr">
        <is>
          <t>PR-2203-193</t>
        </is>
      </c>
      <c r="E294" t="inlineStr">
        <is>
          <t>HVLE</t>
        </is>
      </c>
      <c r="F294" t="inlineStr">
        <is>
          <t>Link</t>
        </is>
      </c>
      <c r="G294" t="inlineStr">
        <is>
          <t>warranty replacement</t>
        </is>
      </c>
      <c r="I294">
        <f>_xlfn.NUMBERVALUE(A294)</f>
        <v/>
      </c>
    </row>
    <row r="295">
      <c r="A295" s="2" t="n">
        <v>4978421</v>
      </c>
      <c r="C295" t="inlineStr">
        <is>
          <t>HA-2203-369</t>
        </is>
      </c>
      <c r="D295" t="inlineStr">
        <is>
          <t>PR-2203-462</t>
        </is>
      </c>
      <c r="E295" t="inlineStr">
        <is>
          <t>HVLE</t>
        </is>
      </c>
      <c r="F295" t="inlineStr">
        <is>
          <t>Link</t>
        </is>
      </c>
      <c r="G295" t="inlineStr">
        <is>
          <t>warranty replacement</t>
        </is>
      </c>
      <c r="I295">
        <f>_xlfn.NUMBERVALUE(A295)</f>
        <v/>
      </c>
    </row>
    <row r="296">
      <c r="A296" s="2" t="n">
        <v>4978469</v>
      </c>
      <c r="C296" t="inlineStr">
        <is>
          <t>HA-2203-333</t>
        </is>
      </c>
      <c r="D296" t="inlineStr">
        <is>
          <t>PR-2203-134</t>
        </is>
      </c>
      <c r="E296" t="inlineStr">
        <is>
          <t>HVLE</t>
        </is>
      </c>
      <c r="F296" t="inlineStr">
        <is>
          <t>Link</t>
        </is>
      </c>
      <c r="G296" t="inlineStr">
        <is>
          <t>warranty replacement</t>
        </is>
      </c>
      <c r="I296">
        <f>_xlfn.NUMBERVALUE(A296)</f>
        <v/>
      </c>
    </row>
    <row r="297">
      <c r="A297" s="2" t="n">
        <v>4978512</v>
      </c>
      <c r="C297" t="inlineStr">
        <is>
          <t>HA-2203-327</t>
        </is>
      </c>
      <c r="D297" t="inlineStr">
        <is>
          <t>PR-2203-154</t>
        </is>
      </c>
      <c r="E297" t="inlineStr">
        <is>
          <t>HVLE</t>
        </is>
      </c>
      <c r="F297" t="inlineStr">
        <is>
          <t>Link</t>
        </is>
      </c>
      <c r="G297" t="inlineStr">
        <is>
          <t>warranty replacement</t>
        </is>
      </c>
      <c r="I297">
        <f>_xlfn.NUMBERVALUE(A297)</f>
        <v/>
      </c>
    </row>
    <row r="298">
      <c r="A298" s="2" t="n">
        <v>4978481</v>
      </c>
      <c r="C298" t="inlineStr">
        <is>
          <t>HA-2203-341</t>
        </is>
      </c>
      <c r="D298" t="inlineStr">
        <is>
          <t>PR-2203-156</t>
        </is>
      </c>
      <c r="E298" t="inlineStr">
        <is>
          <t>HVLE</t>
        </is>
      </c>
      <c r="F298" t="inlineStr">
        <is>
          <t>Link</t>
        </is>
      </c>
      <c r="G298" t="inlineStr">
        <is>
          <t>warranty replacement</t>
        </is>
      </c>
      <c r="I298">
        <f>_xlfn.NUMBERVALUE(A298)</f>
        <v/>
      </c>
    </row>
    <row r="299">
      <c r="A299" s="2" t="n">
        <v>4978497</v>
      </c>
      <c r="C299" t="inlineStr">
        <is>
          <t>HA-2203-467</t>
        </is>
      </c>
      <c r="D299" t="inlineStr">
        <is>
          <t>PR-2203-237</t>
        </is>
      </c>
      <c r="E299" t="inlineStr">
        <is>
          <t>HVLE</t>
        </is>
      </c>
      <c r="F299" t="inlineStr">
        <is>
          <t>Link</t>
        </is>
      </c>
      <c r="G299" t="inlineStr">
        <is>
          <t>warranty replacement</t>
        </is>
      </c>
      <c r="I299">
        <f>_xlfn.NUMBERVALUE(A299)</f>
        <v/>
      </c>
    </row>
    <row r="300">
      <c r="A300" s="2" t="n">
        <v>4978452</v>
      </c>
      <c r="C300" t="inlineStr">
        <is>
          <t>HA-2203-355</t>
        </is>
      </c>
      <c r="D300" t="inlineStr">
        <is>
          <t>PR-2203-419</t>
        </is>
      </c>
      <c r="E300" t="inlineStr">
        <is>
          <t>HVLE</t>
        </is>
      </c>
      <c r="F300" t="inlineStr">
        <is>
          <t>Link</t>
        </is>
      </c>
      <c r="G300" t="inlineStr">
        <is>
          <t>warranty replacement</t>
        </is>
      </c>
      <c r="I300">
        <f>_xlfn.NUMBERVALUE(A300)</f>
        <v/>
      </c>
    </row>
    <row r="301">
      <c r="A301" s="2" t="n">
        <v>4978487</v>
      </c>
      <c r="C301" t="inlineStr">
        <is>
          <t>HA-2203-353</t>
        </is>
      </c>
      <c r="D301" t="inlineStr">
        <is>
          <t>PR-2203-479</t>
        </is>
      </c>
      <c r="E301" t="inlineStr">
        <is>
          <t>HVLE</t>
        </is>
      </c>
      <c r="F301" t="inlineStr">
        <is>
          <t>Link</t>
        </is>
      </c>
      <c r="G301" t="inlineStr">
        <is>
          <t>warranty replacement</t>
        </is>
      </c>
      <c r="I301">
        <f>_xlfn.NUMBERVALUE(A301)</f>
        <v/>
      </c>
    </row>
    <row r="302">
      <c r="A302" s="2" t="n">
        <v>4978425</v>
      </c>
      <c r="C302" t="inlineStr">
        <is>
          <t>HA-2203-297</t>
        </is>
      </c>
      <c r="D302" t="inlineStr">
        <is>
          <t>PR-2203-452</t>
        </is>
      </c>
      <c r="E302" t="inlineStr">
        <is>
          <t>HVLE</t>
        </is>
      </c>
      <c r="F302" t="inlineStr">
        <is>
          <t>Link</t>
        </is>
      </c>
      <c r="G302" t="inlineStr">
        <is>
          <t>warranty replacement</t>
        </is>
      </c>
      <c r="I302">
        <f>_xlfn.NUMBERVALUE(A302)</f>
        <v/>
      </c>
    </row>
    <row r="303">
      <c r="A303" s="2" t="n">
        <v>4978428</v>
      </c>
      <c r="C303" t="inlineStr">
        <is>
          <t>HA-2203-321</t>
        </is>
      </c>
      <c r="D303" t="inlineStr">
        <is>
          <t>PR-2203-477</t>
        </is>
      </c>
      <c r="E303" t="inlineStr">
        <is>
          <t>HVLE</t>
        </is>
      </c>
      <c r="F303" t="inlineStr">
        <is>
          <t>Link</t>
        </is>
      </c>
      <c r="G303" t="inlineStr">
        <is>
          <t>warranty replacement</t>
        </is>
      </c>
      <c r="I303">
        <f>_xlfn.NUMBERVALUE(A303)</f>
        <v/>
      </c>
    </row>
    <row r="304">
      <c r="A304" s="2" t="n">
        <v>4978420</v>
      </c>
      <c r="C304" t="inlineStr">
        <is>
          <t>HA-2203-347</t>
        </is>
      </c>
      <c r="D304" t="inlineStr">
        <is>
          <t>PR-2203-463</t>
        </is>
      </c>
      <c r="E304" t="inlineStr">
        <is>
          <t>HVLE</t>
        </is>
      </c>
      <c r="F304" t="inlineStr">
        <is>
          <t>Link</t>
        </is>
      </c>
      <c r="G304" t="inlineStr">
        <is>
          <t>warranty replacement</t>
        </is>
      </c>
      <c r="I304">
        <f>_xlfn.NUMBERVALUE(A304)</f>
        <v/>
      </c>
    </row>
    <row r="305">
      <c r="A305" s="2" t="n">
        <v>4978460</v>
      </c>
      <c r="C305" t="inlineStr">
        <is>
          <t>HA-2203-411</t>
        </is>
      </c>
      <c r="D305" t="inlineStr">
        <is>
          <t>PR-2203-210</t>
        </is>
      </c>
      <c r="E305" t="inlineStr">
        <is>
          <t>HVLE</t>
        </is>
      </c>
      <c r="F305" t="inlineStr">
        <is>
          <t>Link</t>
        </is>
      </c>
      <c r="G305" t="inlineStr">
        <is>
          <t>warranty replacement</t>
        </is>
      </c>
      <c r="I305">
        <f>_xlfn.NUMBERVALUE(A305)</f>
        <v/>
      </c>
    </row>
    <row r="306">
      <c r="A306" s="2" t="n">
        <v>4978466</v>
      </c>
      <c r="C306" t="inlineStr">
        <is>
          <t>HA-2203-367</t>
        </is>
      </c>
      <c r="D306" t="inlineStr">
        <is>
          <t>PR-2203-197</t>
        </is>
      </c>
      <c r="E306" t="inlineStr">
        <is>
          <t>HVLE</t>
        </is>
      </c>
      <c r="F306" t="inlineStr">
        <is>
          <t>Link</t>
        </is>
      </c>
      <c r="G306" t="inlineStr">
        <is>
          <t>warranty replacement</t>
        </is>
      </c>
      <c r="I306">
        <f>_xlfn.NUMBERVALUE(A306)</f>
        <v/>
      </c>
    </row>
    <row r="307">
      <c r="A307" s="2" t="n">
        <v>4978472</v>
      </c>
      <c r="C307" t="inlineStr">
        <is>
          <t>HA-2203-325</t>
        </is>
      </c>
      <c r="D307" t="inlineStr">
        <is>
          <t>PR-2203-125</t>
        </is>
      </c>
      <c r="E307" t="inlineStr">
        <is>
          <t>HVLE</t>
        </is>
      </c>
      <c r="F307" t="inlineStr">
        <is>
          <t>Link</t>
        </is>
      </c>
      <c r="G307" t="inlineStr">
        <is>
          <t>warranty replacement</t>
        </is>
      </c>
      <c r="I307">
        <f>_xlfn.NUMBERVALUE(A307)</f>
        <v/>
      </c>
    </row>
    <row r="308">
      <c r="A308" s="2" t="n">
        <v>4978511</v>
      </c>
      <c r="C308" t="inlineStr">
        <is>
          <t>HA-2203-425</t>
        </is>
      </c>
      <c r="D308" t="inlineStr">
        <is>
          <t>PR-2203-174</t>
        </is>
      </c>
      <c r="E308" t="inlineStr">
        <is>
          <t>HVLE</t>
        </is>
      </c>
      <c r="F308" t="inlineStr">
        <is>
          <t>Link</t>
        </is>
      </c>
      <c r="G308" t="inlineStr">
        <is>
          <t>warranty replacement</t>
        </is>
      </c>
      <c r="I308">
        <f>_xlfn.NUMBERVALUE(A308)</f>
        <v/>
      </c>
    </row>
    <row r="309">
      <c r="A309" s="2" t="n">
        <v>4978509</v>
      </c>
      <c r="C309" t="inlineStr">
        <is>
          <t>HA-2203-427</t>
        </is>
      </c>
      <c r="D309" t="inlineStr">
        <is>
          <t>PR-2203-169</t>
        </is>
      </c>
      <c r="E309" t="inlineStr">
        <is>
          <t>HVLE</t>
        </is>
      </c>
      <c r="F309" t="inlineStr">
        <is>
          <t>Link</t>
        </is>
      </c>
      <c r="G309" t="inlineStr">
        <is>
          <t>warranty replacement</t>
        </is>
      </c>
      <c r="I309">
        <f>_xlfn.NUMBERVALUE(A309)</f>
        <v/>
      </c>
    </row>
    <row r="310">
      <c r="A310" s="2" t="n">
        <v>4978457</v>
      </c>
      <c r="C310" t="inlineStr">
        <is>
          <t>HA-2203-339</t>
        </is>
      </c>
      <c r="D310" t="inlineStr">
        <is>
          <t>PR-2203-445</t>
        </is>
      </c>
      <c r="E310" t="inlineStr">
        <is>
          <t>HVLE</t>
        </is>
      </c>
      <c r="F310" t="inlineStr">
        <is>
          <t>Link</t>
        </is>
      </c>
      <c r="G310" t="inlineStr">
        <is>
          <t>warranty replacement</t>
        </is>
      </c>
      <c r="I310">
        <f>_xlfn.NUMBERVALUE(A310)</f>
        <v/>
      </c>
    </row>
    <row r="311">
      <c r="A311" s="2" t="n">
        <v>4978471</v>
      </c>
      <c r="C311" t="inlineStr">
        <is>
          <t>HA-2203-315</t>
        </is>
      </c>
      <c r="D311" t="inlineStr">
        <is>
          <t>PR-2203-200</t>
        </is>
      </c>
      <c r="E311" t="inlineStr">
        <is>
          <t>HVLE</t>
        </is>
      </c>
      <c r="F311" t="inlineStr">
        <is>
          <t>Link</t>
        </is>
      </c>
      <c r="G311" t="inlineStr">
        <is>
          <t>warranty replacement</t>
        </is>
      </c>
      <c r="I311">
        <f>_xlfn.NUMBERVALUE(A311)</f>
        <v/>
      </c>
    </row>
    <row r="312">
      <c r="A312" s="2" t="n">
        <v>4978615</v>
      </c>
      <c r="C312" t="inlineStr">
        <is>
          <t>HA-2203-365</t>
        </is>
      </c>
      <c r="D312" t="inlineStr">
        <is>
          <t>PR-2203-129</t>
        </is>
      </c>
      <c r="E312" t="inlineStr">
        <is>
          <t>HVLE</t>
        </is>
      </c>
      <c r="F312" t="inlineStr">
        <is>
          <t>Cargo</t>
        </is>
      </c>
      <c r="G312" t="inlineStr">
        <is>
          <t>warranty replacement</t>
        </is>
      </c>
      <c r="I312">
        <f>_xlfn.NUMBERVALUE(A312)</f>
        <v/>
      </c>
    </row>
    <row r="313">
      <c r="A313" s="2" t="n">
        <v>4978566</v>
      </c>
      <c r="C313" t="inlineStr">
        <is>
          <t>HA-2203-361</t>
        </is>
      </c>
      <c r="D313" t="inlineStr">
        <is>
          <t>PR-2203-460</t>
        </is>
      </c>
      <c r="E313" t="inlineStr">
        <is>
          <t>HVLE</t>
        </is>
      </c>
      <c r="F313" t="inlineStr">
        <is>
          <t>Cargo</t>
        </is>
      </c>
      <c r="G313" t="inlineStr">
        <is>
          <t>warranty replacement</t>
        </is>
      </c>
      <c r="I313">
        <f>_xlfn.NUMBERVALUE(A313)</f>
        <v/>
      </c>
    </row>
    <row r="314">
      <c r="A314" s="2" t="n">
        <v>4978579</v>
      </c>
      <c r="C314" t="inlineStr">
        <is>
          <t>HA-2203-351</t>
        </is>
      </c>
      <c r="D314" t="inlineStr">
        <is>
          <t>PR-2203-126</t>
        </is>
      </c>
      <c r="E314" t="inlineStr">
        <is>
          <t>HVLE</t>
        </is>
      </c>
      <c r="F314" t="inlineStr">
        <is>
          <t>Cargo</t>
        </is>
      </c>
      <c r="G314" t="inlineStr">
        <is>
          <t>warranty replacement</t>
        </is>
      </c>
      <c r="I314">
        <f>_xlfn.NUMBERVALUE(A314)</f>
        <v/>
      </c>
    </row>
    <row r="315">
      <c r="A315" s="2" t="n">
        <v>4978583</v>
      </c>
      <c r="C315" t="inlineStr">
        <is>
          <t>HA-2203-363</t>
        </is>
      </c>
      <c r="D315" t="inlineStr">
        <is>
          <t>PR-2203-122</t>
        </is>
      </c>
      <c r="E315" t="inlineStr">
        <is>
          <t>HVLE</t>
        </is>
      </c>
      <c r="F315" t="inlineStr">
        <is>
          <t>Cargo</t>
        </is>
      </c>
      <c r="G315" t="inlineStr">
        <is>
          <t>warranty replacement</t>
        </is>
      </c>
      <c r="I315">
        <f>_xlfn.NUMBERVALUE(A315)</f>
        <v/>
      </c>
    </row>
    <row r="316">
      <c r="A316" s="2" t="n">
        <v>4978762</v>
      </c>
      <c r="C316" t="inlineStr">
        <is>
          <t>HA-2203-305</t>
        </is>
      </c>
      <c r="D316" t="inlineStr">
        <is>
          <t>PR-2203-138</t>
        </is>
      </c>
      <c r="E316" t="inlineStr">
        <is>
          <t>HVLE</t>
        </is>
      </c>
      <c r="F316" t="inlineStr">
        <is>
          <t>Cargo</t>
        </is>
      </c>
      <c r="G316" t="inlineStr">
        <is>
          <t>warranty replacement</t>
        </is>
      </c>
      <c r="I316">
        <f>_xlfn.NUMBERVALUE(A316)</f>
        <v/>
      </c>
    </row>
    <row r="317">
      <c r="A317" s="2" t="n">
        <v>4978584</v>
      </c>
      <c r="C317" t="inlineStr">
        <is>
          <t>HA-2203-383</t>
        </is>
      </c>
      <c r="D317" t="inlineStr">
        <is>
          <t>PR-2203-118</t>
        </is>
      </c>
      <c r="E317" t="inlineStr">
        <is>
          <t>HVLE</t>
        </is>
      </c>
      <c r="F317" t="inlineStr">
        <is>
          <t>Cargo</t>
        </is>
      </c>
      <c r="G317" t="inlineStr">
        <is>
          <t>warranty replacement</t>
        </is>
      </c>
      <c r="I317">
        <f>_xlfn.NUMBERVALUE(A317)</f>
        <v/>
      </c>
    </row>
    <row r="318">
      <c r="A318" s="2" t="n">
        <v>4978572</v>
      </c>
      <c r="C318" t="inlineStr">
        <is>
          <t>HA-2203-381</t>
        </is>
      </c>
      <c r="D318" t="inlineStr">
        <is>
          <t>PR-2203-470</t>
        </is>
      </c>
      <c r="E318" t="inlineStr">
        <is>
          <t>HVLE</t>
        </is>
      </c>
      <c r="F318" t="inlineStr">
        <is>
          <t>Cargo</t>
        </is>
      </c>
      <c r="G318" t="inlineStr">
        <is>
          <t>warranty replacement</t>
        </is>
      </c>
      <c r="I318">
        <f>_xlfn.NUMBERVALUE(A318)</f>
        <v/>
      </c>
    </row>
    <row r="319">
      <c r="A319" s="2" t="n">
        <v>4978733</v>
      </c>
      <c r="C319" t="inlineStr">
        <is>
          <t>HA-2203-375</t>
        </is>
      </c>
      <c r="D319" t="inlineStr">
        <is>
          <t>PR-2203-121</t>
        </is>
      </c>
      <c r="E319" t="inlineStr">
        <is>
          <t>HVLE</t>
        </is>
      </c>
      <c r="F319" t="inlineStr">
        <is>
          <t>Cargo</t>
        </is>
      </c>
      <c r="G319" t="inlineStr">
        <is>
          <t>warranty replacement</t>
        </is>
      </c>
      <c r="I319">
        <f>_xlfn.NUMBERVALUE(A319)</f>
        <v/>
      </c>
    </row>
    <row r="320">
      <c r="A320" s="2" t="inlineStr">
        <is>
          <t>88C989A3D9FA1DE4</t>
        </is>
      </c>
      <c r="B320" s="2" t="inlineStr">
        <is>
          <t>C98DD086A23A</t>
        </is>
      </c>
      <c r="C320" t="inlineStr">
        <is>
          <t>HA-2206-19</t>
        </is>
      </c>
      <c r="D320" t="inlineStr">
        <is>
          <t>PR-2206-362</t>
        </is>
      </c>
      <c r="E320" t="inlineStr">
        <is>
          <t>LTG</t>
        </is>
      </c>
      <c r="F320" t="inlineStr">
        <is>
          <t>Link</t>
        </is>
      </c>
    </row>
    <row r="321">
      <c r="A321" s="2" t="inlineStr">
        <is>
          <t>5E3282BAAB8BF0D8</t>
        </is>
      </c>
      <c r="B321" s="2" t="inlineStr">
        <is>
          <t>C6D9514EA269</t>
        </is>
      </c>
      <c r="C321" t="inlineStr">
        <is>
          <t>HA-2206-013</t>
        </is>
      </c>
      <c r="D321" t="inlineStr">
        <is>
          <t>PR-2206-061</t>
        </is>
      </c>
      <c r="E321" t="inlineStr">
        <is>
          <t>EUROWAGON</t>
        </is>
      </c>
      <c r="F321" t="inlineStr">
        <is>
          <t>Cargo</t>
        </is>
      </c>
    </row>
    <row r="322">
      <c r="A322" s="2" t="inlineStr">
        <is>
          <t>75C13F86D0BF9768</t>
        </is>
      </c>
      <c r="C322" t="inlineStr">
        <is>
          <t>HA-2206-116</t>
        </is>
      </c>
      <c r="D322" t="inlineStr">
        <is>
          <t>PR-2206-103</t>
        </is>
      </c>
      <c r="E322" t="inlineStr">
        <is>
          <t>LTG</t>
        </is>
      </c>
      <c r="F322" t="inlineStr">
        <is>
          <t>Link</t>
        </is>
      </c>
    </row>
    <row r="323">
      <c r="A323" s="2" t="inlineStr">
        <is>
          <t>84103767B4FB7566</t>
        </is>
      </c>
      <c r="B323" s="2" t="inlineStr">
        <is>
          <t>C7141A16EA46</t>
        </is>
      </c>
      <c r="C323" t="inlineStr">
        <is>
          <t>HA-2206-107</t>
        </is>
      </c>
      <c r="D323" t="inlineStr">
        <is>
          <t>PR-2206-050</t>
        </is>
      </c>
      <c r="E323" t="inlineStr">
        <is>
          <t>Ambrogio</t>
        </is>
      </c>
    </row>
    <row r="324">
      <c r="C324" t="inlineStr">
        <is>
          <t>HA-2206-173</t>
        </is>
      </c>
      <c r="D324" t="inlineStr">
        <is>
          <t>PR-2206-374</t>
        </is>
      </c>
      <c r="E324" t="inlineStr">
        <is>
          <t>AXBenet</t>
        </is>
      </c>
    </row>
    <row r="325">
      <c r="C325" t="inlineStr">
        <is>
          <t>HA-2206-101</t>
        </is>
      </c>
      <c r="D325" t="inlineStr">
        <is>
          <t>PR-2206-041</t>
        </is>
      </c>
      <c r="E325" t="inlineStr">
        <is>
          <t>AXBenet</t>
        </is>
      </c>
    </row>
    <row r="326">
      <c r="C326" t="inlineStr">
        <is>
          <t>HA-2206-147</t>
        </is>
      </c>
      <c r="D326" t="inlineStr">
        <is>
          <t>PR-2206-366</t>
        </is>
      </c>
      <c r="E326" t="inlineStr">
        <is>
          <t>AXBenet</t>
        </is>
      </c>
    </row>
    <row r="327">
      <c r="C327" t="inlineStr">
        <is>
          <t>HA-2206-152</t>
        </is>
      </c>
      <c r="D327" t="inlineStr">
        <is>
          <t>PR-2206-379</t>
        </is>
      </c>
      <c r="E327" t="inlineStr">
        <is>
          <t>AXBenet</t>
        </is>
      </c>
    </row>
    <row r="328">
      <c r="C328" t="inlineStr">
        <is>
          <t>HA-2206-163</t>
        </is>
      </c>
      <c r="D328" t="inlineStr">
        <is>
          <t>PR-2206-033</t>
        </is>
      </c>
      <c r="E328" t="inlineStr">
        <is>
          <t>AXBenet</t>
        </is>
      </c>
    </row>
    <row r="329">
      <c r="C329" t="inlineStr">
        <is>
          <t>HA-2206-6</t>
        </is>
      </c>
      <c r="D329" t="inlineStr">
        <is>
          <t>PR-2206-089</t>
        </is>
      </c>
      <c r="E329" t="inlineStr">
        <is>
          <t>AXBenet</t>
        </is>
      </c>
    </row>
    <row r="330">
      <c r="C330" t="inlineStr">
        <is>
          <t>HA-2206-38</t>
        </is>
      </c>
      <c r="D330" t="inlineStr">
        <is>
          <t>PR-2206-297</t>
        </is>
      </c>
      <c r="E330" t="inlineStr">
        <is>
          <t>AXBenet</t>
        </is>
      </c>
    </row>
    <row r="331">
      <c r="C331" t="inlineStr">
        <is>
          <t>HA-2206-111</t>
        </is>
      </c>
      <c r="D331" t="inlineStr">
        <is>
          <t>PR-2206-333</t>
        </is>
      </c>
      <c r="E331" t="inlineStr">
        <is>
          <t>AXBenet</t>
        </is>
      </c>
    </row>
    <row r="332">
      <c r="A332" s="2" t="inlineStr">
        <is>
          <t>9C6ACB5BCF58EA09</t>
        </is>
      </c>
      <c r="B332" s="2" t="inlineStr">
        <is>
          <t>C5555DADF4CE</t>
        </is>
      </c>
      <c r="C332" t="inlineStr">
        <is>
          <t>HA-2206-21</t>
        </is>
      </c>
      <c r="D332" t="inlineStr">
        <is>
          <t>PR-2206-357</t>
        </is>
      </c>
      <c r="E332" t="inlineStr">
        <is>
          <t>Mercitalia</t>
        </is>
      </c>
    </row>
    <row r="333">
      <c r="A333" s="2" t="inlineStr">
        <is>
          <t>4765178B9E95AB9A</t>
        </is>
      </c>
      <c r="B333" s="2" t="inlineStr">
        <is>
          <t>DDAA1C12EC43</t>
        </is>
      </c>
      <c r="C333" t="inlineStr">
        <is>
          <t>HA-2206-28</t>
        </is>
      </c>
      <c r="D333" t="inlineStr">
        <is>
          <t>PR-2206-025</t>
        </is>
      </c>
      <c r="E333" t="inlineStr">
        <is>
          <t>Mercitalia</t>
        </is>
      </c>
    </row>
    <row r="334">
      <c r="A334" s="2" t="inlineStr">
        <is>
          <t>674BD0FDD493BC88</t>
        </is>
      </c>
      <c r="B334" s="2" t="inlineStr">
        <is>
          <t>CB25A7D2B398</t>
        </is>
      </c>
      <c r="C334" t="inlineStr">
        <is>
          <t>HA-2206-66</t>
        </is>
      </c>
      <c r="D334" t="inlineStr">
        <is>
          <t>PR-2206-098</t>
        </is>
      </c>
      <c r="E334" t="inlineStr">
        <is>
          <t>Mercitalia</t>
        </is>
      </c>
    </row>
    <row r="335">
      <c r="A335" s="2" t="inlineStr">
        <is>
          <t>3BA6760B0C11FE6D</t>
        </is>
      </c>
      <c r="B335" s="2" t="inlineStr">
        <is>
          <t>D2E1AC6D20F1</t>
        </is>
      </c>
      <c r="C335" t="inlineStr">
        <is>
          <t>HA-2206-49</t>
        </is>
      </c>
      <c r="D335" t="inlineStr">
        <is>
          <t>PR-2206-044</t>
        </is>
      </c>
      <c r="E335" t="inlineStr">
        <is>
          <t>Mercitalia</t>
        </is>
      </c>
    </row>
    <row r="336">
      <c r="A336" s="2" t="inlineStr">
        <is>
          <t>E192C11CA5D08A9B</t>
        </is>
      </c>
      <c r="B336" s="2" t="inlineStr">
        <is>
          <t>D548910134E7</t>
        </is>
      </c>
      <c r="C336" t="inlineStr">
        <is>
          <t>HA-2206-26</t>
        </is>
      </c>
      <c r="D336" t="inlineStr">
        <is>
          <t>PR-2206-382</t>
        </is>
      </c>
      <c r="E336" t="inlineStr">
        <is>
          <t>Mercitalia</t>
        </is>
      </c>
    </row>
    <row r="337">
      <c r="A337" s="2" t="inlineStr">
        <is>
          <t>ED8FAE6B4C95C9F5</t>
        </is>
      </c>
      <c r="B337" s="2" t="inlineStr">
        <is>
          <t>CBDB48E85D24</t>
        </is>
      </c>
      <c r="C337" t="inlineStr">
        <is>
          <t>HA-2206-57</t>
        </is>
      </c>
      <c r="D337" t="inlineStr">
        <is>
          <t>PR-2206-035</t>
        </is>
      </c>
      <c r="E337" t="inlineStr">
        <is>
          <t>Mercitalia</t>
        </is>
      </c>
    </row>
    <row r="338">
      <c r="A338" s="2" t="inlineStr">
        <is>
          <t>3FE1A4A21DA2522C</t>
        </is>
      </c>
      <c r="B338" s="2" t="inlineStr">
        <is>
          <t>E194A006FC24</t>
        </is>
      </c>
      <c r="C338" t="inlineStr">
        <is>
          <t>HA-2206-11</t>
        </is>
      </c>
      <c r="D338" t="inlineStr">
        <is>
          <t>PR-2206-057</t>
        </is>
      </c>
      <c r="E338" t="inlineStr">
        <is>
          <t>Mercitalia</t>
        </is>
      </c>
    </row>
    <row r="339">
      <c r="A339" s="2" t="inlineStr">
        <is>
          <t>B03AD84F85608041</t>
        </is>
      </c>
      <c r="B339" s="2" t="inlineStr">
        <is>
          <t>FE6248C5C4C6</t>
        </is>
      </c>
      <c r="C339" t="inlineStr">
        <is>
          <t>HA-2206-47</t>
        </is>
      </c>
      <c r="D339" t="inlineStr">
        <is>
          <t>PR-2206-011</t>
        </is>
      </c>
      <c r="E339" t="inlineStr">
        <is>
          <t>Mercitalia</t>
        </is>
      </c>
    </row>
    <row r="340">
      <c r="A340" s="2" t="inlineStr">
        <is>
          <t>E8300CFAAC1266F4</t>
        </is>
      </c>
      <c r="B340" s="2" t="inlineStr">
        <is>
          <t>FC2D556BCA67</t>
        </is>
      </c>
      <c r="C340" t="inlineStr">
        <is>
          <t>HA-2206-31</t>
        </is>
      </c>
      <c r="D340" t="inlineStr">
        <is>
          <t>PR-2206-346</t>
        </is>
      </c>
      <c r="E340" t="inlineStr">
        <is>
          <t>Mercitalia</t>
        </is>
      </c>
    </row>
    <row r="341">
      <c r="A341" s="2" t="inlineStr">
        <is>
          <t>507F6E10AE3F4387</t>
        </is>
      </c>
      <c r="B341" s="2" t="inlineStr">
        <is>
          <t>E49AC76DD99A</t>
        </is>
      </c>
      <c r="C341" t="inlineStr">
        <is>
          <t>HA-2206-20</t>
        </is>
      </c>
      <c r="D341" t="inlineStr">
        <is>
          <t>PR-2206-038</t>
        </is>
      </c>
      <c r="E341" t="inlineStr">
        <is>
          <t>Mercitalia</t>
        </is>
      </c>
    </row>
    <row r="342">
      <c r="A342" s="2" t="inlineStr">
        <is>
          <t>84F7EC8017192E58</t>
        </is>
      </c>
      <c r="B342" s="2" t="inlineStr">
        <is>
          <t>C997AE37E9ED</t>
        </is>
      </c>
      <c r="C342" t="inlineStr">
        <is>
          <t>HA-2206-56</t>
        </is>
      </c>
      <c r="D342" t="inlineStr">
        <is>
          <t>PR-2206-377</t>
        </is>
      </c>
      <c r="E342" t="inlineStr">
        <is>
          <t>Mercitalia</t>
        </is>
      </c>
    </row>
    <row r="343">
      <c r="A343" s="2" t="inlineStr">
        <is>
          <t>D5140B357ED5B230</t>
        </is>
      </c>
      <c r="B343" s="2" t="inlineStr">
        <is>
          <t>F426FC1E1741</t>
        </is>
      </c>
      <c r="C343" t="inlineStr">
        <is>
          <t>HA-2206-14</t>
        </is>
      </c>
      <c r="D343" t="inlineStr">
        <is>
          <t>PR-2206-311</t>
        </is>
      </c>
      <c r="E343" t="inlineStr">
        <is>
          <t>Mercitalia</t>
        </is>
      </c>
    </row>
    <row r="344">
      <c r="A344" s="2" t="inlineStr">
        <is>
          <t>47FA10B96CE896EB</t>
        </is>
      </c>
      <c r="B344" s="2" t="inlineStr">
        <is>
          <t>CA2A8FE5132B</t>
        </is>
      </c>
      <c r="C344" t="inlineStr">
        <is>
          <t>HA-2206-33</t>
        </is>
      </c>
      <c r="D344" t="inlineStr">
        <is>
          <t>PR-2206-019</t>
        </is>
      </c>
      <c r="E344" t="inlineStr">
        <is>
          <t>Mercitalia</t>
        </is>
      </c>
    </row>
    <row r="345">
      <c r="A345" s="2" t="inlineStr">
        <is>
          <t>1C7C95127306E535</t>
        </is>
      </c>
      <c r="B345" s="2" t="inlineStr">
        <is>
          <t>DFE1C8D13339</t>
        </is>
      </c>
      <c r="C345" t="inlineStr">
        <is>
          <t>HA-2206-51</t>
        </is>
      </c>
      <c r="D345" t="inlineStr">
        <is>
          <t>PR-2206-032</t>
        </is>
      </c>
      <c r="E345" t="inlineStr">
        <is>
          <t>Mercitalia</t>
        </is>
      </c>
    </row>
    <row r="346">
      <c r="A346" s="2" t="inlineStr">
        <is>
          <t>505E4525CBB851F9</t>
        </is>
      </c>
      <c r="B346" s="2" t="inlineStr">
        <is>
          <t>EF59EC8DF09C</t>
        </is>
      </c>
      <c r="C346" t="inlineStr">
        <is>
          <t>HA-2206-18</t>
        </is>
      </c>
      <c r="D346" t="inlineStr">
        <is>
          <t>PR-2206-338</t>
        </is>
      </c>
      <c r="E346" t="inlineStr">
        <is>
          <t>Mercitalia</t>
        </is>
      </c>
    </row>
    <row r="347">
      <c r="A347" s="2" t="inlineStr">
        <is>
          <t>5F910220651C7F5C</t>
        </is>
      </c>
      <c r="B347" s="2" t="inlineStr">
        <is>
          <t>D9067BFAA11F</t>
        </is>
      </c>
      <c r="C347" t="inlineStr">
        <is>
          <t>HA-2206-44</t>
        </is>
      </c>
      <c r="D347" t="inlineStr">
        <is>
          <t>PR-2206-043</t>
        </is>
      </c>
      <c r="E347" t="inlineStr">
        <is>
          <t>Mercitalia</t>
        </is>
      </c>
    </row>
    <row r="348">
      <c r="A348" s="2" t="inlineStr">
        <is>
          <t>E7F53DE9F89BD5EF</t>
        </is>
      </c>
      <c r="B348" s="2" t="inlineStr">
        <is>
          <t>CE6BCD4C02E8</t>
        </is>
      </c>
      <c r="C348" t="inlineStr">
        <is>
          <t>HA-2206-12</t>
        </is>
      </c>
      <c r="D348" t="inlineStr">
        <is>
          <t>PR-2206-092</t>
        </is>
      </c>
      <c r="E348" t="inlineStr">
        <is>
          <t>Mercitalia</t>
        </is>
      </c>
    </row>
    <row r="349">
      <c r="A349" s="2" t="inlineStr">
        <is>
          <t>593AFA55DDA09ADF</t>
        </is>
      </c>
      <c r="B349" s="2" t="inlineStr">
        <is>
          <t>E471CF9E542F</t>
        </is>
      </c>
      <c r="C349" t="inlineStr">
        <is>
          <t>HA-2206-157</t>
        </is>
      </c>
      <c r="D349" t="inlineStr">
        <is>
          <t>PR-2206-097</t>
        </is>
      </c>
      <c r="E349" t="inlineStr">
        <is>
          <t>Mercitalia</t>
        </is>
      </c>
    </row>
    <row r="350">
      <c r="A350" s="2" t="inlineStr">
        <is>
          <t>AB3E972D3267A0EE</t>
        </is>
      </c>
      <c r="B350" s="2" t="inlineStr">
        <is>
          <t>DDBB7DB64C29</t>
        </is>
      </c>
      <c r="C350" t="inlineStr">
        <is>
          <t>HA-2206-54</t>
        </is>
      </c>
      <c r="D350" t="inlineStr">
        <is>
          <t>PR-2206-054</t>
        </is>
      </c>
      <c r="E350" t="inlineStr">
        <is>
          <t>Mercitalia</t>
        </is>
      </c>
    </row>
    <row r="351">
      <c r="A351" s="2" t="inlineStr">
        <is>
          <t>9380F2DEA036B7C7</t>
        </is>
      </c>
      <c r="B351" s="2" t="inlineStr">
        <is>
          <t>D444D428A103</t>
        </is>
      </c>
      <c r="C351" t="inlineStr">
        <is>
          <t>HA-2206-137</t>
        </is>
      </c>
      <c r="D351" t="inlineStr">
        <is>
          <t>PR-2206-010</t>
        </is>
      </c>
      <c r="E351" t="inlineStr">
        <is>
          <t>Mercitalia</t>
        </is>
      </c>
    </row>
    <row r="352">
      <c r="A352" s="2" t="inlineStr">
        <is>
          <t>F72F23B28F654E1A</t>
        </is>
      </c>
      <c r="B352" s="2" t="inlineStr">
        <is>
          <t>F09B5F733735</t>
        </is>
      </c>
      <c r="C352" t="inlineStr">
        <is>
          <t>HA-2206-165</t>
        </is>
      </c>
      <c r="D352" t="inlineStr">
        <is>
          <t>PR-2206-034</t>
        </is>
      </c>
      <c r="E352" t="inlineStr">
        <is>
          <t>Mercitalia</t>
        </is>
      </c>
    </row>
    <row r="353">
      <c r="A353" s="2" t="inlineStr">
        <is>
          <t>31594E319FBED7E0</t>
        </is>
      </c>
      <c r="B353" s="2" t="inlineStr">
        <is>
          <t>FB46408303A8</t>
        </is>
      </c>
      <c r="C353" t="inlineStr">
        <is>
          <t>HA-2206-184</t>
        </is>
      </c>
      <c r="D353" t="inlineStr">
        <is>
          <t>PR-2206-082</t>
        </is>
      </c>
      <c r="E353" t="inlineStr">
        <is>
          <t>Mercitalia</t>
        </is>
      </c>
    </row>
    <row r="354">
      <c r="A354" s="2" t="inlineStr">
        <is>
          <t>497A31F5E4A87055</t>
        </is>
      </c>
      <c r="B354" s="2" t="inlineStr">
        <is>
          <t>E717D2FC946C</t>
        </is>
      </c>
      <c r="C354" t="inlineStr">
        <is>
          <t>HA-2206-170</t>
        </is>
      </c>
      <c r="D354" t="inlineStr">
        <is>
          <t>PR-2206-042</t>
        </is>
      </c>
      <c r="E354" t="inlineStr">
        <is>
          <t>Mercitalia</t>
        </is>
      </c>
    </row>
    <row r="355">
      <c r="A355" s="2" t="inlineStr">
        <is>
          <t>9D107FDBC11A295E</t>
        </is>
      </c>
      <c r="B355" s="2" t="inlineStr">
        <is>
          <t>E6A4DF5F1E7F</t>
        </is>
      </c>
      <c r="C355" t="inlineStr">
        <is>
          <t>HA-2206-146</t>
        </is>
      </c>
      <c r="D355" t="inlineStr">
        <is>
          <t>PR-2206-030</t>
        </is>
      </c>
      <c r="E355" t="inlineStr">
        <is>
          <t>Mercitalia</t>
        </is>
      </c>
    </row>
    <row r="356">
      <c r="A356" s="2" t="inlineStr">
        <is>
          <t>21849CA8B551ABEC</t>
        </is>
      </c>
      <c r="B356" s="2" t="inlineStr">
        <is>
          <t>D47A7E7DC0A2</t>
        </is>
      </c>
      <c r="C356" t="inlineStr">
        <is>
          <t>HA-2206-103</t>
        </is>
      </c>
      <c r="D356" t="inlineStr">
        <is>
          <t>PR-2206-062</t>
        </is>
      </c>
      <c r="E356" t="inlineStr">
        <is>
          <t>Mercitalia</t>
        </is>
      </c>
    </row>
    <row r="357">
      <c r="A357" s="2" t="inlineStr">
        <is>
          <t>03F38D514364A951</t>
        </is>
      </c>
      <c r="B357" s="2" t="inlineStr">
        <is>
          <t>D321FD91A79A</t>
        </is>
      </c>
      <c r="C357" t="inlineStr">
        <is>
          <t>HA-2206-161</t>
        </is>
      </c>
      <c r="D357" t="inlineStr">
        <is>
          <t>PR-2206-068</t>
        </is>
      </c>
      <c r="E357" t="inlineStr">
        <is>
          <t>Mercitalia</t>
        </is>
      </c>
    </row>
    <row r="358">
      <c r="A358" s="2" t="inlineStr">
        <is>
          <t>C24A2AC617A8A136</t>
        </is>
      </c>
      <c r="B358" s="2" t="inlineStr">
        <is>
          <t>CEF36537E724</t>
        </is>
      </c>
      <c r="C358" t="inlineStr">
        <is>
          <t>HA-2206-178</t>
        </is>
      </c>
      <c r="D358" t="inlineStr">
        <is>
          <t>PR-2206-002</t>
        </is>
      </c>
      <c r="E358" t="inlineStr">
        <is>
          <t>Mercitalia</t>
        </is>
      </c>
    </row>
    <row r="359">
      <c r="A359" s="2" t="inlineStr">
        <is>
          <t>F278E151AD918DD5</t>
        </is>
      </c>
      <c r="B359" s="2" t="inlineStr">
        <is>
          <t>FE4E199C036E</t>
        </is>
      </c>
      <c r="C359" t="inlineStr">
        <is>
          <t>HA-2206-180</t>
        </is>
      </c>
      <c r="D359" t="inlineStr">
        <is>
          <t>PR-2206-275</t>
        </is>
      </c>
      <c r="E359" t="inlineStr">
        <is>
          <t>Mercitalia</t>
        </is>
      </c>
    </row>
    <row r="360">
      <c r="A360" s="2" t="inlineStr">
        <is>
          <t>DFA0DBF2F7817122</t>
        </is>
      </c>
      <c r="B360" s="2" t="inlineStr">
        <is>
          <t>D3423334BE54</t>
        </is>
      </c>
      <c r="C360" t="inlineStr">
        <is>
          <t>HA-2206-148</t>
        </is>
      </c>
      <c r="D360" t="inlineStr">
        <is>
          <t>PR-2206-036</t>
        </is>
      </c>
      <c r="E360" t="inlineStr">
        <is>
          <t>Mercitalia</t>
        </is>
      </c>
    </row>
    <row r="361">
      <c r="A361" s="2" t="inlineStr">
        <is>
          <t>6ED2FC4DD08EF5BB</t>
        </is>
      </c>
      <c r="B361" s="2" t="inlineStr">
        <is>
          <t>D289274AEE75</t>
        </is>
      </c>
      <c r="C361" t="inlineStr">
        <is>
          <t>HA-2206-82</t>
        </is>
      </c>
      <c r="D361" t="inlineStr">
        <is>
          <t>PR-2206-017</t>
        </is>
      </c>
      <c r="E361" t="inlineStr">
        <is>
          <t>Mercitalia</t>
        </is>
      </c>
    </row>
    <row r="362">
      <c r="A362" s="2" t="inlineStr">
        <is>
          <t>4239A035F9ADD243</t>
        </is>
      </c>
      <c r="B362" s="2" t="inlineStr">
        <is>
          <t>D19992897541</t>
        </is>
      </c>
      <c r="C362" t="inlineStr">
        <is>
          <t>HA-2206-151</t>
        </is>
      </c>
      <c r="D362" t="inlineStr">
        <is>
          <t>PR-2206-104</t>
        </is>
      </c>
      <c r="E362" t="inlineStr">
        <is>
          <t>Mercitalia</t>
        </is>
      </c>
    </row>
    <row r="363">
      <c r="A363" s="2" t="inlineStr">
        <is>
          <t>944FB46B205C4B33</t>
        </is>
      </c>
      <c r="B363" s="2" t="inlineStr">
        <is>
          <t>E42E5E0CCC7A</t>
        </is>
      </c>
      <c r="C363" t="inlineStr">
        <is>
          <t>HA-2206-175</t>
        </is>
      </c>
      <c r="D363" t="inlineStr">
        <is>
          <t>PR-2206-052</t>
        </is>
      </c>
      <c r="E363" t="inlineStr">
        <is>
          <t>Mercitalia</t>
        </is>
      </c>
    </row>
    <row r="364">
      <c r="A364" s="2" t="inlineStr">
        <is>
          <t>B4ABAB5093330B03</t>
        </is>
      </c>
      <c r="B364" s="2" t="inlineStr">
        <is>
          <t>DC87F3C113B1</t>
        </is>
      </c>
      <c r="C364" t="inlineStr">
        <is>
          <t>HA-2206-139</t>
        </is>
      </c>
      <c r="D364" t="inlineStr">
        <is>
          <t>PR-2206-389</t>
        </is>
      </c>
      <c r="E364" t="inlineStr">
        <is>
          <t>Mercitalia</t>
        </is>
      </c>
    </row>
    <row r="365">
      <c r="A365" s="2" t="inlineStr">
        <is>
          <t>292A75A257B7FEE2</t>
        </is>
      </c>
      <c r="B365" s="2" t="inlineStr">
        <is>
          <t>D393FDF1ED49</t>
        </is>
      </c>
      <c r="C365" t="inlineStr">
        <is>
          <t>HA-2206-160</t>
        </is>
      </c>
      <c r="D365" t="inlineStr">
        <is>
          <t>PR-2206-005</t>
        </is>
      </c>
      <c r="E365" t="inlineStr">
        <is>
          <t>Mercitalia</t>
        </is>
      </c>
    </row>
    <row r="366">
      <c r="A366" s="2" t="inlineStr">
        <is>
          <t>CB2249182278621B</t>
        </is>
      </c>
      <c r="B366" s="2" t="inlineStr">
        <is>
          <t>D6BD589A8C16</t>
        </is>
      </c>
      <c r="C366" t="inlineStr">
        <is>
          <t>HA-2206-25</t>
        </is>
      </c>
      <c r="D366" t="inlineStr">
        <is>
          <t>PR-2206-361</t>
        </is>
      </c>
      <c r="E366" t="inlineStr">
        <is>
          <t>Mercitalia</t>
        </is>
      </c>
    </row>
    <row r="367">
      <c r="A367" s="2" t="inlineStr">
        <is>
          <t>6E3D1BE69956AF18</t>
        </is>
      </c>
      <c r="B367" s="2" t="inlineStr">
        <is>
          <t>D1355546ECB9</t>
        </is>
      </c>
      <c r="C367" t="inlineStr">
        <is>
          <t>HA-2206-118</t>
        </is>
      </c>
      <c r="D367" t="inlineStr">
        <is>
          <t>PR-2206-096</t>
        </is>
      </c>
      <c r="E367" t="inlineStr">
        <is>
          <t>Mercitalia</t>
        </is>
      </c>
    </row>
    <row r="368">
      <c r="A368" s="2" t="inlineStr">
        <is>
          <t>3E9D2EDA0C57F812</t>
        </is>
      </c>
      <c r="B368" s="2" t="inlineStr">
        <is>
          <t>EB980D099964</t>
        </is>
      </c>
      <c r="C368" t="inlineStr">
        <is>
          <t>HA-2206-69</t>
        </is>
      </c>
      <c r="D368" t="inlineStr">
        <is>
          <t>PR-2206-298</t>
        </is>
      </c>
      <c r="E368" t="inlineStr">
        <is>
          <t>Mercitalia</t>
        </is>
      </c>
    </row>
    <row r="369">
      <c r="A369" s="2" t="inlineStr">
        <is>
          <t>14E7F073C1809CD2</t>
        </is>
      </c>
      <c r="B369" s="2" t="inlineStr">
        <is>
          <t>CB820D411CCA</t>
        </is>
      </c>
      <c r="C369" t="inlineStr">
        <is>
          <t>HA-2206-124</t>
        </is>
      </c>
      <c r="D369" t="inlineStr">
        <is>
          <t>PR-2206-390</t>
        </is>
      </c>
      <c r="E369" t="inlineStr">
        <is>
          <t>Mercitalia</t>
        </is>
      </c>
    </row>
    <row r="370">
      <c r="A370" s="2" t="inlineStr">
        <is>
          <t>B154BD9BE30C2F6A</t>
        </is>
      </c>
      <c r="B370" s="2" t="inlineStr">
        <is>
          <t>CEB2553AC7A2</t>
        </is>
      </c>
      <c r="C370" t="inlineStr">
        <is>
          <t>HA-2206-39</t>
        </is>
      </c>
      <c r="D370" t="inlineStr">
        <is>
          <t>PR-2206-359</t>
        </is>
      </c>
      <c r="E370" t="inlineStr">
        <is>
          <t>Mercitalia</t>
        </is>
      </c>
    </row>
    <row r="371">
      <c r="A371" s="2" t="inlineStr">
        <is>
          <t>BAAFB5B7BD8DFD92</t>
        </is>
      </c>
      <c r="B371" s="2" t="inlineStr">
        <is>
          <t>E984285BAC4A</t>
        </is>
      </c>
      <c r="C371" t="inlineStr">
        <is>
          <t>HA-2206-138</t>
        </is>
      </c>
      <c r="D371" t="inlineStr">
        <is>
          <t>PR-2206-380</t>
        </is>
      </c>
      <c r="E371" t="inlineStr">
        <is>
          <t>Mercitalia</t>
        </is>
      </c>
    </row>
    <row r="372">
      <c r="A372" s="2" t="inlineStr">
        <is>
          <t>8E174C19A0670F33</t>
        </is>
      </c>
      <c r="B372" s="2" t="inlineStr">
        <is>
          <t>FA819D28D759</t>
        </is>
      </c>
      <c r="C372" t="inlineStr">
        <is>
          <t>HA-2206-117</t>
        </is>
      </c>
      <c r="D372" t="inlineStr">
        <is>
          <t>PR-2206-344</t>
        </is>
      </c>
      <c r="E372" t="inlineStr">
        <is>
          <t>Mercitalia</t>
        </is>
      </c>
    </row>
    <row r="373">
      <c r="A373" s="2" t="inlineStr">
        <is>
          <t>F0D5BCE00F7D3901</t>
        </is>
      </c>
      <c r="B373" s="2" t="inlineStr">
        <is>
          <t>C7C8A2C7C022</t>
        </is>
      </c>
      <c r="C373" t="inlineStr">
        <is>
          <t>HA-2206-108</t>
        </is>
      </c>
      <c r="D373" t="inlineStr">
        <is>
          <t>PR-2206-385</t>
        </is>
      </c>
      <c r="E373" t="inlineStr">
        <is>
          <t>Mercitalia</t>
        </is>
      </c>
    </row>
    <row r="374">
      <c r="A374" s="2" t="inlineStr">
        <is>
          <t>C101B37CFC42676D</t>
        </is>
      </c>
      <c r="B374" s="2" t="inlineStr">
        <is>
          <t>F3E340B15551</t>
        </is>
      </c>
      <c r="C374" t="inlineStr">
        <is>
          <t>HA-2206-145</t>
        </is>
      </c>
      <c r="D374" t="inlineStr">
        <is>
          <t>PR-2206-342</t>
        </is>
      </c>
      <c r="E374" t="inlineStr">
        <is>
          <t>Mercitalia</t>
        </is>
      </c>
    </row>
    <row r="375">
      <c r="A375" s="2" t="inlineStr">
        <is>
          <t>AF6EB656D594A634</t>
        </is>
      </c>
      <c r="B375" s="2" t="inlineStr">
        <is>
          <t>C99CEE6526AF</t>
        </is>
      </c>
      <c r="C375" t="inlineStr">
        <is>
          <t>HA-2206-113</t>
        </is>
      </c>
      <c r="D375" t="inlineStr">
        <is>
          <t>PR-2206-031</t>
        </is>
      </c>
      <c r="E375" t="inlineStr">
        <is>
          <t>Mercitalia</t>
        </is>
      </c>
    </row>
    <row r="376">
      <c r="A376" s="2" t="inlineStr">
        <is>
          <t>6C3A43A20613294D</t>
        </is>
      </c>
      <c r="B376" s="2" t="inlineStr">
        <is>
          <t>F8D9960621DD</t>
        </is>
      </c>
      <c r="C376" t="inlineStr">
        <is>
          <t>HA-2206-112</t>
        </is>
      </c>
      <c r="D376" t="inlineStr">
        <is>
          <t>PR-2206-046</t>
        </is>
      </c>
      <c r="E376" t="inlineStr">
        <is>
          <t>Mercitalia</t>
        </is>
      </c>
    </row>
    <row r="377">
      <c r="A377" s="2" t="inlineStr">
        <is>
          <t>7E41C3B298C36EC0</t>
        </is>
      </c>
      <c r="B377" s="2" t="inlineStr">
        <is>
          <t>D092891AC02D</t>
        </is>
      </c>
      <c r="C377" t="inlineStr">
        <is>
          <t>HA-2206-159</t>
        </is>
      </c>
      <c r="D377" s="51" t="inlineStr">
        <is>
          <t>PR-2206-049</t>
        </is>
      </c>
      <c r="E377" t="inlineStr">
        <is>
          <t>Mercitalia</t>
        </is>
      </c>
    </row>
    <row r="378">
      <c r="A378" s="2" t="inlineStr">
        <is>
          <t>E8F95EDD0BB94B50</t>
        </is>
      </c>
      <c r="B378" s="2" t="inlineStr">
        <is>
          <t>F106F701B5ED</t>
        </is>
      </c>
      <c r="C378" t="inlineStr">
        <is>
          <t>HA-2206-115</t>
        </is>
      </c>
      <c r="D378" t="inlineStr">
        <is>
          <t>PR-2206-015</t>
        </is>
      </c>
      <c r="E378" t="inlineStr">
        <is>
          <t>Mercitalia</t>
        </is>
      </c>
    </row>
    <row r="379">
      <c r="A379" s="2" t="inlineStr">
        <is>
          <t>26ACB0F40F8F29D4</t>
        </is>
      </c>
      <c r="B379" s="2" t="inlineStr">
        <is>
          <t>D66E37E271E1</t>
        </is>
      </c>
      <c r="C379" t="inlineStr">
        <is>
          <t>HA-2206-114</t>
        </is>
      </c>
      <c r="D379" t="inlineStr">
        <is>
          <t>PR-2206-001</t>
        </is>
      </c>
      <c r="E379" t="inlineStr">
        <is>
          <t>Mercitalia</t>
        </is>
      </c>
    </row>
    <row r="380">
      <c r="A380" s="2" t="inlineStr">
        <is>
          <t>3E8CFC9B52F6D35C</t>
        </is>
      </c>
      <c r="B380" s="2" t="inlineStr">
        <is>
          <t>F962E99ACA69</t>
        </is>
      </c>
      <c r="C380" t="inlineStr">
        <is>
          <t>HA-2206-27</t>
        </is>
      </c>
      <c r="D380" t="inlineStr">
        <is>
          <t>PR-2206-099</t>
        </is>
      </c>
      <c r="E380" t="inlineStr">
        <is>
          <t>Mercitalia</t>
        </is>
      </c>
    </row>
    <row r="381">
      <c r="A381" s="2" t="inlineStr">
        <is>
          <t>0143C883A1426C40</t>
        </is>
      </c>
      <c r="B381" s="2" t="inlineStr">
        <is>
          <t>D4B2288F32A9</t>
        </is>
      </c>
      <c r="C381" t="inlineStr">
        <is>
          <t>HA-2206-65</t>
        </is>
      </c>
      <c r="D381" t="inlineStr">
        <is>
          <t>PR-2206-020</t>
        </is>
      </c>
      <c r="E381" t="inlineStr">
        <is>
          <t>Mercitalia</t>
        </is>
      </c>
    </row>
    <row r="382">
      <c r="A382" s="2" t="inlineStr">
        <is>
          <t>E857351C6E965557</t>
        </is>
      </c>
      <c r="B382" s="2" t="inlineStr">
        <is>
          <t>D36B4B682636</t>
        </is>
      </c>
      <c r="C382" t="inlineStr">
        <is>
          <t>HA-2206-90</t>
        </is>
      </c>
      <c r="D382" t="inlineStr">
        <is>
          <t>PR-2206-013</t>
        </is>
      </c>
      <c r="E382" t="inlineStr">
        <is>
          <t>Mercitalia</t>
        </is>
      </c>
    </row>
    <row r="383">
      <c r="A383" s="2" t="inlineStr">
        <is>
          <t>82CA953E3BA08095</t>
        </is>
      </c>
      <c r="B383" s="2" t="inlineStr">
        <is>
          <t>CAED283A89FB</t>
        </is>
      </c>
      <c r="C383" t="inlineStr">
        <is>
          <t>HA-2206-70</t>
        </is>
      </c>
      <c r="D383" t="inlineStr">
        <is>
          <t>PR-2206-091</t>
        </is>
      </c>
      <c r="E383" t="inlineStr">
        <is>
          <t>Mercitalia</t>
        </is>
      </c>
    </row>
    <row r="384">
      <c r="A384" s="2" t="inlineStr">
        <is>
          <t>D036B38DF68D6164</t>
        </is>
      </c>
      <c r="B384" s="2" t="inlineStr">
        <is>
          <t>DCADFA767B61</t>
        </is>
      </c>
      <c r="C384" t="inlineStr">
        <is>
          <t>HA-2206-64</t>
        </is>
      </c>
      <c r="D384" t="inlineStr">
        <is>
          <t>PR-2206-004</t>
        </is>
      </c>
      <c r="E384" t="inlineStr">
        <is>
          <t>Mercitalia</t>
        </is>
      </c>
    </row>
    <row r="385">
      <c r="A385" s="2" t="inlineStr">
        <is>
          <t>22DFE6364F218492</t>
        </is>
      </c>
      <c r="B385" s="2" t="inlineStr">
        <is>
          <t>E748CA6FCC37</t>
        </is>
      </c>
      <c r="C385" t="inlineStr">
        <is>
          <t>HA-2206-134</t>
        </is>
      </c>
      <c r="D385" t="inlineStr">
        <is>
          <t>PR-2206-047</t>
        </is>
      </c>
      <c r="E385" t="inlineStr">
        <is>
          <t>Mercitalia</t>
        </is>
      </c>
    </row>
    <row r="386">
      <c r="A386" s="2" t="inlineStr">
        <is>
          <t>33035E77A96044FC</t>
        </is>
      </c>
      <c r="B386" s="2" t="inlineStr">
        <is>
          <t>DD51A16CDEBF</t>
        </is>
      </c>
      <c r="C386" t="inlineStr">
        <is>
          <t>HA-2206-121</t>
        </is>
      </c>
      <c r="D386" t="inlineStr">
        <is>
          <t>PR-2206-012</t>
        </is>
      </c>
      <c r="E386" t="inlineStr">
        <is>
          <t>Mercitalia</t>
        </is>
      </c>
    </row>
    <row r="387">
      <c r="A387" s="2" t="inlineStr">
        <is>
          <t>D75B67AA076D7D7A</t>
        </is>
      </c>
      <c r="B387" s="2" t="inlineStr">
        <is>
          <t>E51DE74C4D32</t>
        </is>
      </c>
      <c r="C387" t="inlineStr">
        <is>
          <t>HA-2206-73</t>
        </is>
      </c>
      <c r="D387" t="inlineStr">
        <is>
          <t>PR-2206-283</t>
        </is>
      </c>
      <c r="E387" t="inlineStr">
        <is>
          <t>Mercitalia</t>
        </is>
      </c>
    </row>
    <row r="388">
      <c r="A388" s="2" t="inlineStr">
        <is>
          <t>BCC7948C51E7588D</t>
        </is>
      </c>
      <c r="B388" s="2" t="inlineStr">
        <is>
          <t>F312C9CE96C3</t>
        </is>
      </c>
      <c r="C388" t="inlineStr">
        <is>
          <t>HA-2206-2</t>
        </is>
      </c>
      <c r="D388" t="inlineStr">
        <is>
          <t>PR-2206-384</t>
        </is>
      </c>
      <c r="E388" t="inlineStr">
        <is>
          <t>Mercitalia</t>
        </is>
      </c>
    </row>
    <row r="389">
      <c r="A389" s="2" t="inlineStr">
        <is>
          <t>5D28CB8017AEA2CD</t>
        </is>
      </c>
      <c r="B389" s="2" t="inlineStr">
        <is>
          <t>C3F635D7BDF1</t>
        </is>
      </c>
      <c r="C389" t="inlineStr">
        <is>
          <t>HA-2206-36</t>
        </is>
      </c>
      <c r="D389" t="inlineStr">
        <is>
          <t>PR-2206-394</t>
        </is>
      </c>
      <c r="E389" t="inlineStr">
        <is>
          <t>Mercitalia</t>
        </is>
      </c>
    </row>
    <row r="390">
      <c r="A390" s="2" t="inlineStr">
        <is>
          <t>7B05D4D1D2A0E34E</t>
        </is>
      </c>
      <c r="B390" s="2" t="inlineStr">
        <is>
          <t>E235F90C3CD4</t>
        </is>
      </c>
      <c r="C390" t="inlineStr">
        <is>
          <t>HA-2206-17</t>
        </is>
      </c>
      <c r="D390" t="inlineStr">
        <is>
          <t>PR-2206-101</t>
        </is>
      </c>
      <c r="E390" t="inlineStr">
        <is>
          <t>Mercitalia</t>
        </is>
      </c>
    </row>
    <row r="391">
      <c r="A391" s="2" t="inlineStr">
        <is>
          <t>6FEF097F88F2814B</t>
        </is>
      </c>
      <c r="B391" s="2" t="inlineStr">
        <is>
          <t>D10F90EFB978</t>
        </is>
      </c>
      <c r="C391" t="inlineStr">
        <is>
          <t>HA-2206-91</t>
        </is>
      </c>
      <c r="D391" t="inlineStr">
        <is>
          <t>PR-2206-055</t>
        </is>
      </c>
      <c r="E391" t="inlineStr">
        <is>
          <t>Mercitalia</t>
        </is>
      </c>
    </row>
    <row r="392">
      <c r="A392" s="2" t="inlineStr">
        <is>
          <t>FE2E1F64BF185AB1</t>
        </is>
      </c>
      <c r="B392" s="2" t="inlineStr">
        <is>
          <t>E440183D11FC</t>
        </is>
      </c>
      <c r="C392" t="inlineStr">
        <is>
          <t>HA-2206-129</t>
        </is>
      </c>
      <c r="D392" t="inlineStr">
        <is>
          <t>PR-2206-343</t>
        </is>
      </c>
      <c r="E392" t="inlineStr">
        <is>
          <t>Mercitalia</t>
        </is>
      </c>
    </row>
    <row r="393">
      <c r="A393" s="2" t="inlineStr">
        <is>
          <t>A287840C26E25F38</t>
        </is>
      </c>
      <c r="B393" s="2" t="inlineStr">
        <is>
          <t>D2DC7A3C9665</t>
        </is>
      </c>
      <c r="C393" t="inlineStr">
        <is>
          <t>HA-2206-153</t>
        </is>
      </c>
      <c r="D393" t="inlineStr">
        <is>
          <t>PR-2206-279</t>
        </is>
      </c>
      <c r="E393" t="inlineStr">
        <is>
          <t>Mercitalia</t>
        </is>
      </c>
    </row>
    <row r="394">
      <c r="A394" s="2" t="inlineStr">
        <is>
          <t>5A3CC8A0D4CA979F</t>
        </is>
      </c>
      <c r="B394" s="2" t="inlineStr">
        <is>
          <t>C4912512D8C8</t>
        </is>
      </c>
      <c r="C394" t="inlineStr">
        <is>
          <t>HA-2206-62</t>
        </is>
      </c>
      <c r="D394" t="inlineStr">
        <is>
          <t>PR-2206-347</t>
        </is>
      </c>
      <c r="E394" t="inlineStr">
        <is>
          <t>Mercitalia</t>
        </is>
      </c>
    </row>
    <row r="395">
      <c r="A395" s="2" t="inlineStr">
        <is>
          <t>20066518B4BE9A79</t>
        </is>
      </c>
      <c r="B395" s="2" t="inlineStr">
        <is>
          <t>CB38BAC39122</t>
        </is>
      </c>
      <c r="C395" t="inlineStr">
        <is>
          <t>HA-2206-135</t>
        </is>
      </c>
      <c r="D395" t="inlineStr">
        <is>
          <t>PR-2206-395</t>
        </is>
      </c>
      <c r="E395" t="inlineStr">
        <is>
          <t>Mercitalia</t>
        </is>
      </c>
    </row>
    <row r="396">
      <c r="A396" s="2" t="inlineStr">
        <is>
          <t>5FC24EE460FD2E0B</t>
        </is>
      </c>
      <c r="B396" s="2" t="inlineStr">
        <is>
          <t>C7EFE41F7138</t>
        </is>
      </c>
      <c r="C396" t="inlineStr">
        <is>
          <t>HA-2206-45</t>
        </is>
      </c>
      <c r="D396" t="inlineStr">
        <is>
          <t>PR-2206-393</t>
        </is>
      </c>
      <c r="E396" t="inlineStr">
        <is>
          <t>Mercitalia</t>
        </is>
      </c>
    </row>
    <row r="397">
      <c r="A397" s="2" t="inlineStr">
        <is>
          <t>D23011281A447948</t>
        </is>
      </c>
      <c r="B397" s="2" t="inlineStr">
        <is>
          <t>D0549961014B</t>
        </is>
      </c>
      <c r="C397" t="inlineStr">
        <is>
          <t>HA-2206-96</t>
        </is>
      </c>
      <c r="D397" t="inlineStr">
        <is>
          <t>PR-2206-332</t>
        </is>
      </c>
      <c r="E397" t="inlineStr">
        <is>
          <t>Mercitalia</t>
        </is>
      </c>
    </row>
    <row r="398">
      <c r="A398" s="2" t="inlineStr">
        <is>
          <t>1D324270DB42F6FE</t>
        </is>
      </c>
      <c r="B398" s="2" t="inlineStr">
        <is>
          <t>DDC997B66F48</t>
        </is>
      </c>
      <c r="C398" t="inlineStr">
        <is>
          <t>HA-2206-150</t>
        </is>
      </c>
      <c r="D398" t="inlineStr">
        <is>
          <t>PR-2206-353</t>
        </is>
      </c>
      <c r="E398" t="inlineStr">
        <is>
          <t>Mercitalia</t>
        </is>
      </c>
    </row>
    <row r="399">
      <c r="A399" s="2" t="inlineStr">
        <is>
          <t>1C759F8E58C7CBB2</t>
        </is>
      </c>
      <c r="B399" s="2" t="inlineStr">
        <is>
          <t>C53CA03E13AD</t>
        </is>
      </c>
      <c r="C399" t="inlineStr">
        <is>
          <t>HA-2206-130</t>
        </is>
      </c>
      <c r="D399" t="inlineStr">
        <is>
          <t>PR-2206-369</t>
        </is>
      </c>
      <c r="E399" t="inlineStr">
        <is>
          <t>Mercitalia</t>
        </is>
      </c>
    </row>
    <row r="400">
      <c r="A400" s="2" t="inlineStr">
        <is>
          <t>256DF9DEB6B2B4E3</t>
        </is>
      </c>
      <c r="B400" s="2" t="inlineStr">
        <is>
          <t>E28064CED0FB</t>
        </is>
      </c>
      <c r="C400" t="inlineStr">
        <is>
          <t>HA-2206-133</t>
        </is>
      </c>
      <c r="D400" t="inlineStr">
        <is>
          <t>PR-2206-376</t>
        </is>
      </c>
      <c r="E400" t="inlineStr">
        <is>
          <t>Mercitalia</t>
        </is>
      </c>
    </row>
    <row r="401">
      <c r="A401" s="2" t="inlineStr">
        <is>
          <t>D4BF02715DE49104</t>
        </is>
      </c>
      <c r="B401" s="2" t="inlineStr">
        <is>
          <t>E0304FCCE79F</t>
        </is>
      </c>
      <c r="C401" t="inlineStr">
        <is>
          <t>HA-2206-9</t>
        </is>
      </c>
      <c r="D401" t="inlineStr">
        <is>
          <t>PR-2206-367</t>
        </is>
      </c>
      <c r="E401" t="inlineStr">
        <is>
          <t>Mercitalia</t>
        </is>
      </c>
    </row>
    <row r="402">
      <c r="A402" s="2" t="inlineStr">
        <is>
          <t>63DE15D054F10F88</t>
        </is>
      </c>
      <c r="B402" s="2" t="inlineStr">
        <is>
          <t>E02FD87A67DB</t>
        </is>
      </c>
      <c r="C402" t="inlineStr">
        <is>
          <t>HA-2206-85</t>
        </is>
      </c>
      <c r="D402" t="inlineStr">
        <is>
          <t>PR-2206-381</t>
        </is>
      </c>
      <c r="E402" t="inlineStr">
        <is>
          <t>Mercitalia</t>
        </is>
      </c>
    </row>
    <row r="403">
      <c r="A403" s="2" t="inlineStr">
        <is>
          <t>8CA553A6D7ADC8A8</t>
        </is>
      </c>
      <c r="B403" s="2" t="inlineStr">
        <is>
          <t>C52324A49EBE</t>
        </is>
      </c>
      <c r="C403" t="inlineStr">
        <is>
          <t>HA-2206-172</t>
        </is>
      </c>
      <c r="D403" t="inlineStr">
        <is>
          <t>PR-2206-313</t>
        </is>
      </c>
      <c r="E403" t="inlineStr">
        <is>
          <t>Mercitalia</t>
        </is>
      </c>
    </row>
    <row r="404">
      <c r="A404" s="2" t="inlineStr">
        <is>
          <t>0460344ECA62AC97</t>
        </is>
      </c>
      <c r="B404" s="2" t="inlineStr">
        <is>
          <t>D994E3963C14</t>
        </is>
      </c>
      <c r="C404" t="inlineStr">
        <is>
          <t>HA-2206-8</t>
        </is>
      </c>
      <c r="D404" t="inlineStr">
        <is>
          <t>PR-2206-100</t>
        </is>
      </c>
      <c r="E404" t="inlineStr">
        <is>
          <t>Mercitalia</t>
        </is>
      </c>
    </row>
    <row r="405">
      <c r="A405" s="2" t="inlineStr">
        <is>
          <t>D4F3F8DDF7F65865</t>
        </is>
      </c>
      <c r="B405" s="2" t="inlineStr">
        <is>
          <t>E613706C233D</t>
        </is>
      </c>
      <c r="C405" t="inlineStr">
        <is>
          <t>HA-2206-120</t>
        </is>
      </c>
      <c r="D405" t="inlineStr">
        <is>
          <t>PR-2206-387</t>
        </is>
      </c>
      <c r="E405" t="inlineStr">
        <is>
          <t>Mercitalia</t>
        </is>
      </c>
    </row>
    <row r="406">
      <c r="A406" s="2" t="inlineStr">
        <is>
          <t>E7220C618E7853B7</t>
        </is>
      </c>
      <c r="B406" s="2" t="inlineStr">
        <is>
          <t>D04CE5D3FC18</t>
        </is>
      </c>
      <c r="C406" t="inlineStr">
        <is>
          <t>HA-2206-95</t>
        </is>
      </c>
      <c r="D406" t="inlineStr">
        <is>
          <t>PR-2206-370</t>
        </is>
      </c>
      <c r="E406" t="inlineStr">
        <is>
          <t>Mercitalia</t>
        </is>
      </c>
    </row>
    <row r="407">
      <c r="A407" s="2" t="inlineStr">
        <is>
          <t>AD13C70880D533E2</t>
        </is>
      </c>
      <c r="B407" s="2" t="inlineStr">
        <is>
          <t>E4CE24DA91B6</t>
        </is>
      </c>
      <c r="C407" t="inlineStr">
        <is>
          <t>HA-2206-92</t>
        </is>
      </c>
      <c r="D407" t="inlineStr">
        <is>
          <t>PR-2206-392</t>
        </is>
      </c>
      <c r="E407" t="inlineStr">
        <is>
          <t>Mercitalia</t>
        </is>
      </c>
    </row>
    <row r="408">
      <c r="A408" s="2" t="inlineStr">
        <is>
          <t>2FE58C645D0B65B9</t>
        </is>
      </c>
      <c r="B408" s="2" t="inlineStr">
        <is>
          <t>C905C79087E7</t>
        </is>
      </c>
      <c r="C408" t="inlineStr">
        <is>
          <t>HA-2206-72</t>
        </is>
      </c>
      <c r="D408" t="inlineStr">
        <is>
          <t>PR-2206-340</t>
        </is>
      </c>
      <c r="E408" t="inlineStr">
        <is>
          <t>Mercitalia</t>
        </is>
      </c>
    </row>
    <row r="409">
      <c r="A409" s="2" t="inlineStr">
        <is>
          <t>924F41FCB1BFBD95</t>
        </is>
      </c>
      <c r="B409" s="2" t="inlineStr">
        <is>
          <t>C5A4DB10399C</t>
        </is>
      </c>
      <c r="C409" t="inlineStr">
        <is>
          <t>HA-2206-78</t>
        </is>
      </c>
      <c r="D409" t="inlineStr">
        <is>
          <t>PR-2206-027</t>
        </is>
      </c>
      <c r="E409" t="inlineStr">
        <is>
          <t>Mercitalia</t>
        </is>
      </c>
    </row>
    <row r="410">
      <c r="A410" s="2" t="inlineStr">
        <is>
          <t>4CA838C7102ED769</t>
        </is>
      </c>
      <c r="B410" s="2" t="inlineStr">
        <is>
          <t>C29CA9ABB5F6</t>
        </is>
      </c>
      <c r="C410" t="inlineStr">
        <is>
          <t>HA-2206-98</t>
        </is>
      </c>
      <c r="D410" t="inlineStr">
        <is>
          <t>PR-2206-364</t>
        </is>
      </c>
      <c r="E410" t="inlineStr">
        <is>
          <t>Mercitalia</t>
        </is>
      </c>
    </row>
    <row r="411">
      <c r="A411" s="2" t="inlineStr">
        <is>
          <t>6922A02EE9C2A313</t>
        </is>
      </c>
      <c r="B411" s="2" t="inlineStr">
        <is>
          <t>FEB92BE79CEE</t>
        </is>
      </c>
      <c r="C411" t="inlineStr">
        <is>
          <t>HA-2206-131</t>
        </is>
      </c>
      <c r="D411" s="51" t="inlineStr">
        <is>
          <t>PR-2206-349</t>
        </is>
      </c>
      <c r="E411" t="inlineStr">
        <is>
          <t>Mercitalia</t>
        </is>
      </c>
    </row>
    <row r="412">
      <c r="B412" s="26" t="inlineStr">
        <is>
          <t>E05A955FD526</t>
        </is>
      </c>
      <c r="C412" s="26" t="inlineStr">
        <is>
          <t>HA-2209-044</t>
        </is>
      </c>
      <c r="D412" s="26" t="inlineStr">
        <is>
          <t>PR2206-109</t>
        </is>
      </c>
      <c r="E412" t="inlineStr">
        <is>
          <t>HUPAC</t>
        </is>
      </c>
      <c r="F412" t="inlineStr">
        <is>
          <t>Cargo</t>
        </is>
      </c>
    </row>
    <row r="413">
      <c r="B413" s="26" t="inlineStr">
        <is>
          <t>F5E7FD52B4E7</t>
        </is>
      </c>
      <c r="C413" s="26" t="inlineStr">
        <is>
          <t>HA-2209-061</t>
        </is>
      </c>
      <c r="D413" s="26" t="inlineStr">
        <is>
          <t>PR2206-127</t>
        </is>
      </c>
      <c r="E413" t="inlineStr">
        <is>
          <t>HUPAC</t>
        </is>
      </c>
      <c r="F413" t="inlineStr">
        <is>
          <t>Cargo</t>
        </is>
      </c>
    </row>
    <row r="414">
      <c r="B414" s="26" t="inlineStr">
        <is>
          <t>D051E4DF6571</t>
        </is>
      </c>
      <c r="C414" s="26" t="inlineStr">
        <is>
          <t>HA-2209-107</t>
        </is>
      </c>
      <c r="D414" s="26" t="inlineStr">
        <is>
          <t>PR2206-140</t>
        </is>
      </c>
      <c r="E414" t="inlineStr">
        <is>
          <t>HUPAC</t>
        </is>
      </c>
      <c r="F414" t="inlineStr">
        <is>
          <t>Cargo</t>
        </is>
      </c>
    </row>
    <row r="415">
      <c r="B415" s="26" t="inlineStr">
        <is>
          <t>D7637E095C42</t>
        </is>
      </c>
      <c r="C415" s="26" t="inlineStr">
        <is>
          <t>HA-2209-056</t>
        </is>
      </c>
      <c r="D415" s="26" t="inlineStr">
        <is>
          <t>PR2206-134</t>
        </is>
      </c>
      <c r="E415" t="inlineStr">
        <is>
          <t>HUPAC</t>
        </is>
      </c>
      <c r="F415" t="inlineStr">
        <is>
          <t>Cargo</t>
        </is>
      </c>
    </row>
    <row r="416">
      <c r="B416" s="26" t="inlineStr">
        <is>
          <t>CC957475555D</t>
        </is>
      </c>
      <c r="C416" s="26" t="inlineStr">
        <is>
          <t>HA-2209-046</t>
        </is>
      </c>
      <c r="D416" s="26" t="inlineStr">
        <is>
          <t>PR2206-186</t>
        </is>
      </c>
      <c r="E416" t="inlineStr">
        <is>
          <t>HUPAC</t>
        </is>
      </c>
      <c r="F416" t="inlineStr">
        <is>
          <t>Cargo</t>
        </is>
      </c>
    </row>
    <row r="417">
      <c r="B417" s="26" t="inlineStr">
        <is>
          <t>C1D4B359B565</t>
        </is>
      </c>
      <c r="C417" s="26" t="inlineStr">
        <is>
          <t>HA-2209-140</t>
        </is>
      </c>
      <c r="D417" s="26" t="inlineStr">
        <is>
          <t>PR2206-228</t>
        </is>
      </c>
      <c r="E417" t="inlineStr">
        <is>
          <t>HUPAC</t>
        </is>
      </c>
      <c r="F417" t="inlineStr">
        <is>
          <t>Cargo</t>
        </is>
      </c>
    </row>
    <row r="418">
      <c r="B418" s="26" t="inlineStr">
        <is>
          <t>D33211F897BF</t>
        </is>
      </c>
      <c r="C418" s="26" t="inlineStr">
        <is>
          <t>HA-2209-013</t>
        </is>
      </c>
      <c r="D418" s="26" t="inlineStr">
        <is>
          <t>PR2206-162</t>
        </is>
      </c>
      <c r="E418" t="inlineStr">
        <is>
          <t>HUPAC</t>
        </is>
      </c>
      <c r="F418" t="inlineStr">
        <is>
          <t>Cargo</t>
        </is>
      </c>
    </row>
    <row r="419">
      <c r="B419" s="26" t="inlineStr">
        <is>
          <t>E38DECCAE7FB</t>
        </is>
      </c>
      <c r="C419" s="26" t="inlineStr">
        <is>
          <t>HA-2209-054</t>
        </is>
      </c>
      <c r="D419" s="26" t="inlineStr">
        <is>
          <t>PR2206-181</t>
        </is>
      </c>
      <c r="E419" t="inlineStr">
        <is>
          <t>HUPAC</t>
        </is>
      </c>
      <c r="F419" t="inlineStr">
        <is>
          <t>Cargo</t>
        </is>
      </c>
    </row>
    <row r="420">
      <c r="B420" s="26" t="inlineStr">
        <is>
          <t>EB9E056C5D44</t>
        </is>
      </c>
      <c r="C420" s="26" t="inlineStr">
        <is>
          <t>HA-2209-099</t>
        </is>
      </c>
      <c r="D420" s="26" t="inlineStr">
        <is>
          <t>PR2206-141</t>
        </is>
      </c>
      <c r="E420" t="inlineStr">
        <is>
          <t>HUPAC</t>
        </is>
      </c>
      <c r="F420" t="inlineStr">
        <is>
          <t>Cargo</t>
        </is>
      </c>
    </row>
    <row r="421">
      <c r="B421" s="26" t="inlineStr">
        <is>
          <t>D2BA42298DB1</t>
        </is>
      </c>
      <c r="C421" s="26" t="inlineStr">
        <is>
          <t>HA-2206-123</t>
        </is>
      </c>
      <c r="D421" s="26" t="inlineStr">
        <is>
          <t>PR2206-337</t>
        </is>
      </c>
      <c r="E421" t="inlineStr">
        <is>
          <t>HUPAC</t>
        </is>
      </c>
      <c r="F421" t="inlineStr">
        <is>
          <t>Cargo</t>
        </is>
      </c>
    </row>
    <row r="422">
      <c r="B422" s="26" t="inlineStr">
        <is>
          <t>E578FBFD46B4</t>
        </is>
      </c>
      <c r="C422" s="26" t="inlineStr">
        <is>
          <t>HA-2209-064</t>
        </is>
      </c>
      <c r="D422" s="26" t="inlineStr">
        <is>
          <t>PR2206-215</t>
        </is>
      </c>
      <c r="E422" t="inlineStr">
        <is>
          <t>HUPAC</t>
        </is>
      </c>
      <c r="F422" t="inlineStr">
        <is>
          <t>Cargo</t>
        </is>
      </c>
    </row>
    <row r="423">
      <c r="B423" s="26" t="inlineStr">
        <is>
          <t>E8A0FA0FA57D</t>
        </is>
      </c>
      <c r="C423" s="26" t="inlineStr">
        <is>
          <t>HA-2209-014</t>
        </is>
      </c>
      <c r="D423" s="26" t="inlineStr">
        <is>
          <t>PR2206-239</t>
        </is>
      </c>
      <c r="E423" t="inlineStr">
        <is>
          <t>HUPAC</t>
        </is>
      </c>
      <c r="F423" t="inlineStr">
        <is>
          <t>Cargo</t>
        </is>
      </c>
    </row>
    <row r="424">
      <c r="B424" s="26" t="inlineStr">
        <is>
          <t>FBCD6A8D73A5</t>
        </is>
      </c>
      <c r="C424" s="26" t="inlineStr">
        <is>
          <t>HA-2209-138</t>
        </is>
      </c>
      <c r="D424" s="26" t="inlineStr">
        <is>
          <t>PR2206-129</t>
        </is>
      </c>
      <c r="E424" t="inlineStr">
        <is>
          <t>HUPAC</t>
        </is>
      </c>
      <c r="F424" t="inlineStr">
        <is>
          <t>Cargo</t>
        </is>
      </c>
    </row>
    <row r="425">
      <c r="B425" s="26" t="inlineStr">
        <is>
          <t>C4721FB085F7</t>
        </is>
      </c>
      <c r="C425" s="26" t="inlineStr">
        <is>
          <t>HA-2209-032</t>
        </is>
      </c>
      <c r="D425" s="26" t="inlineStr">
        <is>
          <t>PR2206-271</t>
        </is>
      </c>
      <c r="E425" t="inlineStr">
        <is>
          <t>HUPAC</t>
        </is>
      </c>
      <c r="F425" t="inlineStr">
        <is>
          <t>Cargo</t>
        </is>
      </c>
    </row>
    <row r="426">
      <c r="B426" s="26" t="inlineStr">
        <is>
          <t>C8581D8E3473</t>
        </is>
      </c>
      <c r="C426" s="26" t="inlineStr">
        <is>
          <t>HA-2209-034</t>
        </is>
      </c>
      <c r="D426" s="26" t="inlineStr">
        <is>
          <t>PR2206-241</t>
        </is>
      </c>
      <c r="E426" t="inlineStr">
        <is>
          <t>HUPAC</t>
        </is>
      </c>
      <c r="F426" t="inlineStr">
        <is>
          <t>Cargo</t>
        </is>
      </c>
    </row>
    <row r="427">
      <c r="B427" s="26" t="inlineStr">
        <is>
          <t>F264BD4EDC12</t>
        </is>
      </c>
      <c r="C427" s="26" t="inlineStr">
        <is>
          <t>HA-2209-137</t>
        </is>
      </c>
      <c r="D427" s="26" t="inlineStr">
        <is>
          <t>PR2206-243</t>
        </is>
      </c>
      <c r="E427" t="inlineStr">
        <is>
          <t>HUPAC</t>
        </is>
      </c>
      <c r="F427" t="inlineStr">
        <is>
          <t>Cargo</t>
        </is>
      </c>
    </row>
    <row r="428">
      <c r="B428" s="26" t="inlineStr">
        <is>
          <t>D2B2CC8F1A9E</t>
        </is>
      </c>
      <c r="C428" s="26" t="inlineStr">
        <is>
          <t>HA-2209-011</t>
        </is>
      </c>
      <c r="D428" s="26" t="inlineStr">
        <is>
          <t>PR2206-352</t>
        </is>
      </c>
      <c r="E428" t="inlineStr">
        <is>
          <t>HUPAC</t>
        </is>
      </c>
      <c r="F428" t="inlineStr">
        <is>
          <t>Cargo</t>
        </is>
      </c>
    </row>
    <row r="429">
      <c r="B429" s="26" t="inlineStr">
        <is>
          <t>C51DB9317968</t>
        </is>
      </c>
      <c r="C429" s="26" t="inlineStr">
        <is>
          <t>HA-2209-135</t>
        </is>
      </c>
      <c r="D429" s="26" t="inlineStr">
        <is>
          <t>PR2206-277</t>
        </is>
      </c>
      <c r="E429" t="inlineStr">
        <is>
          <t>HUPAC</t>
        </is>
      </c>
      <c r="F429" t="inlineStr">
        <is>
          <t>Cargo</t>
        </is>
      </c>
    </row>
    <row r="430">
      <c r="B430" s="26" t="inlineStr">
        <is>
          <t>EEEEAA9A8C32</t>
        </is>
      </c>
      <c r="C430" s="26" t="inlineStr">
        <is>
          <t>HA-2209-136</t>
        </is>
      </c>
      <c r="D430" s="26" t="inlineStr">
        <is>
          <t>PR2206-210</t>
        </is>
      </c>
      <c r="E430" t="inlineStr">
        <is>
          <t>HUPAC</t>
        </is>
      </c>
      <c r="F430" t="inlineStr">
        <is>
          <t>Cargo</t>
        </is>
      </c>
    </row>
    <row r="431">
      <c r="B431" s="26" t="inlineStr">
        <is>
          <t>F363340CB8A3</t>
        </is>
      </c>
      <c r="C431" s="26" t="inlineStr">
        <is>
          <t>HA-2209-139</t>
        </is>
      </c>
      <c r="D431" s="26" t="inlineStr">
        <is>
          <t>PR2206-238</t>
        </is>
      </c>
      <c r="E431" t="inlineStr">
        <is>
          <t>HUPAC</t>
        </is>
      </c>
      <c r="F431" t="inlineStr">
        <is>
          <t>Cargo</t>
        </is>
      </c>
    </row>
    <row r="432">
      <c r="B432" s="26" t="inlineStr">
        <is>
          <t>D5C43EF16CA1</t>
        </is>
      </c>
      <c r="C432" s="26" t="inlineStr">
        <is>
          <t>HA-2209-050</t>
        </is>
      </c>
      <c r="D432" s="26" t="inlineStr">
        <is>
          <t>PR2206-312</t>
        </is>
      </c>
      <c r="E432" t="inlineStr">
        <is>
          <t>HUPAC</t>
        </is>
      </c>
      <c r="F432" t="inlineStr">
        <is>
          <t>Cargo</t>
        </is>
      </c>
    </row>
    <row r="433">
      <c r="B433" s="26" t="inlineStr">
        <is>
          <t>E64B61BAE4C5</t>
        </is>
      </c>
      <c r="C433" s="26" t="inlineStr">
        <is>
          <t>HA-2209-146</t>
        </is>
      </c>
      <c r="D433" s="26" t="inlineStr">
        <is>
          <t>PR2206-206</t>
        </is>
      </c>
      <c r="E433" t="inlineStr">
        <is>
          <t>HUPAC</t>
        </is>
      </c>
      <c r="F433" t="inlineStr">
        <is>
          <t>Cargo</t>
        </is>
      </c>
    </row>
    <row r="434">
      <c r="B434" s="26" t="inlineStr">
        <is>
          <t>D1AC2CEDAAA8</t>
        </is>
      </c>
      <c r="C434" s="26" t="inlineStr">
        <is>
          <t>HA-2209-109</t>
        </is>
      </c>
      <c r="D434" s="26" t="inlineStr">
        <is>
          <t>PR2206-288</t>
        </is>
      </c>
      <c r="E434" t="inlineStr">
        <is>
          <t>HUPAC</t>
        </is>
      </c>
      <c r="F434" t="inlineStr">
        <is>
          <t>Cargo</t>
        </is>
      </c>
    </row>
    <row r="435">
      <c r="B435" s="26" t="inlineStr">
        <is>
          <t>CD2B93434347</t>
        </is>
      </c>
      <c r="C435" s="26" t="inlineStr">
        <is>
          <t>HA-2209-047</t>
        </is>
      </c>
      <c r="D435" s="26" t="inlineStr">
        <is>
          <t>PR2206-147</t>
        </is>
      </c>
      <c r="E435" t="inlineStr">
        <is>
          <t>HUPAC</t>
        </is>
      </c>
      <c r="F435" t="inlineStr">
        <is>
          <t>Cargo</t>
        </is>
      </c>
    </row>
    <row r="436">
      <c r="B436" s="26" t="inlineStr">
        <is>
          <t>D0F7F68B14B9</t>
        </is>
      </c>
      <c r="C436" s="26" t="inlineStr">
        <is>
          <t>HA-2209-121</t>
        </is>
      </c>
      <c r="D436" s="26" t="inlineStr">
        <is>
          <t>PR2206-595</t>
        </is>
      </c>
      <c r="E436" t="inlineStr">
        <is>
          <t>HUPAC</t>
        </is>
      </c>
      <c r="F436" t="inlineStr">
        <is>
          <t>Cargo</t>
        </is>
      </c>
    </row>
    <row r="437">
      <c r="B437" s="26" t="inlineStr">
        <is>
          <t>ECF4DCB00856</t>
        </is>
      </c>
      <c r="C437" s="26" t="inlineStr">
        <is>
          <t>HA-2209-033</t>
        </is>
      </c>
      <c r="D437" s="26" t="inlineStr">
        <is>
          <t>PR2206-250</t>
        </is>
      </c>
      <c r="E437" t="inlineStr">
        <is>
          <t>HUPAC</t>
        </is>
      </c>
      <c r="F437" t="inlineStr">
        <is>
          <t>Cargo</t>
        </is>
      </c>
    </row>
    <row r="438">
      <c r="B438" s="26" t="inlineStr">
        <is>
          <t>FC41C64CD0C5</t>
        </is>
      </c>
      <c r="C438" s="26" t="inlineStr">
        <is>
          <t>HA-2209-030</t>
        </is>
      </c>
      <c r="D438" s="26" t="inlineStr">
        <is>
          <t>PR2206-212</t>
        </is>
      </c>
      <c r="E438" t="inlineStr">
        <is>
          <t>HUPAC</t>
        </is>
      </c>
      <c r="F438" t="inlineStr">
        <is>
          <t>Cargo</t>
        </is>
      </c>
    </row>
    <row r="439">
      <c r="B439" s="26" t="inlineStr">
        <is>
          <t>C66864FE4B44</t>
        </is>
      </c>
      <c r="C439" s="26" t="inlineStr">
        <is>
          <t>HA-2209-058</t>
        </is>
      </c>
      <c r="D439" s="26" t="inlineStr">
        <is>
          <t>PR2206-285</t>
        </is>
      </c>
      <c r="E439" t="inlineStr">
        <is>
          <t>HUPAC</t>
        </is>
      </c>
      <c r="F439" t="inlineStr">
        <is>
          <t>Cargo</t>
        </is>
      </c>
    </row>
    <row r="440">
      <c r="B440" s="26" t="inlineStr">
        <is>
          <t>E184C92FFAB2</t>
        </is>
      </c>
      <c r="C440" s="26" t="inlineStr">
        <is>
          <t>HA-2209-108</t>
        </is>
      </c>
      <c r="D440" s="26" t="inlineStr">
        <is>
          <t>PR2206-286</t>
        </is>
      </c>
      <c r="E440" t="inlineStr">
        <is>
          <t>HUPAC</t>
        </is>
      </c>
      <c r="F440" t="inlineStr">
        <is>
          <t>Cargo</t>
        </is>
      </c>
    </row>
    <row r="441">
      <c r="B441" s="26" t="inlineStr">
        <is>
          <t>C0E99A5C56FB</t>
        </is>
      </c>
      <c r="C441" s="26" t="inlineStr">
        <is>
          <t>HA-2209-141</t>
        </is>
      </c>
      <c r="D441" s="26" t="inlineStr">
        <is>
          <t>PR2206-317</t>
        </is>
      </c>
      <c r="E441" t="inlineStr">
        <is>
          <t>HUPAC</t>
        </is>
      </c>
      <c r="F441" t="inlineStr">
        <is>
          <t>Cargo</t>
        </is>
      </c>
    </row>
    <row r="442">
      <c r="B442" s="26" t="inlineStr">
        <is>
          <t>E518B773B503</t>
        </is>
      </c>
      <c r="C442" s="26" t="inlineStr">
        <is>
          <t>HA-2209-031</t>
        </is>
      </c>
      <c r="D442" s="26" t="inlineStr">
        <is>
          <t>PR2206-300</t>
        </is>
      </c>
      <c r="E442" t="inlineStr">
        <is>
          <t>HUPAC</t>
        </is>
      </c>
      <c r="F442" t="inlineStr">
        <is>
          <t>Cargo</t>
        </is>
      </c>
    </row>
    <row r="443">
      <c r="B443" s="26" t="inlineStr">
        <is>
          <t>E98C80C7F27E</t>
        </is>
      </c>
      <c r="C443" s="26" t="inlineStr">
        <is>
          <t>HA-2209-081</t>
        </is>
      </c>
      <c r="D443" s="26" t="inlineStr">
        <is>
          <t>PR2206-244</t>
        </is>
      </c>
      <c r="E443" t="inlineStr">
        <is>
          <t>HUPAC</t>
        </is>
      </c>
      <c r="F443" t="inlineStr">
        <is>
          <t>Cargo</t>
        </is>
      </c>
    </row>
    <row r="444">
      <c r="B444" s="26" t="inlineStr">
        <is>
          <t>D43CBF765E47</t>
        </is>
      </c>
      <c r="C444" s="26" t="inlineStr">
        <is>
          <t>HA-2209-018</t>
        </is>
      </c>
      <c r="D444" s="26" t="inlineStr">
        <is>
          <t>PR2206-150</t>
        </is>
      </c>
      <c r="E444" t="inlineStr">
        <is>
          <t>HUPAC</t>
        </is>
      </c>
      <c r="F444" t="inlineStr">
        <is>
          <t>Cargo</t>
        </is>
      </c>
    </row>
    <row r="445">
      <c r="B445" s="26" t="inlineStr">
        <is>
          <t>C06E2A035613</t>
        </is>
      </c>
      <c r="C445" s="26" t="inlineStr">
        <is>
          <t>HA-2209-052</t>
        </is>
      </c>
      <c r="D445" s="26" t="inlineStr">
        <is>
          <t>PR2206-273</t>
        </is>
      </c>
      <c r="E445" t="inlineStr">
        <is>
          <t>HUPAC</t>
        </is>
      </c>
      <c r="F445" t="inlineStr">
        <is>
          <t>Cargo</t>
        </is>
      </c>
    </row>
    <row r="446">
      <c r="B446" s="26" t="inlineStr">
        <is>
          <t>E0272A7D421C</t>
        </is>
      </c>
      <c r="C446" s="26" t="inlineStr">
        <is>
          <t>HA-2209-065</t>
        </is>
      </c>
      <c r="D446" s="26" t="inlineStr">
        <is>
          <t>PR2206-245</t>
        </is>
      </c>
      <c r="E446" t="inlineStr">
        <is>
          <t>HUPAC</t>
        </is>
      </c>
      <c r="F446" t="inlineStr">
        <is>
          <t>Cargo</t>
        </is>
      </c>
    </row>
    <row r="447">
      <c r="B447" s="26" t="inlineStr">
        <is>
          <t>EB9D01523817</t>
        </is>
      </c>
      <c r="C447" s="26" t="inlineStr">
        <is>
          <t>HA-2209-113</t>
        </is>
      </c>
      <c r="D447" s="26" t="inlineStr">
        <is>
          <t>PR2206-145</t>
        </is>
      </c>
      <c r="E447" t="inlineStr">
        <is>
          <t>HUPAC</t>
        </is>
      </c>
      <c r="F447" t="inlineStr">
        <is>
          <t>Cargo</t>
        </is>
      </c>
    </row>
    <row r="448">
      <c r="B448" s="26" t="inlineStr">
        <is>
          <t>D09A0AFD0704</t>
        </is>
      </c>
      <c r="C448" s="26" t="inlineStr">
        <is>
          <t>HA-2209-010</t>
        </is>
      </c>
      <c r="D448" s="26" t="inlineStr">
        <is>
          <t>PR2206-281</t>
        </is>
      </c>
      <c r="E448" t="inlineStr">
        <is>
          <t>HUPAC</t>
        </is>
      </c>
      <c r="F448" t="inlineStr">
        <is>
          <t>Cargo</t>
        </is>
      </c>
    </row>
    <row r="449">
      <c r="B449" s="26" t="inlineStr">
        <is>
          <t>C99C6CCC521C</t>
        </is>
      </c>
      <c r="C449" s="26" t="inlineStr">
        <is>
          <t>HA-2206-142</t>
        </is>
      </c>
      <c r="D449" s="26" t="inlineStr">
        <is>
          <t>PR2206-308</t>
        </is>
      </c>
      <c r="E449" t="inlineStr">
        <is>
          <t>HUPAC</t>
        </is>
      </c>
      <c r="F449" t="inlineStr">
        <is>
          <t>Cargo</t>
        </is>
      </c>
    </row>
    <row r="450">
      <c r="B450" s="26" t="inlineStr">
        <is>
          <t>E67264EA024D</t>
        </is>
      </c>
      <c r="C450" s="26" t="inlineStr">
        <is>
          <t>HA-2209-075</t>
        </is>
      </c>
      <c r="D450" s="26" t="inlineStr">
        <is>
          <t>PR2206-259</t>
        </is>
      </c>
      <c r="E450" t="inlineStr">
        <is>
          <t>HUPAC</t>
        </is>
      </c>
      <c r="F450" t="inlineStr">
        <is>
          <t>Cargo</t>
        </is>
      </c>
    </row>
    <row r="451">
      <c r="B451" s="26" t="inlineStr">
        <is>
          <t>CFF659E57780</t>
        </is>
      </c>
      <c r="C451" s="26" t="inlineStr">
        <is>
          <t>HA-2209-117</t>
        </is>
      </c>
      <c r="D451" s="26" t="inlineStr">
        <is>
          <t>PR2206-112</t>
        </is>
      </c>
      <c r="E451" t="inlineStr">
        <is>
          <t>HUPAC</t>
        </is>
      </c>
      <c r="F451" t="inlineStr">
        <is>
          <t>Cargo</t>
        </is>
      </c>
    </row>
    <row r="452">
      <c r="B452" s="26" t="inlineStr">
        <is>
          <t>DC79180208C0</t>
        </is>
      </c>
      <c r="C452" s="26" t="inlineStr">
        <is>
          <t>HA-2209-069</t>
        </is>
      </c>
      <c r="D452" s="26" t="inlineStr">
        <is>
          <t>PR2206-588</t>
        </is>
      </c>
      <c r="E452" t="inlineStr">
        <is>
          <t>HUPAC</t>
        </is>
      </c>
      <c r="F452" t="inlineStr">
        <is>
          <t>Cargo</t>
        </is>
      </c>
    </row>
    <row r="453">
      <c r="B453" s="26" t="inlineStr">
        <is>
          <t>EF43B9AFD417</t>
        </is>
      </c>
      <c r="C453" s="26" t="inlineStr">
        <is>
          <t>HA-2209-071</t>
        </is>
      </c>
      <c r="D453" s="26" t="inlineStr">
        <is>
          <t>PR2206-123</t>
        </is>
      </c>
      <c r="E453" t="inlineStr">
        <is>
          <t>HUPAC</t>
        </is>
      </c>
      <c r="F453" t="inlineStr">
        <is>
          <t>Cargo</t>
        </is>
      </c>
    </row>
    <row r="454">
      <c r="B454" s="26" t="inlineStr">
        <is>
          <t>DDDF2790CC61</t>
        </is>
      </c>
      <c r="C454" s="26" t="inlineStr">
        <is>
          <t>HA-2209-119</t>
        </is>
      </c>
      <c r="D454" s="26" t="inlineStr">
        <is>
          <t>PR2206-159</t>
        </is>
      </c>
      <c r="E454" t="inlineStr">
        <is>
          <t>HUPAC</t>
        </is>
      </c>
      <c r="F454" t="inlineStr">
        <is>
          <t>Cargo</t>
        </is>
      </c>
    </row>
    <row r="455">
      <c r="B455" s="26" t="inlineStr">
        <is>
          <t>F47856796BC4</t>
        </is>
      </c>
      <c r="C455" s="26" t="inlineStr">
        <is>
          <t>HA-2209-110</t>
        </is>
      </c>
      <c r="D455" s="26" t="inlineStr">
        <is>
          <t>PR2206-257</t>
        </is>
      </c>
      <c r="E455" t="inlineStr">
        <is>
          <t>HUPAC</t>
        </is>
      </c>
      <c r="F455" t="inlineStr">
        <is>
          <t>Cargo</t>
        </is>
      </c>
    </row>
    <row r="456">
      <c r="B456" s="26" t="inlineStr">
        <is>
          <t>DD1214A22906</t>
        </is>
      </c>
      <c r="C456" s="26" t="inlineStr">
        <is>
          <t>HA-2209-180</t>
        </is>
      </c>
      <c r="D456" s="26" t="inlineStr">
        <is>
          <t>PR2206-175</t>
        </is>
      </c>
      <c r="E456" t="inlineStr">
        <is>
          <t>HUPAC</t>
        </is>
      </c>
      <c r="F456" t="inlineStr">
        <is>
          <t>Cargo</t>
        </is>
      </c>
    </row>
    <row r="457">
      <c r="B457" s="26" t="inlineStr">
        <is>
          <t>F1084A47D17C</t>
        </is>
      </c>
      <c r="C457" s="26" t="inlineStr">
        <is>
          <t>HA-2209-173</t>
        </is>
      </c>
      <c r="D457" s="26" t="inlineStr">
        <is>
          <t>PR2206-216</t>
        </is>
      </c>
      <c r="E457" t="inlineStr">
        <is>
          <t>HUPAC</t>
        </is>
      </c>
      <c r="F457" t="inlineStr">
        <is>
          <t>Cargo</t>
        </is>
      </c>
    </row>
    <row r="458">
      <c r="B458" s="26" t="inlineStr">
        <is>
          <t>EB6320B47868</t>
        </is>
      </c>
      <c r="C458" s="26" t="inlineStr">
        <is>
          <t>HA-2209-038</t>
        </is>
      </c>
      <c r="D458" s="26" t="inlineStr">
        <is>
          <t>PR2206-217</t>
        </is>
      </c>
      <c r="E458" t="inlineStr">
        <is>
          <t>HUPAC</t>
        </is>
      </c>
      <c r="F458" t="inlineStr">
        <is>
          <t>Cargo</t>
        </is>
      </c>
    </row>
    <row r="459">
      <c r="B459" s="26" t="inlineStr">
        <is>
          <t>C588E7729040</t>
        </is>
      </c>
      <c r="C459" s="26" t="inlineStr">
        <is>
          <t>HA-2209-025</t>
        </is>
      </c>
      <c r="D459" s="26" t="inlineStr">
        <is>
          <t>PR2206-583</t>
        </is>
      </c>
      <c r="E459" t="inlineStr">
        <is>
          <t>HUPAC</t>
        </is>
      </c>
      <c r="F459" t="inlineStr">
        <is>
          <t>Cargo</t>
        </is>
      </c>
    </row>
    <row r="460">
      <c r="B460" s="26" t="inlineStr">
        <is>
          <t>EE5B4926C658</t>
        </is>
      </c>
      <c r="C460" s="26" t="inlineStr">
        <is>
          <t>HA-2209-066</t>
        </is>
      </c>
      <c r="D460" s="26" t="inlineStr">
        <is>
          <t>PR2206-225</t>
        </is>
      </c>
      <c r="E460" t="inlineStr">
        <is>
          <t>HUPAC</t>
        </is>
      </c>
      <c r="F460" t="inlineStr">
        <is>
          <t>Cargo</t>
        </is>
      </c>
    </row>
    <row r="461">
      <c r="B461" s="26" t="inlineStr">
        <is>
          <t>C3FD18B61654</t>
        </is>
      </c>
      <c r="C461" s="26" t="inlineStr">
        <is>
          <t>HA-2209-062</t>
        </is>
      </c>
      <c r="D461" s="26" t="inlineStr">
        <is>
          <t>PR2206-111</t>
        </is>
      </c>
      <c r="E461" t="inlineStr">
        <is>
          <t>HUPAC</t>
        </is>
      </c>
      <c r="F461" t="inlineStr">
        <is>
          <t>Cargo</t>
        </is>
      </c>
    </row>
    <row r="462">
      <c r="B462" s="26" t="inlineStr">
        <is>
          <t>D2E6572D7717</t>
        </is>
      </c>
      <c r="C462" s="26" t="inlineStr">
        <is>
          <t>HA-2209-120</t>
        </is>
      </c>
      <c r="D462" s="26" t="inlineStr">
        <is>
          <t>PR2206-167</t>
        </is>
      </c>
      <c r="E462" t="inlineStr">
        <is>
          <t>HUPAC</t>
        </is>
      </c>
      <c r="F462" t="inlineStr">
        <is>
          <t>Cargo</t>
        </is>
      </c>
    </row>
    <row r="463">
      <c r="B463" s="26" t="inlineStr">
        <is>
          <t>C49222669068</t>
        </is>
      </c>
      <c r="C463" s="26" t="inlineStr">
        <is>
          <t>HA-2209-039</t>
        </is>
      </c>
      <c r="D463" s="26" t="inlineStr">
        <is>
          <t>PR2206-267</t>
        </is>
      </c>
      <c r="E463" t="inlineStr">
        <is>
          <t>HUPAC</t>
        </is>
      </c>
      <c r="F463" t="inlineStr">
        <is>
          <t>Cargo</t>
        </is>
      </c>
    </row>
    <row r="464">
      <c r="B464" s="26" t="inlineStr">
        <is>
          <t>D48659998F09</t>
        </is>
      </c>
      <c r="C464" s="26" t="inlineStr">
        <is>
          <t>HA-2209-017</t>
        </is>
      </c>
      <c r="D464" s="26" t="inlineStr">
        <is>
          <t>PR2206-261</t>
        </is>
      </c>
      <c r="E464" t="inlineStr">
        <is>
          <t>HUPAC</t>
        </is>
      </c>
      <c r="F464" t="inlineStr">
        <is>
          <t>Cargo</t>
        </is>
      </c>
    </row>
    <row r="465">
      <c r="B465" s="26" t="inlineStr">
        <is>
          <t>D873C30C0E60</t>
        </is>
      </c>
      <c r="C465" s="26" t="inlineStr">
        <is>
          <t>HA-2209-106</t>
        </is>
      </c>
      <c r="D465" s="26" t="inlineStr">
        <is>
          <t>PR2206-xxx</t>
        </is>
      </c>
      <c r="E465" t="inlineStr">
        <is>
          <t>HUPAC</t>
        </is>
      </c>
      <c r="F465" t="inlineStr">
        <is>
          <t>Cargo</t>
        </is>
      </c>
    </row>
    <row r="466">
      <c r="B466" s="26" t="inlineStr">
        <is>
          <t>C7625AF0D450</t>
        </is>
      </c>
      <c r="C466" s="26" t="inlineStr">
        <is>
          <t>HA-2209-068</t>
        </is>
      </c>
      <c r="D466" s="26" t="inlineStr">
        <is>
          <t>PR2206-165</t>
        </is>
      </c>
      <c r="E466" t="inlineStr">
        <is>
          <t>HUPAC</t>
        </is>
      </c>
      <c r="F466" t="inlineStr">
        <is>
          <t>Cargo</t>
        </is>
      </c>
    </row>
    <row r="467">
      <c r="B467" s="26" t="inlineStr">
        <is>
          <t>F894C3C83728</t>
        </is>
      </c>
      <c r="C467" s="26" t="inlineStr">
        <is>
          <t>HA-2209-019</t>
        </is>
      </c>
      <c r="D467" s="26" t="inlineStr">
        <is>
          <t>PR2206-294</t>
        </is>
      </c>
      <c r="E467" t="inlineStr">
        <is>
          <t>HUPAC</t>
        </is>
      </c>
      <c r="F467" t="inlineStr">
        <is>
          <t>Cargo</t>
        </is>
      </c>
    </row>
    <row r="468">
      <c r="B468" s="26" t="inlineStr">
        <is>
          <t>E729E7C50E18</t>
        </is>
      </c>
      <c r="C468" s="26" t="inlineStr">
        <is>
          <t>HA-2209-063</t>
        </is>
      </c>
      <c r="D468" s="26" t="inlineStr">
        <is>
          <t>PR2206-258</t>
        </is>
      </c>
      <c r="E468" t="inlineStr">
        <is>
          <t>HUPAC</t>
        </is>
      </c>
      <c r="F468" t="inlineStr">
        <is>
          <t>Cargo</t>
        </is>
      </c>
    </row>
    <row r="469">
      <c r="B469" s="26" t="inlineStr">
        <is>
          <t>DDE1DE85E976</t>
        </is>
      </c>
      <c r="C469" s="26" t="inlineStr">
        <is>
          <t>HA-2209-145</t>
        </is>
      </c>
      <c r="D469" s="26" t="inlineStr">
        <is>
          <t>PR2206-214</t>
        </is>
      </c>
      <c r="E469" t="inlineStr">
        <is>
          <t>HUPAC</t>
        </is>
      </c>
      <c r="F469" t="inlineStr">
        <is>
          <t>Cargo</t>
        </is>
      </c>
    </row>
    <row r="470">
      <c r="B470" s="26" t="inlineStr">
        <is>
          <t>D3E384EBD041</t>
        </is>
      </c>
      <c r="C470" s="26" t="inlineStr">
        <is>
          <t>HA-2209-143</t>
        </is>
      </c>
      <c r="D470" s="26" t="inlineStr">
        <is>
          <t>PR2206-314</t>
        </is>
      </c>
      <c r="E470" t="inlineStr">
        <is>
          <t>HUPAC</t>
        </is>
      </c>
      <c r="F470" t="inlineStr">
        <is>
          <t>Cargo</t>
        </is>
      </c>
    </row>
    <row r="471">
      <c r="B471" s="26" t="inlineStr">
        <is>
          <t>C99173CF2728</t>
        </is>
      </c>
      <c r="C471" s="26" t="inlineStr">
        <is>
          <t>HA-2209-041</t>
        </is>
      </c>
      <c r="D471" s="26" t="inlineStr">
        <is>
          <t>PR2206-272</t>
        </is>
      </c>
      <c r="E471" t="inlineStr">
        <is>
          <t>HUPAC</t>
        </is>
      </c>
      <c r="F471" t="inlineStr">
        <is>
          <t>Cargo</t>
        </is>
      </c>
    </row>
    <row r="472">
      <c r="B472" s="26" t="inlineStr">
        <is>
          <t>E1A2F2136A40</t>
        </is>
      </c>
      <c r="C472" s="26" t="inlineStr">
        <is>
          <t>HA-2209-059</t>
        </is>
      </c>
      <c r="D472" s="26" t="inlineStr">
        <is>
          <t>PR2206-126</t>
        </is>
      </c>
      <c r="E472" t="inlineStr">
        <is>
          <t>HUPAC</t>
        </is>
      </c>
      <c r="F472" t="inlineStr">
        <is>
          <t>Cargo</t>
        </is>
      </c>
    </row>
    <row r="473">
      <c r="B473" s="26" t="inlineStr">
        <is>
          <t>C5C199067FB3</t>
        </is>
      </c>
      <c r="C473" s="26" t="inlineStr">
        <is>
          <t>HA-2209-020</t>
        </is>
      </c>
      <c r="D473" s="26" t="inlineStr">
        <is>
          <t>PR2206-233</t>
        </is>
      </c>
      <c r="E473" t="inlineStr">
        <is>
          <t>HUPAC</t>
        </is>
      </c>
      <c r="F473" t="inlineStr">
        <is>
          <t>Cargo</t>
        </is>
      </c>
    </row>
    <row r="474">
      <c r="B474" s="26" t="inlineStr">
        <is>
          <t>F4CA43CC0F3A</t>
        </is>
      </c>
      <c r="C474" s="26" t="inlineStr">
        <is>
          <t>HA-2209-015</t>
        </is>
      </c>
      <c r="D474" s="26" t="inlineStr">
        <is>
          <t>PR2206-234</t>
        </is>
      </c>
      <c r="E474" t="inlineStr">
        <is>
          <t>HUPAC</t>
        </is>
      </c>
      <c r="F474" t="inlineStr">
        <is>
          <t>Cargo</t>
        </is>
      </c>
    </row>
    <row r="475">
      <c r="B475" s="26" t="inlineStr">
        <is>
          <t>EFECEB730166</t>
        </is>
      </c>
      <c r="C475" s="26" t="inlineStr">
        <is>
          <t>HA-2209-079</t>
        </is>
      </c>
      <c r="D475" s="26" t="inlineStr">
        <is>
          <t>PR2206-246</t>
        </is>
      </c>
      <c r="E475" t="inlineStr">
        <is>
          <t>HUPAC</t>
        </is>
      </c>
      <c r="F475" t="inlineStr">
        <is>
          <t>Cargo</t>
        </is>
      </c>
    </row>
    <row r="476">
      <c r="B476" s="26" t="inlineStr">
        <is>
          <t>E8CA9C77577E</t>
        </is>
      </c>
      <c r="C476" s="26" t="inlineStr">
        <is>
          <t>HA-2209-074</t>
        </is>
      </c>
      <c r="D476" s="26" t="inlineStr">
        <is>
          <t>PR2206-226</t>
        </is>
      </c>
      <c r="E476" t="inlineStr">
        <is>
          <t>HUPAC</t>
        </is>
      </c>
      <c r="F476" t="inlineStr">
        <is>
          <t>Cargo</t>
        </is>
      </c>
    </row>
    <row r="477">
      <c r="B477" s="26" t="inlineStr">
        <is>
          <t>FA0F51DA48F4</t>
        </is>
      </c>
      <c r="C477" s="26" t="inlineStr">
        <is>
          <t>HA-2209-037</t>
        </is>
      </c>
      <c r="D477" s="26" t="inlineStr">
        <is>
          <t>PR2206-148</t>
        </is>
      </c>
      <c r="E477" t="inlineStr">
        <is>
          <t>HUPAC</t>
        </is>
      </c>
      <c r="F477" t="inlineStr">
        <is>
          <t>Cargo</t>
        </is>
      </c>
    </row>
    <row r="478">
      <c r="B478" s="26" t="inlineStr">
        <is>
          <t>F3FD68E6CD43</t>
        </is>
      </c>
      <c r="C478" s="26" t="inlineStr">
        <is>
          <t>HA-2209-026</t>
        </is>
      </c>
      <c r="D478" s="26" t="inlineStr">
        <is>
          <t>PR2206-130</t>
        </is>
      </c>
      <c r="E478" t="inlineStr">
        <is>
          <t>HUPAC</t>
        </is>
      </c>
      <c r="F478" t="inlineStr">
        <is>
          <t>Cargo</t>
        </is>
      </c>
    </row>
    <row r="479">
      <c r="B479" s="26" t="inlineStr">
        <is>
          <t>C8B42B665B51</t>
        </is>
      </c>
      <c r="C479" s="26" t="inlineStr">
        <is>
          <t>HA-2209-070</t>
        </is>
      </c>
      <c r="D479" s="26" t="inlineStr">
        <is>
          <t>PR2206-223</t>
        </is>
      </c>
      <c r="E479" t="inlineStr">
        <is>
          <t>HUPAC</t>
        </is>
      </c>
      <c r="F479" t="inlineStr">
        <is>
          <t>Cargo</t>
        </is>
      </c>
    </row>
    <row r="480">
      <c r="B480" s="26" t="inlineStr">
        <is>
          <t>F9D8FEA39FD9</t>
        </is>
      </c>
      <c r="C480" s="26" t="inlineStr">
        <is>
          <t>HA-2209-142</t>
        </is>
      </c>
      <c r="D480" s="26" t="inlineStr">
        <is>
          <t>PR2206-237</t>
        </is>
      </c>
      <c r="E480" t="inlineStr">
        <is>
          <t>HUPAC</t>
        </is>
      </c>
      <c r="F480" t="inlineStr">
        <is>
          <t>Cargo</t>
        </is>
      </c>
    </row>
    <row r="481">
      <c r="B481" s="26" t="inlineStr">
        <is>
          <t>F5FBB25B3E47</t>
        </is>
      </c>
      <c r="C481" s="26" t="inlineStr">
        <is>
          <t>HA-2209-116</t>
        </is>
      </c>
      <c r="D481" s="26" t="inlineStr">
        <is>
          <t>PR2206-191</t>
        </is>
      </c>
      <c r="E481" t="inlineStr">
        <is>
          <t>HUPAC</t>
        </is>
      </c>
      <c r="F481" t="inlineStr">
        <is>
          <t>Cargo</t>
        </is>
      </c>
    </row>
    <row r="482">
      <c r="B482" s="26" t="inlineStr">
        <is>
          <t>D4A0E26B4848</t>
        </is>
      </c>
      <c r="C482" s="26" t="inlineStr">
        <is>
          <t>HA-2209-028</t>
        </is>
      </c>
      <c r="D482" s="26" t="inlineStr">
        <is>
          <t>PR2206-589</t>
        </is>
      </c>
      <c r="E482" t="inlineStr">
        <is>
          <t>HUPAC</t>
        </is>
      </c>
      <c r="F482" t="inlineStr">
        <is>
          <t>Cargo</t>
        </is>
      </c>
    </row>
    <row r="483">
      <c r="B483" s="26" t="inlineStr">
        <is>
          <t>EEB9297F39F3</t>
        </is>
      </c>
      <c r="C483" s="26" t="inlineStr">
        <is>
          <t>HA-2209-080</t>
        </is>
      </c>
      <c r="D483" s="26" t="inlineStr">
        <is>
          <t>PR2206-221</t>
        </is>
      </c>
      <c r="E483" t="inlineStr">
        <is>
          <t>HUPAC</t>
        </is>
      </c>
      <c r="F483" t="inlineStr">
        <is>
          <t>Cargo</t>
        </is>
      </c>
    </row>
    <row r="484">
      <c r="B484" s="26" t="inlineStr">
        <is>
          <t>CAB673176E7D</t>
        </is>
      </c>
      <c r="C484" s="26" t="inlineStr">
        <is>
          <t>HA-2206-075</t>
        </is>
      </c>
      <c r="D484" s="26" t="inlineStr">
        <is>
          <t>PR2206-315</t>
        </is>
      </c>
      <c r="E484" t="inlineStr">
        <is>
          <t>HUPAC</t>
        </is>
      </c>
      <c r="F484" t="inlineStr">
        <is>
          <t>Cargo</t>
        </is>
      </c>
    </row>
    <row r="485">
      <c r="B485" s="26" t="inlineStr">
        <is>
          <t>E7FBDA5033BA</t>
        </is>
      </c>
      <c r="C485" s="26" t="inlineStr">
        <is>
          <t>HA-2206-087</t>
        </is>
      </c>
      <c r="D485" s="26" t="inlineStr">
        <is>
          <t>PR2206-095</t>
        </is>
      </c>
      <c r="E485" t="inlineStr">
        <is>
          <t>HUPAC</t>
        </is>
      </c>
      <c r="F485" t="inlineStr">
        <is>
          <t>Cargo</t>
        </is>
      </c>
    </row>
    <row r="486">
      <c r="B486" s="26" t="inlineStr">
        <is>
          <t>CB408D13862F</t>
        </is>
      </c>
      <c r="C486" s="26" t="inlineStr">
        <is>
          <t>HA-2206-125</t>
        </is>
      </c>
      <c r="D486" s="26" t="inlineStr">
        <is>
          <t>PR2206-079</t>
        </is>
      </c>
      <c r="E486" t="inlineStr">
        <is>
          <t>HUPAC</t>
        </is>
      </c>
      <c r="F486" t="inlineStr">
        <is>
          <t>Cargo</t>
        </is>
      </c>
    </row>
    <row r="487">
      <c r="B487" s="26" t="inlineStr">
        <is>
          <t>E6A387ABC876</t>
        </is>
      </c>
      <c r="C487" s="26" t="inlineStr">
        <is>
          <t>HA-2206-040</t>
        </is>
      </c>
      <c r="D487" s="26" t="inlineStr">
        <is>
          <t>PR2206-373</t>
        </is>
      </c>
      <c r="E487" t="inlineStr">
        <is>
          <t>HUPAC</t>
        </is>
      </c>
      <c r="F487" t="inlineStr">
        <is>
          <t>Cargo</t>
        </is>
      </c>
    </row>
    <row r="488">
      <c r="B488" s="26" t="inlineStr">
        <is>
          <t>EBA5C7C489C9</t>
        </is>
      </c>
      <c r="C488" s="26" t="inlineStr">
        <is>
          <t>HA-2206-176</t>
        </is>
      </c>
      <c r="D488" s="26" t="inlineStr">
        <is>
          <t>PR2206-088</t>
        </is>
      </c>
      <c r="E488" t="inlineStr">
        <is>
          <t>HUPAC</t>
        </is>
      </c>
      <c r="F488" t="inlineStr">
        <is>
          <t>Cargo</t>
        </is>
      </c>
    </row>
    <row r="489">
      <c r="B489" s="26" t="inlineStr">
        <is>
          <t>EFA449C53205</t>
        </is>
      </c>
      <c r="C489" s="26" t="inlineStr">
        <is>
          <t>HA-2206-094</t>
        </is>
      </c>
      <c r="D489" s="26" t="inlineStr">
        <is>
          <t>PR2206-022</t>
        </is>
      </c>
      <c r="E489" t="inlineStr">
        <is>
          <t>HUPAC</t>
        </is>
      </c>
      <c r="F489" t="inlineStr">
        <is>
          <t>Cargo</t>
        </is>
      </c>
    </row>
    <row r="490">
      <c r="B490" s="26" t="inlineStr">
        <is>
          <t>D4E2096CA210</t>
        </is>
      </c>
      <c r="C490" s="26" t="inlineStr">
        <is>
          <t>HA-2206-093</t>
        </is>
      </c>
      <c r="D490" s="26" t="inlineStr">
        <is>
          <t>PR2206-335</t>
        </is>
      </c>
      <c r="E490" t="inlineStr">
        <is>
          <t>HUPAC</t>
        </is>
      </c>
      <c r="F490" t="inlineStr">
        <is>
          <t>Cargo</t>
        </is>
      </c>
    </row>
    <row r="491">
      <c r="B491" s="26" t="inlineStr">
        <is>
          <t>EE3BEC59EB69</t>
        </is>
      </c>
      <c r="C491" s="26" t="inlineStr">
        <is>
          <t>HA-2206-079</t>
        </is>
      </c>
      <c r="D491" s="26" t="inlineStr">
        <is>
          <t>PR2206-368</t>
        </is>
      </c>
      <c r="E491" t="inlineStr">
        <is>
          <t>HUPAC</t>
        </is>
      </c>
      <c r="F491" t="inlineStr">
        <is>
          <t>Cargo</t>
        </is>
      </c>
    </row>
    <row r="492">
      <c r="B492" s="26" t="inlineStr">
        <is>
          <t>F16649241539</t>
        </is>
      </c>
      <c r="C492" s="26" t="inlineStr">
        <is>
          <t>HA-2209-125</t>
        </is>
      </c>
      <c r="D492" s="26" t="inlineStr">
        <is>
          <t>PR2206-256</t>
        </is>
      </c>
      <c r="E492" t="inlineStr">
        <is>
          <t>AMBROGIO</t>
        </is>
      </c>
      <c r="F492" t="inlineStr">
        <is>
          <t>Cargo</t>
        </is>
      </c>
    </row>
    <row r="493">
      <c r="B493" s="26" t="inlineStr">
        <is>
          <t>E26237ED966D</t>
        </is>
      </c>
      <c r="C493" s="26" t="inlineStr">
        <is>
          <t>HA-2209-148</t>
        </is>
      </c>
      <c r="D493" s="26" t="inlineStr">
        <is>
          <t>PR2206-168</t>
        </is>
      </c>
      <c r="E493" t="inlineStr">
        <is>
          <t>AMBROGIO</t>
        </is>
      </c>
      <c r="F493" t="inlineStr">
        <is>
          <t>Cargo</t>
        </is>
      </c>
    </row>
    <row r="494">
      <c r="B494" s="26" t="inlineStr">
        <is>
          <t>F4B7818FC735</t>
        </is>
      </c>
      <c r="C494" s="26" t="inlineStr">
        <is>
          <t>HA-2209-127</t>
        </is>
      </c>
      <c r="D494" s="26" t="inlineStr">
        <is>
          <t>PR2206-578</t>
        </is>
      </c>
      <c r="E494" t="inlineStr">
        <is>
          <t>AMBROGIO</t>
        </is>
      </c>
      <c r="F494" t="inlineStr">
        <is>
          <t>Cargo</t>
        </is>
      </c>
    </row>
    <row r="495">
      <c r="B495" s="26" t="inlineStr">
        <is>
          <t>E49D43332DA4</t>
        </is>
      </c>
      <c r="C495" s="26" t="inlineStr">
        <is>
          <t>HA-2209-130</t>
        </is>
      </c>
      <c r="D495" s="26" t="inlineStr">
        <is>
          <t>PR2206-188</t>
        </is>
      </c>
      <c r="E495" t="inlineStr">
        <is>
          <t>AMBROGIO</t>
        </is>
      </c>
      <c r="F495" t="inlineStr">
        <is>
          <t>Cargo</t>
        </is>
      </c>
    </row>
    <row r="496">
      <c r="B496" s="26" t="inlineStr">
        <is>
          <t>C803A8A92DB4</t>
        </is>
      </c>
      <c r="C496" s="26" t="inlineStr">
        <is>
          <t>HA-2209-131</t>
        </is>
      </c>
      <c r="D496" s="26" t="inlineStr">
        <is>
          <t>PR2206-119</t>
        </is>
      </c>
      <c r="E496" t="inlineStr">
        <is>
          <t>AMBROGIO</t>
        </is>
      </c>
      <c r="F496" t="inlineStr">
        <is>
          <t>Cargo</t>
        </is>
      </c>
    </row>
    <row r="497">
      <c r="B497" s="26" t="inlineStr">
        <is>
          <t>D39658056B81</t>
        </is>
      </c>
      <c r="C497" s="26" t="inlineStr">
        <is>
          <t>HA-2209-129</t>
        </is>
      </c>
      <c r="D497" s="26" t="inlineStr">
        <is>
          <t>PR2206-114</t>
        </is>
      </c>
      <c r="E497" t="inlineStr">
        <is>
          <t>AMBROGIO</t>
        </is>
      </c>
      <c r="F497" t="inlineStr">
        <is>
          <t>Cargo</t>
        </is>
      </c>
    </row>
    <row r="498">
      <c r="B498" s="26" t="inlineStr">
        <is>
          <t>CFEB10F3A38D</t>
        </is>
      </c>
      <c r="C498" s="26" t="inlineStr">
        <is>
          <t>HA-2209-128</t>
        </is>
      </c>
      <c r="D498" s="26" t="inlineStr">
        <is>
          <t>PR2206-590</t>
        </is>
      </c>
      <c r="E498" t="inlineStr">
        <is>
          <t>AMBROGIO</t>
        </is>
      </c>
      <c r="F498" t="inlineStr">
        <is>
          <t>Cargo</t>
        </is>
      </c>
    </row>
    <row r="499">
      <c r="B499" s="26" t="inlineStr">
        <is>
          <t>D23957E62FED</t>
        </is>
      </c>
      <c r="C499" s="26" t="inlineStr">
        <is>
          <t>HA-2209-149</t>
        </is>
      </c>
      <c r="D499" s="26" t="inlineStr">
        <is>
          <t>PR2206-263</t>
        </is>
      </c>
      <c r="E499" t="inlineStr">
        <is>
          <t>AMBROGIO</t>
        </is>
      </c>
      <c r="F499" t="inlineStr">
        <is>
          <t>Cargo</t>
        </is>
      </c>
    </row>
    <row r="500">
      <c r="B500" s="26" t="inlineStr">
        <is>
          <t>E1A4EE33C0B9</t>
        </is>
      </c>
      <c r="C500" s="26" t="inlineStr">
        <is>
          <t>HA-2209-036</t>
        </is>
      </c>
      <c r="D500" s="26" t="inlineStr">
        <is>
          <t>PR2206-253</t>
        </is>
      </c>
      <c r="E500" t="inlineStr">
        <is>
          <t>RAILIZE</t>
        </is>
      </c>
      <c r="F500" t="inlineStr">
        <is>
          <t>Magnets</t>
        </is>
      </c>
    </row>
    <row r="501">
      <c r="B501" s="26" t="inlineStr">
        <is>
          <t>F2C956C25C10</t>
        </is>
      </c>
      <c r="C501" s="26" t="inlineStr">
        <is>
          <t>HA-2209-114</t>
        </is>
      </c>
      <c r="D501" s="26" t="inlineStr">
        <is>
          <t>PR2206-231</t>
        </is>
      </c>
      <c r="E501" t="inlineStr">
        <is>
          <t>RAILIZE</t>
        </is>
      </c>
      <c r="F501" t="inlineStr">
        <is>
          <t>Magnets</t>
        </is>
      </c>
    </row>
    <row r="502">
      <c r="B502" s="26" t="inlineStr">
        <is>
          <t>C776B7D03153</t>
        </is>
      </c>
      <c r="C502" s="26" t="inlineStr">
        <is>
          <t>HA-2209-029</t>
        </is>
      </c>
      <c r="D502" s="26" t="inlineStr">
        <is>
          <t>PR2206-235</t>
        </is>
      </c>
      <c r="E502" t="inlineStr">
        <is>
          <t>RAILIZE</t>
        </is>
      </c>
      <c r="F502" t="inlineStr">
        <is>
          <t>Magnets</t>
        </is>
      </c>
    </row>
    <row r="503">
      <c r="B503" s="26" t="inlineStr">
        <is>
          <t>ED2CD411E17F</t>
        </is>
      </c>
      <c r="C503" s="26" t="inlineStr">
        <is>
          <t>HA-2209-027</t>
        </is>
      </c>
      <c r="D503" s="26" t="inlineStr">
        <is>
          <t>PR2206-597</t>
        </is>
      </c>
      <c r="E503" t="inlineStr">
        <is>
          <t>RAILIZE</t>
        </is>
      </c>
      <c r="F503" t="inlineStr">
        <is>
          <t>Magnets</t>
        </is>
      </c>
    </row>
    <row r="504">
      <c r="B504" s="26" t="inlineStr">
        <is>
          <t>D3F4F91E120D</t>
        </is>
      </c>
      <c r="C504" s="26" t="inlineStr">
        <is>
          <t>HA-2209-053</t>
        </is>
      </c>
      <c r="D504" s="26" t="inlineStr">
        <is>
          <t>PR2206-232</t>
        </is>
      </c>
      <c r="E504" t="inlineStr">
        <is>
          <t>RAILIZE</t>
        </is>
      </c>
      <c r="F504" t="inlineStr">
        <is>
          <t>Magnets</t>
        </is>
      </c>
    </row>
    <row r="505">
      <c r="B505" s="26" t="inlineStr">
        <is>
          <t>C8A49F1B5230</t>
        </is>
      </c>
      <c r="C505" s="26" t="inlineStr">
        <is>
          <t>HA-2209-179</t>
        </is>
      </c>
      <c r="D505" s="26" t="inlineStr">
        <is>
          <t>PR2206-289</t>
        </is>
      </c>
      <c r="E505" t="inlineStr">
        <is>
          <t>RAILIZE</t>
        </is>
      </c>
      <c r="F505" t="inlineStr">
        <is>
          <t>Magnets</t>
        </is>
      </c>
    </row>
    <row r="506">
      <c r="B506" s="26" t="inlineStr">
        <is>
          <t>C29A8340E006</t>
        </is>
      </c>
      <c r="C506" s="26" t="inlineStr">
        <is>
          <t>HA-2209-178</t>
        </is>
      </c>
      <c r="D506" s="26" t="inlineStr">
        <is>
          <t>PR2206-117</t>
        </is>
      </c>
      <c r="E506" t="inlineStr">
        <is>
          <t>RAILIZE</t>
        </is>
      </c>
      <c r="F506" t="inlineStr">
        <is>
          <t>Magnets</t>
        </is>
      </c>
    </row>
    <row r="507">
      <c r="B507" s="26" t="inlineStr">
        <is>
          <t>EC37F7270269</t>
        </is>
      </c>
      <c r="C507" s="26" t="inlineStr">
        <is>
          <t>HA-2209-103</t>
        </is>
      </c>
      <c r="D507" s="26" t="inlineStr">
        <is>
          <t>PR2206-209</t>
        </is>
      </c>
      <c r="E507" t="inlineStr">
        <is>
          <t>RAILIZE</t>
        </is>
      </c>
      <c r="F507" t="inlineStr">
        <is>
          <t>Magnets</t>
        </is>
      </c>
    </row>
    <row r="508">
      <c r="B508" s="26" t="inlineStr">
        <is>
          <t>E054198265AF</t>
        </is>
      </c>
      <c r="C508" s="26" t="inlineStr">
        <is>
          <t>HA-2209-016</t>
        </is>
      </c>
      <c r="D508" s="26" t="inlineStr">
        <is>
          <t>PR2206-198</t>
        </is>
      </c>
      <c r="E508" t="inlineStr">
        <is>
          <t>RAILIZE</t>
        </is>
      </c>
      <c r="F508" t="inlineStr">
        <is>
          <t>Magnets</t>
        </is>
      </c>
    </row>
    <row r="509">
      <c r="B509" s="26" t="inlineStr">
        <is>
          <t>F48CFEC7F68B</t>
        </is>
      </c>
      <c r="C509" s="26" t="inlineStr">
        <is>
          <t>HA-2209-111</t>
        </is>
      </c>
      <c r="D509" s="26" t="inlineStr">
        <is>
          <t>PR2206-182</t>
        </is>
      </c>
      <c r="E509" t="inlineStr">
        <is>
          <t>RAILIZE</t>
        </is>
      </c>
      <c r="F509" t="inlineStr">
        <is>
          <t>Magnets</t>
        </is>
      </c>
    </row>
    <row r="510">
      <c r="B510" s="26" t="inlineStr">
        <is>
          <t>ED950641AD55</t>
        </is>
      </c>
      <c r="C510" s="26" t="inlineStr">
        <is>
          <t>HA-2209-067</t>
        </is>
      </c>
      <c r="D510" s="26" t="inlineStr">
        <is>
          <t>PR2206-218</t>
        </is>
      </c>
      <c r="E510" t="inlineStr">
        <is>
          <t>RAILIZE</t>
        </is>
      </c>
      <c r="F510" t="inlineStr">
        <is>
          <t>Magnets</t>
        </is>
      </c>
    </row>
    <row r="511">
      <c r="B511" s="26" t="inlineStr">
        <is>
          <t>F0168881C9E5</t>
        </is>
      </c>
      <c r="C511" s="26" t="inlineStr">
        <is>
          <t>HA-2209-073</t>
        </is>
      </c>
      <c r="D511" s="26" t="inlineStr">
        <is>
          <t>PR2206-249</t>
        </is>
      </c>
      <c r="E511" t="inlineStr">
        <is>
          <t>RAILIZE</t>
        </is>
      </c>
      <c r="F511" t="inlineStr">
        <is>
          <t>Magnets</t>
        </is>
      </c>
    </row>
    <row r="512">
      <c r="B512" s="26" t="inlineStr">
        <is>
          <t>F07DEA14D364</t>
        </is>
      </c>
      <c r="C512" s="26" t="inlineStr">
        <is>
          <t>HA-2209-105</t>
        </is>
      </c>
      <c r="D512" s="26" t="inlineStr">
        <is>
          <t>PR2206-579</t>
        </is>
      </c>
      <c r="E512" t="inlineStr">
        <is>
          <t>RAILIZE</t>
        </is>
      </c>
      <c r="F512" t="inlineStr">
        <is>
          <t>Magnets</t>
        </is>
      </c>
    </row>
    <row r="513">
      <c r="B513" s="26" t="inlineStr">
        <is>
          <t>EB1001DF5A77</t>
        </is>
      </c>
      <c r="C513" s="26" t="inlineStr">
        <is>
          <t>HA-2209-100</t>
        </is>
      </c>
      <c r="D513" s="26" t="inlineStr">
        <is>
          <t>PR2206-242</t>
        </is>
      </c>
      <c r="E513" t="inlineStr">
        <is>
          <t>RAILIZE</t>
        </is>
      </c>
      <c r="F513" t="inlineStr">
        <is>
          <t>Magnets</t>
        </is>
      </c>
    </row>
    <row r="514">
      <c r="B514" s="26" t="inlineStr">
        <is>
          <t>FA87048D14EA</t>
        </is>
      </c>
      <c r="C514" s="26" t="inlineStr">
        <is>
          <t>HA-2209-055</t>
        </is>
      </c>
      <c r="D514" s="26" t="inlineStr">
        <is>
          <t>PR2206-135</t>
        </is>
      </c>
      <c r="E514" t="inlineStr">
        <is>
          <t>RAILIZE</t>
        </is>
      </c>
      <c r="F514" t="inlineStr">
        <is>
          <t>Magnets</t>
        </is>
      </c>
    </row>
    <row r="515">
      <c r="B515" s="26" t="inlineStr">
        <is>
          <t>E9E6182862AA</t>
        </is>
      </c>
      <c r="C515" s="26" t="inlineStr">
        <is>
          <t>HA-2209-077</t>
        </is>
      </c>
      <c r="D515" s="26" t="inlineStr">
        <is>
          <t>PR2206-594</t>
        </is>
      </c>
      <c r="E515" t="inlineStr">
        <is>
          <t>RAILIZE</t>
        </is>
      </c>
      <c r="F515" t="inlineStr">
        <is>
          <t>Magnets</t>
        </is>
      </c>
    </row>
    <row r="516">
      <c r="B516" s="26" t="inlineStr">
        <is>
          <t>E2DE4ED9E533</t>
        </is>
      </c>
      <c r="C516" s="26" t="inlineStr">
        <is>
          <t>HA-2209-112</t>
        </is>
      </c>
      <c r="D516" s="26" t="inlineStr">
        <is>
          <t>PR2206-584</t>
        </is>
      </c>
      <c r="E516" t="inlineStr">
        <is>
          <t>RAILIZE</t>
        </is>
      </c>
      <c r="F516" t="inlineStr">
        <is>
          <t>Magnets</t>
        </is>
      </c>
    </row>
    <row r="517">
      <c r="B517" s="26" t="inlineStr">
        <is>
          <t>C7651F32A8AE</t>
        </is>
      </c>
      <c r="C517" s="26" t="inlineStr">
        <is>
          <t>HA-2209-144</t>
        </is>
      </c>
      <c r="D517" s="26" t="inlineStr">
        <is>
          <t>PR2206-125</t>
        </is>
      </c>
      <c r="E517" t="inlineStr">
        <is>
          <t>RAILIZE</t>
        </is>
      </c>
      <c r="F517" t="inlineStr">
        <is>
          <t>Magnets</t>
        </is>
      </c>
    </row>
    <row r="518">
      <c r="B518" s="26" t="inlineStr">
        <is>
          <t>F5447A3039AB</t>
        </is>
      </c>
      <c r="C518" s="26" t="inlineStr">
        <is>
          <t>HA-2209-045</t>
        </is>
      </c>
      <c r="D518" s="26" t="inlineStr">
        <is>
          <t>PR2206-240</t>
        </is>
      </c>
      <c r="E518" t="inlineStr">
        <is>
          <t>RAILIZE</t>
        </is>
      </c>
      <c r="F518" t="inlineStr">
        <is>
          <t>Magnets</t>
        </is>
      </c>
    </row>
    <row r="519">
      <c r="B519" s="26" t="inlineStr">
        <is>
          <t>F207722FD709</t>
        </is>
      </c>
      <c r="C519" s="26" t="inlineStr">
        <is>
          <t>HA-2209-057</t>
        </is>
      </c>
      <c r="D519" s="26" t="inlineStr">
        <is>
          <t>PR2206-211</t>
        </is>
      </c>
      <c r="E519" t="inlineStr">
        <is>
          <t>RAILIZE</t>
        </is>
      </c>
      <c r="F519" t="inlineStr">
        <is>
          <t>Magnets</t>
        </is>
      </c>
    </row>
    <row r="520">
      <c r="B520" s="26" t="inlineStr">
        <is>
          <t>E56D30787FA3</t>
        </is>
      </c>
      <c r="C520" s="26" t="inlineStr">
        <is>
          <t>HA-2209-042</t>
        </is>
      </c>
      <c r="D520" s="26" t="inlineStr">
        <is>
          <t>PR2206-598</t>
        </is>
      </c>
      <c r="E520" t="inlineStr">
        <is>
          <t>RAILIZE</t>
        </is>
      </c>
      <c r="F520" t="inlineStr">
        <is>
          <t>Magnets</t>
        </is>
      </c>
    </row>
    <row r="521">
      <c r="B521" s="26" t="inlineStr">
        <is>
          <t>CD1609A8BEA3</t>
        </is>
      </c>
      <c r="C521" s="26" t="inlineStr">
        <is>
          <t>HA-2209-102</t>
        </is>
      </c>
      <c r="D521" s="26" t="inlineStr">
        <is>
          <t>PR2206-293</t>
        </is>
      </c>
      <c r="E521" t="inlineStr">
        <is>
          <t>RAILIZE</t>
        </is>
      </c>
      <c r="F521" t="inlineStr">
        <is>
          <t>Magnets</t>
        </is>
      </c>
    </row>
    <row r="522">
      <c r="B522" s="26" t="inlineStr">
        <is>
          <t>D3734BBFE0A3</t>
        </is>
      </c>
      <c r="C522" s="26" t="inlineStr">
        <is>
          <t>HA-2209-023</t>
        </is>
      </c>
      <c r="D522" s="26" t="inlineStr">
        <is>
          <t>PR2206-176</t>
        </is>
      </c>
      <c r="E522" t="inlineStr">
        <is>
          <t>RAILIZE</t>
        </is>
      </c>
      <c r="F522" t="inlineStr">
        <is>
          <t>Magnets</t>
        </is>
      </c>
    </row>
    <row r="523">
      <c r="B523" s="26" t="inlineStr">
        <is>
          <t>DE7F3E2B829D</t>
        </is>
      </c>
      <c r="C523" s="26" t="inlineStr">
        <is>
          <t>HA-2209-095</t>
        </is>
      </c>
      <c r="D523" s="26" t="inlineStr">
        <is>
          <t>PR2206-292</t>
        </is>
      </c>
      <c r="E523" t="inlineStr">
        <is>
          <t>RAILIZE</t>
        </is>
      </c>
      <c r="F523" t="inlineStr">
        <is>
          <t>Magnets</t>
        </is>
      </c>
    </row>
    <row r="524">
      <c r="B524" s="26" t="inlineStr">
        <is>
          <t>FC5A8DDEA1E4</t>
        </is>
      </c>
      <c r="C524" s="26" t="inlineStr">
        <is>
          <t>HA-2209-022</t>
        </is>
      </c>
      <c r="D524" s="26" t="inlineStr">
        <is>
          <t>PR2206-203</t>
        </is>
      </c>
      <c r="E524" t="inlineStr">
        <is>
          <t>RAILIZE</t>
        </is>
      </c>
      <c r="F524" t="inlineStr">
        <is>
          <t>Magnets</t>
        </is>
      </c>
    </row>
    <row r="525">
      <c r="B525" s="26" t="inlineStr">
        <is>
          <t>F12B4257E70D</t>
        </is>
      </c>
      <c r="C525" s="26" t="inlineStr">
        <is>
          <t>HA-2209-134</t>
        </is>
      </c>
      <c r="D525" s="26" t="inlineStr">
        <is>
          <t>PR2206-201</t>
        </is>
      </c>
      <c r="E525" t="inlineStr">
        <is>
          <t>RAILIZE</t>
        </is>
      </c>
      <c r="F525" t="inlineStr">
        <is>
          <t>Magnets</t>
        </is>
      </c>
    </row>
    <row r="526">
      <c r="B526" s="26" t="inlineStr">
        <is>
          <t>D23E2AC06C6E</t>
        </is>
      </c>
      <c r="C526" s="26" t="inlineStr">
        <is>
          <t>HA-2209-115</t>
        </is>
      </c>
      <c r="D526" s="26" t="inlineStr">
        <is>
          <t>PR2206-187</t>
        </is>
      </c>
      <c r="E526" t="inlineStr">
        <is>
          <t>RAILIZE</t>
        </is>
      </c>
      <c r="F526" t="inlineStr">
        <is>
          <t>Magnets</t>
        </is>
      </c>
    </row>
    <row r="527">
      <c r="B527" s="26" t="inlineStr">
        <is>
          <t>C62E1C723633</t>
        </is>
      </c>
      <c r="C527" s="26" t="inlineStr">
        <is>
          <t>HA-2209-051</t>
        </is>
      </c>
      <c r="D527" s="26" t="inlineStr">
        <is>
          <t>PR2206-248</t>
        </is>
      </c>
      <c r="E527" t="inlineStr">
        <is>
          <t>RAILIZE</t>
        </is>
      </c>
      <c r="F527" t="inlineStr">
        <is>
          <t>Magnets</t>
        </is>
      </c>
    </row>
    <row r="528">
      <c r="B528" s="26" t="inlineStr">
        <is>
          <t>CC9F2320D5A2</t>
        </is>
      </c>
      <c r="C528" s="26" t="inlineStr">
        <is>
          <t>HA-2209-118</t>
        </is>
      </c>
      <c r="D528" s="26" t="inlineStr">
        <is>
          <t>PR2206-577</t>
        </is>
      </c>
      <c r="E528" t="inlineStr">
        <is>
          <t>RAILIZE</t>
        </is>
      </c>
      <c r="F528" t="inlineStr">
        <is>
          <t>Magnets</t>
        </is>
      </c>
    </row>
    <row r="529">
      <c r="B529" s="26" t="inlineStr">
        <is>
          <t>CE66D3884DBD</t>
        </is>
      </c>
      <c r="C529" s="26" t="inlineStr">
        <is>
          <t>HA-2209-060</t>
        </is>
      </c>
      <c r="D529" s="26" t="inlineStr">
        <is>
          <t>PR2206-247</t>
        </is>
      </c>
      <c r="E529" t="inlineStr">
        <is>
          <t>RAILIZE</t>
        </is>
      </c>
      <c r="F529" t="inlineStr">
        <is>
          <t>Magnets</t>
        </is>
      </c>
    </row>
    <row r="530">
      <c r="B530" s="26" t="inlineStr">
        <is>
          <t>EDA58DC453AD</t>
        </is>
      </c>
      <c r="C530" s="26" t="inlineStr">
        <is>
          <t>HA-2209-085</t>
        </is>
      </c>
      <c r="D530" s="26" t="inlineStr">
        <is>
          <t>PR2206-284</t>
        </is>
      </c>
      <c r="E530" t="inlineStr">
        <is>
          <t>RAILIZE</t>
        </is>
      </c>
      <c r="F530" t="inlineStr">
        <is>
          <t>Magnets</t>
        </is>
      </c>
    </row>
    <row r="531">
      <c r="B531" s="26" t="inlineStr">
        <is>
          <t>F186F403EA99</t>
        </is>
      </c>
      <c r="C531" s="26" t="inlineStr">
        <is>
          <t>HA-2206-164</t>
        </is>
      </c>
      <c r="D531" s="26" t="inlineStr">
        <is>
          <t>PR2206-059</t>
        </is>
      </c>
      <c r="E531" t="inlineStr">
        <is>
          <t>RAILIZE</t>
        </is>
      </c>
      <c r="F531" t="inlineStr">
        <is>
          <t>Magnets</t>
        </is>
      </c>
    </row>
    <row r="532">
      <c r="B532" s="26" t="inlineStr">
        <is>
          <t>E278A9A43B32</t>
        </is>
      </c>
      <c r="C532" s="26" t="inlineStr">
        <is>
          <t>HA-2206-052</t>
        </is>
      </c>
      <c r="D532" s="67" t="inlineStr">
        <is>
          <t>PR2206-083</t>
        </is>
      </c>
      <c r="E532" t="inlineStr">
        <is>
          <t>EUROWAGON</t>
        </is>
      </c>
      <c r="F532" t="inlineStr">
        <is>
          <t>Cargo</t>
        </is>
      </c>
      <c r="G532" t="inlineStr">
        <is>
          <t>84515332773-7</t>
        </is>
      </c>
      <c r="J532" t="inlineStr">
        <is>
          <t>2022/11</t>
        </is>
      </c>
    </row>
    <row r="533">
      <c r="B533" s="26" t="inlineStr">
        <is>
          <t>C493A674A6B7</t>
        </is>
      </c>
      <c r="C533" s="26" t="inlineStr">
        <is>
          <t>HA-2206-179</t>
        </is>
      </c>
      <c r="D533" s="67" t="inlineStr">
        <is>
          <t>PR2206-072</t>
        </is>
      </c>
      <c r="E533" t="inlineStr">
        <is>
          <t>EUROWAGON</t>
        </is>
      </c>
      <c r="F533" t="inlineStr">
        <is>
          <t>Cargo</t>
        </is>
      </c>
      <c r="G533" t="inlineStr">
        <is>
          <t>84515332773-7</t>
        </is>
      </c>
      <c r="J533" t="inlineStr">
        <is>
          <t>2022/11</t>
        </is>
      </c>
    </row>
    <row r="534">
      <c r="B534" s="26" t="inlineStr">
        <is>
          <t>E97F71244ECD</t>
        </is>
      </c>
      <c r="C534" s="26" t="inlineStr">
        <is>
          <t>HA-2206-074</t>
        </is>
      </c>
      <c r="D534" s="67" t="inlineStr">
        <is>
          <t>PR2206-045</t>
        </is>
      </c>
      <c r="E534" t="inlineStr">
        <is>
          <t>EUROWAGON</t>
        </is>
      </c>
      <c r="F534" t="inlineStr">
        <is>
          <t>Cargo</t>
        </is>
      </c>
      <c r="G534" t="inlineStr">
        <is>
          <t>84515332773-7</t>
        </is>
      </c>
      <c r="J534" t="inlineStr">
        <is>
          <t>2022/11</t>
        </is>
      </c>
    </row>
    <row r="535">
      <c r="B535" s="26" t="inlineStr">
        <is>
          <t>F0898119C2E0</t>
        </is>
      </c>
      <c r="C535" s="26" t="inlineStr">
        <is>
          <t>HA-2209-084</t>
        </is>
      </c>
      <c r="D535" s="67" t="inlineStr">
        <is>
          <t>PR2206-304</t>
        </is>
      </c>
      <c r="E535" t="inlineStr">
        <is>
          <t>EUROWAGON</t>
        </is>
      </c>
      <c r="F535" t="inlineStr">
        <is>
          <t>Cargo</t>
        </is>
      </c>
      <c r="G535" t="inlineStr">
        <is>
          <t>84515332773-7</t>
        </is>
      </c>
      <c r="J535" t="inlineStr">
        <is>
          <t>2022/11</t>
        </is>
      </c>
    </row>
    <row r="536">
      <c r="B536" s="26" t="inlineStr">
        <is>
          <t>EB1E9B26CFED</t>
        </is>
      </c>
      <c r="C536" s="26" t="inlineStr">
        <is>
          <t>HA-2206-143</t>
        </is>
      </c>
      <c r="D536" s="67" t="inlineStr">
        <is>
          <t>PR2206-087</t>
        </is>
      </c>
      <c r="E536" t="inlineStr">
        <is>
          <t>EUROWAGON</t>
        </is>
      </c>
      <c r="F536" t="inlineStr">
        <is>
          <t>Cargo</t>
        </is>
      </c>
      <c r="G536" t="inlineStr">
        <is>
          <t>84515332773-7</t>
        </is>
      </c>
      <c r="J536" t="inlineStr">
        <is>
          <t>2022/11</t>
        </is>
      </c>
    </row>
    <row r="537">
      <c r="B537" s="26" t="inlineStr">
        <is>
          <t>F3F78C484F68</t>
        </is>
      </c>
      <c r="C537" s="26" t="inlineStr">
        <is>
          <t>HA-2206-169</t>
        </is>
      </c>
      <c r="D537" s="67" t="inlineStr">
        <is>
          <t>PR2206-067</t>
        </is>
      </c>
      <c r="E537" t="inlineStr">
        <is>
          <t>EUROWAGON</t>
        </is>
      </c>
      <c r="F537" t="inlineStr">
        <is>
          <t>Cargo</t>
        </is>
      </c>
      <c r="G537" t="inlineStr">
        <is>
          <t>84515332773-7</t>
        </is>
      </c>
      <c r="J537" t="inlineStr">
        <is>
          <t>2022/11</t>
        </is>
      </c>
    </row>
    <row r="538">
      <c r="B538" s="26" t="inlineStr">
        <is>
          <t>D3CB48F8FDB2</t>
        </is>
      </c>
      <c r="C538" s="26" t="inlineStr">
        <is>
          <t>HA-2206-154</t>
        </is>
      </c>
      <c r="D538" s="67" t="inlineStr">
        <is>
          <t>PR2206-330</t>
        </is>
      </c>
      <c r="E538" t="inlineStr">
        <is>
          <t>EUROWAGON</t>
        </is>
      </c>
      <c r="F538" t="inlineStr">
        <is>
          <t>Cargo</t>
        </is>
      </c>
      <c r="G538" t="inlineStr">
        <is>
          <t>84515332773-7</t>
        </is>
      </c>
      <c r="J538" t="inlineStr">
        <is>
          <t>2022/11</t>
        </is>
      </c>
    </row>
    <row r="539">
      <c r="B539" s="26" t="inlineStr">
        <is>
          <t>D406293E79B2</t>
        </is>
      </c>
      <c r="C539" s="26" t="inlineStr">
        <is>
          <t>HA-2206-007</t>
        </is>
      </c>
      <c r="D539" s="67" t="inlineStr">
        <is>
          <t>PR2206-023</t>
        </is>
      </c>
      <c r="E539" t="inlineStr">
        <is>
          <t>EUROWAGON</t>
        </is>
      </c>
      <c r="F539" t="inlineStr">
        <is>
          <t>Cargo</t>
        </is>
      </c>
      <c r="G539" t="inlineStr">
        <is>
          <t>84515332773-7</t>
        </is>
      </c>
      <c r="J539" t="inlineStr">
        <is>
          <t>2022/11</t>
        </is>
      </c>
    </row>
    <row r="540">
      <c r="B540" s="26" t="inlineStr">
        <is>
          <t>CB67ABED3B74</t>
        </is>
      </c>
      <c r="C540" s="26" t="inlineStr">
        <is>
          <t>HA-2209-087</t>
        </is>
      </c>
      <c r="D540" s="26" t="inlineStr">
        <is>
          <t>PR2206-190</t>
        </is>
      </c>
      <c r="E540" s="26" t="inlineStr">
        <is>
          <t>LTG</t>
        </is>
      </c>
      <c r="F540" t="inlineStr">
        <is>
          <t>Passenger</t>
        </is>
      </c>
      <c r="J540" s="59" t="n">
        <v>44630</v>
      </c>
    </row>
    <row r="541">
      <c r="B541" s="26" t="inlineStr">
        <is>
          <t>C5EB7E6011CE</t>
        </is>
      </c>
      <c r="C541" s="26" t="inlineStr">
        <is>
          <t>HA-2209-089</t>
        </is>
      </c>
      <c r="D541" s="26" t="inlineStr">
        <is>
          <t>PR2206-107</t>
        </is>
      </c>
      <c r="E541" s="26" t="inlineStr">
        <is>
          <t>LTG</t>
        </is>
      </c>
      <c r="F541" t="inlineStr">
        <is>
          <t>Passenger</t>
        </is>
      </c>
      <c r="J541" s="59" t="n">
        <v>44630</v>
      </c>
    </row>
    <row r="542">
      <c r="B542" s="26" t="inlineStr">
        <is>
          <t>C62DED3F80A0</t>
        </is>
      </c>
      <c r="C542" s="26" t="inlineStr">
        <is>
          <t>HA-2210-005</t>
        </is>
      </c>
      <c r="D542" s="26" t="inlineStr">
        <is>
          <t>PR2206-133</t>
        </is>
      </c>
      <c r="E542" t="inlineStr">
        <is>
          <t>ZSSK CARGO</t>
        </is>
      </c>
      <c r="F542" t="inlineStr">
        <is>
          <t>Cargo</t>
        </is>
      </c>
      <c r="J542" s="56" t="n">
        <v>44722</v>
      </c>
    </row>
    <row r="543">
      <c r="B543" s="26" t="inlineStr">
        <is>
          <t>F4D61C5850B7</t>
        </is>
      </c>
      <c r="C543" s="26" t="inlineStr">
        <is>
          <t>HA-2210-003</t>
        </is>
      </c>
      <c r="D543" s="26" t="inlineStr">
        <is>
          <t>PR2206-137</t>
        </is>
      </c>
      <c r="E543" t="inlineStr">
        <is>
          <t>ZSSK CARGO</t>
        </is>
      </c>
      <c r="F543" t="inlineStr">
        <is>
          <t>Cargo</t>
        </is>
      </c>
      <c r="J543" s="56" t="n">
        <v>44722</v>
      </c>
    </row>
    <row r="544">
      <c r="B544" s="26" t="inlineStr">
        <is>
          <t>E1B9D5C988C6</t>
        </is>
      </c>
      <c r="C544" s="26" t="inlineStr">
        <is>
          <t>HA-2210-011</t>
        </is>
      </c>
      <c r="D544" s="26" t="inlineStr">
        <is>
          <t>PR2206-192</t>
        </is>
      </c>
      <c r="E544" t="inlineStr">
        <is>
          <t>ZSSK CARGO</t>
        </is>
      </c>
      <c r="F544" t="inlineStr">
        <is>
          <t>Cargo</t>
        </is>
      </c>
      <c r="J544" s="56" t="n">
        <v>44722</v>
      </c>
    </row>
    <row r="545">
      <c r="B545" s="26" t="inlineStr">
        <is>
          <t>DB521ABC3618</t>
        </is>
      </c>
      <c r="C545" s="26" t="inlineStr">
        <is>
          <t>HA-2210-020</t>
        </is>
      </c>
      <c r="D545" s="26" t="inlineStr">
        <is>
          <t>PR2206-183</t>
        </is>
      </c>
      <c r="E545" t="inlineStr">
        <is>
          <t>ZSSK CARGO</t>
        </is>
      </c>
      <c r="F545" t="inlineStr">
        <is>
          <t>Cargo</t>
        </is>
      </c>
      <c r="J545" s="56" t="n">
        <v>44722</v>
      </c>
    </row>
    <row r="546">
      <c r="B546" s="26" t="inlineStr">
        <is>
          <t>D26EFA12A6E0</t>
        </is>
      </c>
      <c r="C546" s="26" t="inlineStr">
        <is>
          <t>HA-2210-041</t>
        </is>
      </c>
      <c r="D546" s="26" t="inlineStr">
        <is>
          <t>PR2206-184</t>
        </is>
      </c>
      <c r="E546" t="inlineStr">
        <is>
          <t>ZSSK CARGO</t>
        </is>
      </c>
      <c r="F546" t="inlineStr">
        <is>
          <t>Cargo</t>
        </is>
      </c>
      <c r="J546" s="56" t="n">
        <v>44722</v>
      </c>
    </row>
    <row r="547">
      <c r="B547" s="26" t="inlineStr">
        <is>
          <t>EE3C46573471</t>
        </is>
      </c>
      <c r="C547" s="26" t="inlineStr">
        <is>
          <t>HA-2210-012</t>
        </is>
      </c>
      <c r="D547" s="26" t="inlineStr">
        <is>
          <t>PR2206-151</t>
        </is>
      </c>
      <c r="E547" t="inlineStr">
        <is>
          <t>ZSSK CARGO</t>
        </is>
      </c>
      <c r="F547" t="inlineStr">
        <is>
          <t>Cargo</t>
        </is>
      </c>
      <c r="J547" s="56" t="n">
        <v>44722</v>
      </c>
    </row>
    <row r="548">
      <c r="B548" s="26" t="inlineStr">
        <is>
          <t>D7F3505E9344</t>
        </is>
      </c>
      <c r="C548" s="26" t="inlineStr">
        <is>
          <t>HA-2210-007</t>
        </is>
      </c>
      <c r="D548" s="26" t="inlineStr">
        <is>
          <t>PR2206-197</t>
        </is>
      </c>
      <c r="E548" t="inlineStr">
        <is>
          <t>ZSSK CARGO</t>
        </is>
      </c>
      <c r="F548" t="inlineStr">
        <is>
          <t>Cargo</t>
        </is>
      </c>
      <c r="J548" s="56" t="n">
        <v>44722</v>
      </c>
    </row>
    <row r="549">
      <c r="B549" s="26" t="inlineStr">
        <is>
          <t>C663CA2DFD14</t>
        </is>
      </c>
      <c r="C549" s="26" t="inlineStr">
        <is>
          <t>HA-2210-014</t>
        </is>
      </c>
      <c r="D549" s="26" t="inlineStr">
        <is>
          <t>PR2206-142</t>
        </is>
      </c>
      <c r="E549" t="inlineStr">
        <is>
          <t>ZSSK CARGO</t>
        </is>
      </c>
      <c r="F549" t="inlineStr">
        <is>
          <t>Cargo</t>
        </is>
      </c>
      <c r="J549" s="56" t="n">
        <v>44722</v>
      </c>
    </row>
    <row r="550">
      <c r="B550" s="26" t="inlineStr">
        <is>
          <t>F0A7A98C8A20</t>
        </is>
      </c>
      <c r="C550" s="26" t="inlineStr">
        <is>
          <t>HA-2210-059</t>
        </is>
      </c>
      <c r="D550" s="66" t="inlineStr">
        <is>
          <t>PR2206-479</t>
        </is>
      </c>
      <c r="E550" t="inlineStr">
        <is>
          <t>EIFFAGE</t>
        </is>
      </c>
      <c r="F550" t="inlineStr">
        <is>
          <t>Cargo</t>
        </is>
      </c>
      <c r="G550" t="inlineStr">
        <is>
          <t>not mounted</t>
        </is>
      </c>
      <c r="J550" s="26" t="inlineStr">
        <is>
          <t>13/10/2022</t>
        </is>
      </c>
    </row>
    <row r="551">
      <c r="B551" s="26" t="inlineStr">
        <is>
          <t>F0AC697532AB</t>
        </is>
      </c>
      <c r="C551" s="26" t="inlineStr">
        <is>
          <t>HA-2210-068</t>
        </is>
      </c>
      <c r="D551" s="66" t="inlineStr">
        <is>
          <t>PR2206-523</t>
        </is>
      </c>
      <c r="E551" t="inlineStr">
        <is>
          <t>EIFFAGE</t>
        </is>
      </c>
      <c r="F551" t="inlineStr">
        <is>
          <t>Cargo</t>
        </is>
      </c>
      <c r="G551" t="inlineStr">
        <is>
          <t>not mounted</t>
        </is>
      </c>
      <c r="J551" s="26" t="inlineStr">
        <is>
          <t>13/10/2022</t>
        </is>
      </c>
    </row>
    <row r="552">
      <c r="B552" s="26" t="inlineStr">
        <is>
          <t>D5755F12B5A1</t>
        </is>
      </c>
      <c r="C552" s="26" t="inlineStr">
        <is>
          <t>HA-2210-062</t>
        </is>
      </c>
      <c r="D552" s="66" t="inlineStr">
        <is>
          <t>PR2206-519</t>
        </is>
      </c>
      <c r="E552" t="inlineStr">
        <is>
          <t>EIFFAGE</t>
        </is>
      </c>
      <c r="F552" t="inlineStr">
        <is>
          <t>Cargo</t>
        </is>
      </c>
      <c r="G552" t="inlineStr">
        <is>
          <t>not mounted</t>
        </is>
      </c>
      <c r="J552" s="26" t="inlineStr">
        <is>
          <t>13/10/2022</t>
        </is>
      </c>
    </row>
    <row r="553">
      <c r="B553" s="26" t="inlineStr">
        <is>
          <t>C94FBEADE36F</t>
        </is>
      </c>
      <c r="C553" s="26" t="inlineStr">
        <is>
          <t>HA-2210-055</t>
        </is>
      </c>
      <c r="D553" s="66" t="inlineStr">
        <is>
          <t>PR2206-406</t>
        </is>
      </c>
      <c r="E553" t="inlineStr">
        <is>
          <t>EIFFAGE</t>
        </is>
      </c>
      <c r="F553" t="inlineStr">
        <is>
          <t>Cargo</t>
        </is>
      </c>
      <c r="G553" t="inlineStr">
        <is>
          <t>not mounted</t>
        </is>
      </c>
      <c r="J553" s="26" t="inlineStr">
        <is>
          <t>13/10/2022</t>
        </is>
      </c>
    </row>
    <row r="554">
      <c r="B554" s="26" t="inlineStr">
        <is>
          <t>DFAFA6BFA6C9</t>
        </is>
      </c>
      <c r="C554" s="26" t="inlineStr">
        <is>
          <t>HA-2210-076</t>
        </is>
      </c>
      <c r="D554" s="66" t="inlineStr">
        <is>
          <t>PR2206-481</t>
        </is>
      </c>
      <c r="E554" t="inlineStr">
        <is>
          <t>EIFFAGE</t>
        </is>
      </c>
      <c r="F554" t="inlineStr">
        <is>
          <t>Cargo</t>
        </is>
      </c>
      <c r="G554" t="inlineStr">
        <is>
          <t>not mounted</t>
        </is>
      </c>
      <c r="J554" s="26" t="inlineStr">
        <is>
          <t>13/10/2022</t>
        </is>
      </c>
    </row>
    <row r="555">
      <c r="B555" s="26" t="inlineStr">
        <is>
          <t>F2D4DF1905B0</t>
        </is>
      </c>
      <c r="C555" s="26" t="inlineStr">
        <is>
          <t>HA-2210-084</t>
        </is>
      </c>
      <c r="D555" s="66" t="inlineStr">
        <is>
          <t>PR2206-408</t>
        </is>
      </c>
      <c r="E555" t="inlineStr">
        <is>
          <t>EIFFAGE</t>
        </is>
      </c>
      <c r="F555" t="inlineStr">
        <is>
          <t>Cargo</t>
        </is>
      </c>
      <c r="G555" t="inlineStr">
        <is>
          <t>not mounted</t>
        </is>
      </c>
      <c r="J555" s="26" t="inlineStr">
        <is>
          <t>13/10/2022</t>
        </is>
      </c>
    </row>
    <row r="556">
      <c r="B556" s="26" t="inlineStr">
        <is>
          <t>E95501549C59</t>
        </is>
      </c>
      <c r="C556" s="26" t="inlineStr">
        <is>
          <t>HA-2210-086</t>
        </is>
      </c>
      <c r="D556" s="66" t="inlineStr">
        <is>
          <t>PR2206-580</t>
        </is>
      </c>
      <c r="E556" t="inlineStr">
        <is>
          <t>EIFFAGE</t>
        </is>
      </c>
      <c r="F556" t="inlineStr">
        <is>
          <t>Cargo</t>
        </is>
      </c>
      <c r="G556" t="inlineStr">
        <is>
          <t>not mounted</t>
        </is>
      </c>
      <c r="J556" s="26" t="inlineStr">
        <is>
          <t>13/10/2022</t>
        </is>
      </c>
    </row>
    <row r="557">
      <c r="B557" s="26" t="inlineStr">
        <is>
          <t>E8AA863617AD</t>
        </is>
      </c>
      <c r="C557" s="26" t="inlineStr">
        <is>
          <t>HA-2210-064</t>
        </is>
      </c>
      <c r="D557" s="66" t="inlineStr">
        <is>
          <t>PR2206-599</t>
        </is>
      </c>
      <c r="E557" t="inlineStr">
        <is>
          <t>EIFFAGE</t>
        </is>
      </c>
      <c r="F557" t="inlineStr">
        <is>
          <t>Cargo</t>
        </is>
      </c>
      <c r="G557" t="inlineStr">
        <is>
          <t>not mounted</t>
        </is>
      </c>
      <c r="J557" s="26" t="inlineStr">
        <is>
          <t>13/10/2022</t>
        </is>
      </c>
    </row>
    <row r="558">
      <c r="B558" s="26" t="inlineStr">
        <is>
          <t>CBE2A195BA49</t>
        </is>
      </c>
      <c r="C558" s="26" t="inlineStr">
        <is>
          <t>HA-2210-088</t>
        </is>
      </c>
      <c r="D558" s="66" t="inlineStr">
        <is>
          <t>PR2206-436</t>
        </is>
      </c>
      <c r="E558" t="inlineStr">
        <is>
          <t>EIFFAGE</t>
        </is>
      </c>
      <c r="F558" t="inlineStr">
        <is>
          <t>Cargo</t>
        </is>
      </c>
      <c r="G558" t="inlineStr">
        <is>
          <t>not mounted</t>
        </is>
      </c>
      <c r="J558" s="26" t="inlineStr">
        <is>
          <t>13/10/2022</t>
        </is>
      </c>
    </row>
    <row r="559">
      <c r="B559" s="26" t="inlineStr">
        <is>
          <t>D59F68446B28</t>
        </is>
      </c>
      <c r="C559" s="26" t="inlineStr">
        <is>
          <t>HA-2210-081</t>
        </is>
      </c>
      <c r="D559" s="66" t="inlineStr">
        <is>
          <t>PR2206-437</t>
        </is>
      </c>
      <c r="E559" t="inlineStr">
        <is>
          <t>EIFFAGE</t>
        </is>
      </c>
      <c r="F559" t="inlineStr">
        <is>
          <t>Cargo</t>
        </is>
      </c>
      <c r="G559" t="inlineStr">
        <is>
          <t>not mounted</t>
        </is>
      </c>
      <c r="J559" s="26" t="inlineStr">
        <is>
          <t>13/10/2022</t>
        </is>
      </c>
    </row>
    <row r="560">
      <c r="B560" s="26" t="inlineStr">
        <is>
          <t>F91321CD5D75</t>
        </is>
      </c>
      <c r="C560" s="26" t="inlineStr">
        <is>
          <t>HA-2210-053</t>
        </is>
      </c>
      <c r="D560" s="66" t="inlineStr">
        <is>
          <t>PR2206-449</t>
        </is>
      </c>
      <c r="E560" t="inlineStr">
        <is>
          <t>EIFFAGE</t>
        </is>
      </c>
      <c r="F560" t="inlineStr">
        <is>
          <t>Cargo</t>
        </is>
      </c>
      <c r="G560" t="inlineStr">
        <is>
          <t>not mounted</t>
        </is>
      </c>
      <c r="J560" s="26" t="inlineStr">
        <is>
          <t>13/10/2022</t>
        </is>
      </c>
    </row>
    <row r="561">
      <c r="B561" s="26" t="inlineStr">
        <is>
          <t>CF5AB2F5AE9D</t>
        </is>
      </c>
      <c r="C561" s="26" t="inlineStr">
        <is>
          <t>HA-2210-060</t>
        </is>
      </c>
      <c r="D561" s="66" t="inlineStr">
        <is>
          <t>PR2206-484</t>
        </is>
      </c>
      <c r="E561" t="inlineStr">
        <is>
          <t>EIFFAGE</t>
        </is>
      </c>
      <c r="F561" t="inlineStr">
        <is>
          <t>Cargo</t>
        </is>
      </c>
      <c r="G561" t="inlineStr">
        <is>
          <t>not mounted</t>
        </is>
      </c>
      <c r="J561" s="26" t="inlineStr">
        <is>
          <t>13/10/2022</t>
        </is>
      </c>
    </row>
    <row r="562">
      <c r="B562" s="26" t="inlineStr">
        <is>
          <t>F324C0B492CA</t>
        </is>
      </c>
      <c r="C562" s="26" t="inlineStr">
        <is>
          <t>HA-2210-090</t>
        </is>
      </c>
      <c r="D562" s="66" t="inlineStr">
        <is>
          <t>PR2206-478</t>
        </is>
      </c>
      <c r="E562" t="inlineStr">
        <is>
          <t>EIFFAGE</t>
        </is>
      </c>
      <c r="F562" t="inlineStr">
        <is>
          <t>Cargo</t>
        </is>
      </c>
      <c r="G562" t="inlineStr">
        <is>
          <t>not mounted</t>
        </is>
      </c>
      <c r="J562" s="26" t="inlineStr">
        <is>
          <t>13/10/2022</t>
        </is>
      </c>
    </row>
    <row r="563">
      <c r="B563" s="26" t="inlineStr">
        <is>
          <t>EEE83F8AA4EE</t>
        </is>
      </c>
      <c r="C563" s="26" t="inlineStr">
        <is>
          <t>HA-2210-065</t>
        </is>
      </c>
      <c r="D563" s="66" t="inlineStr">
        <is>
          <t>PR2206-603</t>
        </is>
      </c>
      <c r="E563" t="inlineStr">
        <is>
          <t>EIFFAGE</t>
        </is>
      </c>
      <c r="F563" t="inlineStr">
        <is>
          <t>Cargo</t>
        </is>
      </c>
      <c r="G563" t="inlineStr">
        <is>
          <t>not mounted</t>
        </is>
      </c>
      <c r="J563" s="26" t="inlineStr">
        <is>
          <t>13/10/2022</t>
        </is>
      </c>
    </row>
    <row r="564">
      <c r="B564" s="26" t="inlineStr">
        <is>
          <t>F698E68D5FEC</t>
        </is>
      </c>
      <c r="C564" s="26" t="inlineStr">
        <is>
          <t>HA-2210-061</t>
        </is>
      </c>
      <c r="D564" s="66" t="inlineStr">
        <is>
          <t>PR2206-401</t>
        </is>
      </c>
      <c r="E564" t="inlineStr">
        <is>
          <t>EIFFAGE</t>
        </is>
      </c>
      <c r="F564" t="inlineStr">
        <is>
          <t>Cargo</t>
        </is>
      </c>
      <c r="G564" t="inlineStr">
        <is>
          <t>not mounted</t>
        </is>
      </c>
      <c r="J564" s="26" t="inlineStr">
        <is>
          <t>13/10/2022</t>
        </is>
      </c>
    </row>
    <row r="565">
      <c r="B565" s="26" t="inlineStr">
        <is>
          <t>F1B37DA8A9CA</t>
        </is>
      </c>
      <c r="C565" s="26" t="inlineStr">
        <is>
          <t>HA-2210-056</t>
        </is>
      </c>
      <c r="D565" s="66" t="inlineStr">
        <is>
          <t>PR2206-600</t>
        </is>
      </c>
      <c r="E565" t="inlineStr">
        <is>
          <t>EIFFAGE</t>
        </is>
      </c>
      <c r="F565" t="inlineStr">
        <is>
          <t>Cargo</t>
        </is>
      </c>
      <c r="G565" t="inlineStr">
        <is>
          <t>not mounted</t>
        </is>
      </c>
      <c r="J565" s="26" t="inlineStr">
        <is>
          <t>13/10/2022</t>
        </is>
      </c>
    </row>
    <row r="566">
      <c r="B566" s="26" t="n"/>
      <c r="C566" s="26" t="n"/>
      <c r="D566" s="26" t="n"/>
      <c r="E566" s="26" t="n"/>
      <c r="J566" s="26" t="n"/>
    </row>
    <row r="567">
      <c r="B567" s="26" t="n"/>
      <c r="C567" s="26" t="n"/>
      <c r="D567" s="26" t="n"/>
      <c r="E567" s="26" t="n"/>
      <c r="J567" s="26" t="n"/>
    </row>
    <row r="568">
      <c r="B568" s="26" t="n"/>
      <c r="C568" s="26" t="n"/>
      <c r="D568" s="26" t="n"/>
      <c r="E568" s="26" t="n"/>
      <c r="J568" s="26" t="n"/>
    </row>
    <row r="569">
      <c r="B569" s="26" t="n"/>
      <c r="C569" s="26" t="n"/>
      <c r="D569" s="26" t="n"/>
      <c r="E569" s="26" t="n"/>
      <c r="J569" s="26" t="n"/>
    </row>
    <row r="570">
      <c r="B570" s="26" t="n"/>
      <c r="C570" s="26" t="n"/>
      <c r="D570" s="26" t="n"/>
      <c r="E570" s="26" t="n"/>
      <c r="J570" s="26" t="n"/>
    </row>
    <row r="571">
      <c r="B571" s="26" t="n"/>
      <c r="C571" s="26" t="n"/>
      <c r="D571" s="26" t="n"/>
      <c r="E571" s="26" t="n"/>
      <c r="J571" s="26" t="n"/>
    </row>
    <row r="572">
      <c r="B572" s="26" t="n"/>
      <c r="C572" s="26" t="n"/>
      <c r="D572" s="26" t="n"/>
      <c r="E572" s="26" t="n"/>
      <c r="J572" s="26" t="n"/>
    </row>
    <row r="573">
      <c r="B573" s="26" t="n"/>
      <c r="C573" s="26" t="n"/>
      <c r="D573" s="26" t="n"/>
      <c r="E573" s="26" t="n"/>
      <c r="J573" s="26" t="n"/>
    </row>
    <row r="574">
      <c r="B574" s="26" t="n"/>
      <c r="C574" s="26" t="n"/>
      <c r="D574" s="26" t="n"/>
      <c r="E574" s="26" t="n"/>
      <c r="J574" s="26" t="n"/>
    </row>
    <row r="575">
      <c r="B575" s="26" t="n"/>
      <c r="C575" s="26" t="n"/>
      <c r="D575" s="26" t="n"/>
      <c r="E575" s="26" t="n"/>
      <c r="J575" s="26" t="n"/>
    </row>
    <row r="576">
      <c r="B576" s="26" t="n"/>
      <c r="C576" s="26" t="n"/>
      <c r="D576" s="26" t="n"/>
      <c r="E576" s="26" t="n"/>
      <c r="J576" s="26" t="n"/>
    </row>
    <row r="577">
      <c r="B577" s="26" t="n"/>
      <c r="C577" s="26" t="n"/>
      <c r="D577" s="26" t="n"/>
      <c r="E577" s="26" t="n"/>
      <c r="J577" s="26" t="n"/>
    </row>
    <row r="578">
      <c r="B578" s="2" t="inlineStr">
        <is>
          <t>ECC92488D94D</t>
        </is>
      </c>
      <c r="D578" s="26" t="inlineStr">
        <is>
          <t>PR2203-457</t>
        </is>
      </c>
      <c r="E578" t="inlineStr">
        <is>
          <t>SGL</t>
        </is>
      </c>
      <c r="F578" t="inlineStr">
        <is>
          <t>Magnets</t>
        </is>
      </c>
      <c r="G578" t="inlineStr">
        <is>
          <t>3780-3939-003-4</t>
        </is>
      </c>
    </row>
    <row r="579">
      <c r="B579" s="2" t="inlineStr">
        <is>
          <t>DDCC73B644D3</t>
        </is>
      </c>
      <c r="D579" s="26" t="inlineStr">
        <is>
          <t>PR2203-024</t>
        </is>
      </c>
      <c r="E579" t="inlineStr">
        <is>
          <t>SGL</t>
        </is>
      </c>
      <c r="F579" t="inlineStr">
        <is>
          <t>Magnets</t>
        </is>
      </c>
      <c r="G579" t="inlineStr">
        <is>
          <t>3354-3937-523-9</t>
        </is>
      </c>
    </row>
    <row r="580">
      <c r="B580" s="2" t="inlineStr">
        <is>
          <t>ED2024DFDB3E</t>
        </is>
      </c>
      <c r="D580" s="26" t="inlineStr">
        <is>
          <t>PR2203-439</t>
        </is>
      </c>
      <c r="E580" t="inlineStr">
        <is>
          <t>SGL</t>
        </is>
      </c>
      <c r="F580" t="inlineStr">
        <is>
          <t>Magnets</t>
        </is>
      </c>
      <c r="G580" t="inlineStr">
        <is>
          <t>3780-3939-003-4</t>
        </is>
      </c>
    </row>
    <row r="581">
      <c r="B581" s="2" t="inlineStr">
        <is>
          <t>C415A67AD840</t>
        </is>
      </c>
      <c r="D581" s="26" t="inlineStr">
        <is>
          <t>PR2203-464</t>
        </is>
      </c>
      <c r="E581" t="inlineStr">
        <is>
          <t>SGL</t>
        </is>
      </c>
      <c r="F581" t="inlineStr">
        <is>
          <t>Magnets</t>
        </is>
      </c>
      <c r="G581" t="inlineStr">
        <is>
          <t>3780-3939-003-4</t>
        </is>
      </c>
    </row>
    <row r="582">
      <c r="B582" s="2" t="inlineStr">
        <is>
          <t>CD393584802F</t>
        </is>
      </c>
      <c r="D582" s="26" t="inlineStr">
        <is>
          <t>PR2203-455</t>
        </is>
      </c>
      <c r="E582" t="inlineStr">
        <is>
          <t>SGL</t>
        </is>
      </c>
      <c r="F582" t="inlineStr">
        <is>
          <t>Magnets</t>
        </is>
      </c>
      <c r="G582" t="inlineStr">
        <is>
          <t>3780-3939-003-4</t>
        </is>
      </c>
    </row>
    <row r="583">
      <c r="B583" s="2" t="inlineStr">
        <is>
          <t>F8BFAD72265A</t>
        </is>
      </c>
      <c r="D583" s="26" t="inlineStr">
        <is>
          <t>PR2203-242</t>
        </is>
      </c>
      <c r="E583" t="inlineStr">
        <is>
          <t>SGL</t>
        </is>
      </c>
      <c r="F583" t="inlineStr">
        <is>
          <t>Magnets</t>
        </is>
      </c>
      <c r="G583" t="inlineStr">
        <is>
          <t>3354-3937-523-9</t>
        </is>
      </c>
    </row>
    <row r="584">
      <c r="B584" s="2" t="inlineStr">
        <is>
          <t>D668F56FD01A</t>
        </is>
      </c>
      <c r="D584" s="26" t="inlineStr">
        <is>
          <t>PR2203-403</t>
        </is>
      </c>
      <c r="E584" t="inlineStr">
        <is>
          <t>SGL</t>
        </is>
      </c>
      <c r="F584" t="inlineStr">
        <is>
          <t>Magnets</t>
        </is>
      </c>
      <c r="G584" t="inlineStr">
        <is>
          <t>3354-3937-523-9</t>
        </is>
      </c>
    </row>
    <row r="585">
      <c r="B585" s="2" t="inlineStr">
        <is>
          <t>F610AF093463</t>
        </is>
      </c>
      <c r="D585" s="26" t="inlineStr">
        <is>
          <t>PR2203-471</t>
        </is>
      </c>
      <c r="E585" t="inlineStr">
        <is>
          <t>SGL</t>
        </is>
      </c>
      <c r="F585" t="inlineStr">
        <is>
          <t>Magnets</t>
        </is>
      </c>
      <c r="G585" t="inlineStr">
        <is>
          <t>3354-3937-523-9</t>
        </is>
      </c>
    </row>
    <row r="586">
      <c r="B586" s="2" t="inlineStr">
        <is>
          <t>FC74431AC320</t>
        </is>
      </c>
      <c r="D586" s="67" t="inlineStr">
        <is>
          <t>PR2206-326</t>
        </is>
      </c>
      <c r="E586" t="inlineStr">
        <is>
          <t>HVLE</t>
        </is>
      </c>
      <c r="F586" t="inlineStr">
        <is>
          <t>Cargo</t>
        </is>
      </c>
      <c r="G586" t="inlineStr">
        <is>
          <t>83546985084-5</t>
        </is>
      </c>
      <c r="J586" t="inlineStr">
        <is>
          <t>2022/12</t>
        </is>
      </c>
    </row>
    <row r="587">
      <c r="B587" s="2" t="inlineStr">
        <is>
          <t>D289DBFC198A</t>
        </is>
      </c>
      <c r="D587" s="67" t="inlineStr">
        <is>
          <t>PR2206-371</t>
        </is>
      </c>
      <c r="E587" t="inlineStr">
        <is>
          <t>HVLE</t>
        </is>
      </c>
      <c r="F587" t="inlineStr">
        <is>
          <t>Cargo</t>
        </is>
      </c>
      <c r="G587" t="inlineStr">
        <is>
          <t>83546985088-6</t>
        </is>
      </c>
      <c r="J587" t="inlineStr">
        <is>
          <t>2022/12</t>
        </is>
      </c>
    </row>
    <row r="588">
      <c r="B588" s="2" t="inlineStr">
        <is>
          <t>C6C8298EEF8A</t>
        </is>
      </c>
      <c r="D588" s="68" t="inlineStr">
        <is>
          <t>PR2206-287</t>
        </is>
      </c>
      <c r="E588" t="inlineStr">
        <is>
          <t>HVLE</t>
        </is>
      </c>
      <c r="F588" t="inlineStr">
        <is>
          <t>Cargo</t>
        </is>
      </c>
      <c r="G588" t="inlineStr">
        <is>
          <t>83546985088-6</t>
        </is>
      </c>
      <c r="J588" t="inlineStr">
        <is>
          <t>2022/12</t>
        </is>
      </c>
    </row>
    <row r="589">
      <c r="B589" s="2" t="inlineStr">
        <is>
          <t>C47F9DB36358</t>
        </is>
      </c>
      <c r="D589" s="68" t="inlineStr">
        <is>
          <t>PR2206-305</t>
        </is>
      </c>
      <c r="E589" t="inlineStr">
        <is>
          <t>HVLE</t>
        </is>
      </c>
      <c r="F589" t="inlineStr">
        <is>
          <t>Cargo</t>
        </is>
      </c>
      <c r="G589" t="inlineStr">
        <is>
          <t>83546985012-6</t>
        </is>
      </c>
      <c r="J589" t="inlineStr">
        <is>
          <t>2022/12</t>
        </is>
      </c>
    </row>
    <row r="590">
      <c r="B590" s="2" t="inlineStr">
        <is>
          <t>EC12E7CACCF2</t>
        </is>
      </c>
      <c r="D590" s="68" t="inlineStr">
        <is>
          <t>PR2206-339</t>
        </is>
      </c>
      <c r="E590" t="inlineStr">
        <is>
          <t>HVLE</t>
        </is>
      </c>
      <c r="F590" t="inlineStr">
        <is>
          <t>Cargo</t>
        </is>
      </c>
      <c r="G590" t="inlineStr">
        <is>
          <t>83546985084-5</t>
        </is>
      </c>
      <c r="J590" t="inlineStr">
        <is>
          <t>2022/12</t>
        </is>
      </c>
    </row>
    <row r="591">
      <c r="B591" s="2" t="inlineStr">
        <is>
          <t>F91897578D5A</t>
        </is>
      </c>
      <c r="D591" s="68" t="inlineStr">
        <is>
          <t>PR2206-008</t>
        </is>
      </c>
      <c r="E591" t="inlineStr">
        <is>
          <t>HVLE</t>
        </is>
      </c>
      <c r="F591" t="inlineStr">
        <is>
          <t>Cargo</t>
        </is>
      </c>
      <c r="G591" t="inlineStr">
        <is>
          <t>83546985079-5</t>
        </is>
      </c>
      <c r="J591" t="inlineStr">
        <is>
          <t>2022/12</t>
        </is>
      </c>
    </row>
    <row r="592">
      <c r="B592" s="2" t="inlineStr">
        <is>
          <t>CA5943062913</t>
        </is>
      </c>
      <c r="D592" s="68" t="inlineStr">
        <is>
          <t>PR2206-468</t>
        </is>
      </c>
      <c r="E592" t="inlineStr">
        <is>
          <t>HVLE</t>
        </is>
      </c>
      <c r="F592" t="inlineStr">
        <is>
          <t>Cargo</t>
        </is>
      </c>
      <c r="G592" t="inlineStr">
        <is>
          <t>83546985085-2</t>
        </is>
      </c>
      <c r="J592" t="inlineStr">
        <is>
          <t>2022/12</t>
        </is>
      </c>
    </row>
    <row r="593">
      <c r="B593" s="2" t="inlineStr">
        <is>
          <t>DBC31AEFB60C</t>
        </is>
      </c>
      <c r="D593" s="68" t="inlineStr">
        <is>
          <t>PR2206-282</t>
        </is>
      </c>
      <c r="E593" t="inlineStr">
        <is>
          <t>HVLE</t>
        </is>
      </c>
      <c r="F593" t="inlineStr">
        <is>
          <t>Cargo</t>
        </is>
      </c>
      <c r="G593" t="inlineStr">
        <is>
          <t>83546985084-5</t>
        </is>
      </c>
      <c r="J593" t="inlineStr">
        <is>
          <t>2022/12</t>
        </is>
      </c>
    </row>
    <row r="594">
      <c r="B594" s="2" t="inlineStr">
        <is>
          <t>F0D03C1416C9</t>
        </is>
      </c>
      <c r="D594" s="68" t="inlineStr">
        <is>
          <t>PR2206-307</t>
        </is>
      </c>
      <c r="E594" t="inlineStr">
        <is>
          <t>HVLE</t>
        </is>
      </c>
      <c r="F594" t="inlineStr">
        <is>
          <t>Cargo</t>
        </is>
      </c>
      <c r="G594" t="inlineStr">
        <is>
          <t>83546985030-8</t>
        </is>
      </c>
      <c r="J594" t="inlineStr">
        <is>
          <t>2022/12</t>
        </is>
      </c>
    </row>
    <row r="595">
      <c r="B595" s="2" t="inlineStr">
        <is>
          <t>E04A7434E274</t>
        </is>
      </c>
      <c r="D595" s="68" t="inlineStr">
        <is>
          <t>PR2206-003</t>
        </is>
      </c>
      <c r="E595" t="inlineStr">
        <is>
          <t>HVLE</t>
        </is>
      </c>
      <c r="F595" t="inlineStr">
        <is>
          <t>Cargo</t>
        </is>
      </c>
      <c r="G595" t="inlineStr">
        <is>
          <t>83546985012-6</t>
        </is>
      </c>
      <c r="J595" t="inlineStr">
        <is>
          <t>2022/12</t>
        </is>
      </c>
    </row>
    <row r="596">
      <c r="B596" s="2" t="inlineStr">
        <is>
          <t>DF4D456ADBB2</t>
        </is>
      </c>
      <c r="D596" s="68" t="inlineStr">
        <is>
          <t>PR2206-331</t>
        </is>
      </c>
      <c r="E596" t="inlineStr">
        <is>
          <t>HVLE</t>
        </is>
      </c>
      <c r="F596" t="inlineStr">
        <is>
          <t>Cargo</t>
        </is>
      </c>
      <c r="G596" t="inlineStr">
        <is>
          <t>83546985085-2</t>
        </is>
      </c>
      <c r="J596" t="inlineStr">
        <is>
          <t>2022/12</t>
        </is>
      </c>
    </row>
    <row r="597">
      <c r="B597" s="2" t="inlineStr">
        <is>
          <t>F35A1C90325E</t>
        </is>
      </c>
      <c r="D597" s="68" t="inlineStr">
        <is>
          <t>PR2206-457</t>
        </is>
      </c>
      <c r="E597" t="inlineStr">
        <is>
          <t>HVLE</t>
        </is>
      </c>
      <c r="F597" t="inlineStr">
        <is>
          <t>Cargo</t>
        </is>
      </c>
      <c r="G597" t="inlineStr">
        <is>
          <t>83546985084-5</t>
        </is>
      </c>
      <c r="J597" t="inlineStr">
        <is>
          <t>2022/12</t>
        </is>
      </c>
    </row>
    <row r="598">
      <c r="B598" s="2" t="inlineStr">
        <is>
          <t>C6802C05C2BD</t>
        </is>
      </c>
      <c r="D598" s="68" t="inlineStr">
        <is>
          <t>PR2206-403</t>
        </is>
      </c>
      <c r="E598" t="inlineStr">
        <is>
          <t>HVLE</t>
        </is>
      </c>
      <c r="F598" t="inlineStr">
        <is>
          <t>Cargo</t>
        </is>
      </c>
      <c r="G598" t="inlineStr">
        <is>
          <t>83546985079-5</t>
        </is>
      </c>
      <c r="J598" t="inlineStr">
        <is>
          <t>2022/12</t>
        </is>
      </c>
    </row>
    <row r="599">
      <c r="B599" s="2" t="inlineStr">
        <is>
          <t>C5903DB4D448</t>
        </is>
      </c>
      <c r="D599" s="68" t="inlineStr">
        <is>
          <t>PR2206-546</t>
        </is>
      </c>
      <c r="E599" t="inlineStr">
        <is>
          <t>HVLE</t>
        </is>
      </c>
      <c r="F599" t="inlineStr">
        <is>
          <t>Cargo</t>
        </is>
      </c>
      <c r="G599" t="inlineStr">
        <is>
          <t>83546985079-5</t>
        </is>
      </c>
      <c r="J599" t="inlineStr">
        <is>
          <t>2022/12</t>
        </is>
      </c>
    </row>
    <row r="600">
      <c r="B600" s="2" t="inlineStr">
        <is>
          <t>DD9BD7BFBF1D</t>
        </is>
      </c>
      <c r="D600" s="68" t="inlineStr">
        <is>
          <t>PR2206-018</t>
        </is>
      </c>
      <c r="E600" t="inlineStr">
        <is>
          <t>HVLE</t>
        </is>
      </c>
      <c r="F600" t="inlineStr">
        <is>
          <t>Cargo</t>
        </is>
      </c>
      <c r="G600" t="inlineStr">
        <is>
          <t>83546985012-6</t>
        </is>
      </c>
      <c r="J600" t="inlineStr">
        <is>
          <t>2022/12</t>
        </is>
      </c>
    </row>
    <row r="601">
      <c r="B601" s="2" t="inlineStr">
        <is>
          <t>CEFE40D583FA</t>
        </is>
      </c>
      <c r="D601" s="68" t="inlineStr">
        <is>
          <t>PR2206-475</t>
        </is>
      </c>
      <c r="E601" t="inlineStr">
        <is>
          <t>HVLE</t>
        </is>
      </c>
      <c r="F601" t="inlineStr">
        <is>
          <t>Cargo</t>
        </is>
      </c>
      <c r="G601" t="inlineStr">
        <is>
          <t>83546985030-8</t>
        </is>
      </c>
      <c r="J601" t="inlineStr">
        <is>
          <t>2022/12</t>
        </is>
      </c>
    </row>
    <row r="602">
      <c r="B602" s="2" t="inlineStr">
        <is>
          <t>C7FD546A3E71</t>
        </is>
      </c>
      <c r="D602" s="68" t="inlineStr">
        <is>
          <t>PR2206-491</t>
        </is>
      </c>
      <c r="E602" t="inlineStr">
        <is>
          <t>HVLE</t>
        </is>
      </c>
      <c r="F602" t="inlineStr">
        <is>
          <t>Cargo</t>
        </is>
      </c>
      <c r="G602" t="inlineStr">
        <is>
          <t>83546985088-6</t>
        </is>
      </c>
      <c r="J602" t="inlineStr">
        <is>
          <t>2022/12</t>
        </is>
      </c>
    </row>
    <row r="603">
      <c r="B603" s="2" t="inlineStr">
        <is>
          <t>C4D0A551E053</t>
        </is>
      </c>
      <c r="D603" s="68" t="inlineStr">
        <is>
          <t>PR2206-171</t>
        </is>
      </c>
      <c r="E603" t="inlineStr">
        <is>
          <t>HVLE</t>
        </is>
      </c>
      <c r="F603" t="inlineStr">
        <is>
          <t>Cargo</t>
        </is>
      </c>
      <c r="G603" t="inlineStr">
        <is>
          <t>83546985079-5</t>
        </is>
      </c>
      <c r="J603" t="inlineStr">
        <is>
          <t>2022/12</t>
        </is>
      </c>
    </row>
    <row r="604">
      <c r="B604" s="2" t="inlineStr">
        <is>
          <t>D62F97440B60</t>
        </is>
      </c>
      <c r="D604" s="68" t="inlineStr">
        <is>
          <t>PR2206-016</t>
        </is>
      </c>
      <c r="E604" t="inlineStr">
        <is>
          <t>HVLE</t>
        </is>
      </c>
      <c r="F604" t="inlineStr">
        <is>
          <t>Cargo</t>
        </is>
      </c>
      <c r="G604" t="inlineStr">
        <is>
          <t>83546985072-0</t>
        </is>
      </c>
      <c r="J604" t="inlineStr">
        <is>
          <t>2022/12</t>
        </is>
      </c>
    </row>
    <row r="605">
      <c r="B605" s="2" t="inlineStr">
        <is>
          <t>EDD05633F890</t>
        </is>
      </c>
      <c r="D605" s="68" t="inlineStr">
        <is>
          <t>PR2206-515</t>
        </is>
      </c>
      <c r="E605" t="inlineStr">
        <is>
          <t>HVLE</t>
        </is>
      </c>
      <c r="F605" t="inlineStr">
        <is>
          <t>Cargo</t>
        </is>
      </c>
      <c r="G605" t="inlineStr">
        <is>
          <t>83546985085-2</t>
        </is>
      </c>
      <c r="J605" t="inlineStr">
        <is>
          <t>2022/12</t>
        </is>
      </c>
    </row>
    <row r="606">
      <c r="B606" s="2" t="inlineStr">
        <is>
          <t>E7C9BF92848B</t>
        </is>
      </c>
      <c r="D606" s="68" t="inlineStr">
        <is>
          <t>PR2206-320</t>
        </is>
      </c>
      <c r="E606" t="inlineStr">
        <is>
          <t>HVLE</t>
        </is>
      </c>
      <c r="F606" t="inlineStr">
        <is>
          <t>Cargo</t>
        </is>
      </c>
      <c r="G606" t="inlineStr">
        <is>
          <t>83546985012-6</t>
        </is>
      </c>
      <c r="J606" t="inlineStr">
        <is>
          <t>2022/12</t>
        </is>
      </c>
    </row>
    <row r="607">
      <c r="B607" s="2" t="inlineStr">
        <is>
          <t>CFA7A99CB7D3</t>
        </is>
      </c>
      <c r="D607" s="68" t="inlineStr">
        <is>
          <t>PR2206-056</t>
        </is>
      </c>
      <c r="E607" t="inlineStr">
        <is>
          <t>HVLE</t>
        </is>
      </c>
      <c r="F607" t="inlineStr">
        <is>
          <t>Cargo</t>
        </is>
      </c>
      <c r="G607" t="inlineStr">
        <is>
          <t>83546985079-5</t>
        </is>
      </c>
      <c r="J607" t="inlineStr">
        <is>
          <t>2022/12</t>
        </is>
      </c>
    </row>
    <row r="608">
      <c r="B608" s="2" t="inlineStr">
        <is>
          <t>F397F7F9A481</t>
        </is>
      </c>
      <c r="D608" s="68" t="inlineStr">
        <is>
          <t>PR2203-191</t>
        </is>
      </c>
      <c r="E608" t="inlineStr">
        <is>
          <t>HVLE</t>
        </is>
      </c>
      <c r="F608" t="inlineStr">
        <is>
          <t>Cargo</t>
        </is>
      </c>
      <c r="G608" t="inlineStr">
        <is>
          <t>83546985072-0</t>
        </is>
      </c>
      <c r="J608" t="inlineStr">
        <is>
          <t>2022/12</t>
        </is>
      </c>
    </row>
    <row r="609">
      <c r="B609" s="2" t="inlineStr">
        <is>
          <t>D2C9D2A47FEB</t>
        </is>
      </c>
      <c r="D609" s="68" t="inlineStr">
        <is>
          <t>PR2206-499</t>
        </is>
      </c>
      <c r="E609" t="inlineStr">
        <is>
          <t>HVLE</t>
        </is>
      </c>
      <c r="F609" t="inlineStr">
        <is>
          <t>Cargo</t>
        </is>
      </c>
      <c r="G609" t="inlineStr">
        <is>
          <t>83546985015-9</t>
        </is>
      </c>
      <c r="J609" t="inlineStr">
        <is>
          <t>2022/12</t>
        </is>
      </c>
    </row>
    <row r="610">
      <c r="B610" s="2" t="inlineStr">
        <is>
          <t>F91B6A23699F</t>
        </is>
      </c>
      <c r="D610" s="68" t="inlineStr">
        <is>
          <t>PR2206-310</t>
        </is>
      </c>
      <c r="E610" t="inlineStr">
        <is>
          <t>HVLE</t>
        </is>
      </c>
      <c r="F610" t="inlineStr">
        <is>
          <t>Cargo</t>
        </is>
      </c>
      <c r="G610" t="inlineStr">
        <is>
          <t>83546985088-6</t>
        </is>
      </c>
      <c r="J610" t="inlineStr">
        <is>
          <t>2022/12</t>
        </is>
      </c>
    </row>
    <row r="611">
      <c r="B611" s="2" t="inlineStr">
        <is>
          <t>DD90049CCCC1</t>
        </is>
      </c>
      <c r="D611" s="68" t="inlineStr">
        <is>
          <t>PR2206-543</t>
        </is>
      </c>
      <c r="E611" t="inlineStr">
        <is>
          <t>HVLE</t>
        </is>
      </c>
      <c r="F611" t="inlineStr">
        <is>
          <t>Cargo</t>
        </is>
      </c>
      <c r="G611" t="inlineStr">
        <is>
          <t>83546985012-6</t>
        </is>
      </c>
      <c r="J611" t="inlineStr">
        <is>
          <t>2022/12</t>
        </is>
      </c>
    </row>
    <row r="612">
      <c r="B612" s="2" t="inlineStr">
        <is>
          <t>EA425D27F242</t>
        </is>
      </c>
      <c r="D612" s="68" t="inlineStr">
        <is>
          <t>PR2206-094</t>
        </is>
      </c>
      <c r="E612" t="inlineStr">
        <is>
          <t>HVLE</t>
        </is>
      </c>
      <c r="F612" t="inlineStr">
        <is>
          <t>Cargo</t>
        </is>
      </c>
      <c r="G612" t="inlineStr">
        <is>
          <t>83546985030-8</t>
        </is>
      </c>
      <c r="J612" t="inlineStr">
        <is>
          <t>2022/12</t>
        </is>
      </c>
    </row>
    <row r="613">
      <c r="B613" s="2" t="inlineStr">
        <is>
          <t>E2117DFDEA8A</t>
        </is>
      </c>
      <c r="D613" s="68" t="inlineStr">
        <is>
          <t>PR2206-550</t>
        </is>
      </c>
      <c r="E613" t="inlineStr">
        <is>
          <t>HVLE</t>
        </is>
      </c>
      <c r="F613" t="inlineStr">
        <is>
          <t>Cargo</t>
        </is>
      </c>
      <c r="G613" t="inlineStr">
        <is>
          <t>83546985084-5</t>
        </is>
      </c>
      <c r="J613" t="inlineStr">
        <is>
          <t>2022/12</t>
        </is>
      </c>
    </row>
    <row r="614">
      <c r="B614" s="2" t="inlineStr">
        <is>
          <t>DD7E990752B3</t>
        </is>
      </c>
      <c r="D614" s="68" t="inlineStr">
        <is>
          <t>PR2206-350</t>
        </is>
      </c>
      <c r="E614" t="inlineStr">
        <is>
          <t>HVLE</t>
        </is>
      </c>
      <c r="F614" t="inlineStr">
        <is>
          <t>Cargo</t>
        </is>
      </c>
      <c r="G614" t="inlineStr">
        <is>
          <t>83546985088-6</t>
        </is>
      </c>
      <c r="J614" t="inlineStr">
        <is>
          <t>2022/12</t>
        </is>
      </c>
    </row>
    <row r="615">
      <c r="B615" s="2" t="inlineStr">
        <is>
          <t>E025B3C82551</t>
        </is>
      </c>
      <c r="D615" s="68" t="inlineStr">
        <is>
          <t>PR2206-179</t>
        </is>
      </c>
      <c r="E615" t="inlineStr">
        <is>
          <t>HVLE</t>
        </is>
      </c>
      <c r="F615" t="inlineStr">
        <is>
          <t>Cargo</t>
        </is>
      </c>
      <c r="G615" t="inlineStr">
        <is>
          <t>83546985015-9</t>
        </is>
      </c>
      <c r="J615" t="inlineStr">
        <is>
          <t>2022/12</t>
        </is>
      </c>
    </row>
    <row r="616">
      <c r="B616" s="2" t="inlineStr">
        <is>
          <t>EDD75BB766AD</t>
        </is>
      </c>
      <c r="D616" s="68" t="inlineStr">
        <is>
          <t>PR2206-513</t>
        </is>
      </c>
      <c r="E616" t="inlineStr">
        <is>
          <t>HVLE</t>
        </is>
      </c>
      <c r="F616" t="inlineStr">
        <is>
          <t>Cargo</t>
        </is>
      </c>
      <c r="G616" t="inlineStr">
        <is>
          <t>83546985088-6</t>
        </is>
      </c>
      <c r="J616" t="inlineStr">
        <is>
          <t>2022/12</t>
        </is>
      </c>
    </row>
    <row r="617">
      <c r="B617" s="2" t="inlineStr">
        <is>
          <t>D10BEAA8CB6F</t>
        </is>
      </c>
      <c r="D617" s="68" t="inlineStr">
        <is>
          <t>PR2206-391</t>
        </is>
      </c>
      <c r="E617" t="inlineStr">
        <is>
          <t>HVLE</t>
        </is>
      </c>
      <c r="F617" t="inlineStr">
        <is>
          <t>Cargo</t>
        </is>
      </c>
      <c r="G617" t="inlineStr">
        <is>
          <t>83546985088-6</t>
        </is>
      </c>
      <c r="J617" t="inlineStr">
        <is>
          <t>2022/12</t>
        </is>
      </c>
    </row>
    <row r="618">
      <c r="B618" s="2" t="inlineStr">
        <is>
          <t>D11BA7AB5269</t>
        </is>
      </c>
      <c r="D618" s="68" t="inlineStr">
        <is>
          <t>PR2206-309</t>
        </is>
      </c>
      <c r="E618" t="inlineStr">
        <is>
          <t>HVLE</t>
        </is>
      </c>
      <c r="F618" t="inlineStr">
        <is>
          <t>Cargo</t>
        </is>
      </c>
      <c r="G618" t="inlineStr">
        <is>
          <t>83546985030-8</t>
        </is>
      </c>
      <c r="J618" t="inlineStr">
        <is>
          <t>2022/12</t>
        </is>
      </c>
    </row>
    <row r="619">
      <c r="B619" s="2" t="inlineStr">
        <is>
          <t>E157C8F4E8CE</t>
        </is>
      </c>
      <c r="D619" s="68" t="inlineStr">
        <is>
          <t>PR2206-505</t>
        </is>
      </c>
      <c r="E619" t="inlineStr">
        <is>
          <t>HVLE</t>
        </is>
      </c>
      <c r="F619" t="inlineStr">
        <is>
          <t>Cargo</t>
        </is>
      </c>
      <c r="G619" t="inlineStr">
        <is>
          <t>83546985030-8</t>
        </is>
      </c>
      <c r="J619" t="inlineStr">
        <is>
          <t>2022/12</t>
        </is>
      </c>
    </row>
    <row r="620">
      <c r="B620" s="2" t="inlineStr">
        <is>
          <t>FD235F67C53C</t>
        </is>
      </c>
      <c r="D620" s="68" t="inlineStr">
        <is>
          <t>PR2206-536</t>
        </is>
      </c>
      <c r="E620" t="inlineStr">
        <is>
          <t>HVLE</t>
        </is>
      </c>
      <c r="F620" t="inlineStr">
        <is>
          <t>Cargo</t>
        </is>
      </c>
      <c r="G620" t="inlineStr">
        <is>
          <t>83546985085-2</t>
        </is>
      </c>
      <c r="J620" t="inlineStr">
        <is>
          <t>2022/12</t>
        </is>
      </c>
    </row>
    <row r="621">
      <c r="B621" s="2" t="inlineStr">
        <is>
          <t>D7217329F541</t>
        </is>
      </c>
      <c r="D621" s="68" t="inlineStr">
        <is>
          <t>PR2206-306</t>
        </is>
      </c>
      <c r="E621" t="inlineStr">
        <is>
          <t>HVLE</t>
        </is>
      </c>
      <c r="F621" t="inlineStr">
        <is>
          <t>Cargo</t>
        </is>
      </c>
      <c r="G621" t="inlineStr">
        <is>
          <t>83546985072-0</t>
        </is>
      </c>
      <c r="J621" t="inlineStr">
        <is>
          <t>2022/12</t>
        </is>
      </c>
    </row>
    <row r="622">
      <c r="B622" s="2" t="inlineStr">
        <is>
          <t>DC81C6E38894</t>
        </is>
      </c>
      <c r="D622" s="68" t="inlineStr">
        <is>
          <t>PR2206-593</t>
        </is>
      </c>
      <c r="E622" t="inlineStr">
        <is>
          <t>HVLE</t>
        </is>
      </c>
      <c r="F622" t="inlineStr">
        <is>
          <t>Cargo</t>
        </is>
      </c>
      <c r="G622" t="inlineStr">
        <is>
          <t>83546985088-6</t>
        </is>
      </c>
      <c r="J622" t="inlineStr">
        <is>
          <t>2022/12</t>
        </is>
      </c>
    </row>
    <row r="623">
      <c r="B623" s="2" t="inlineStr">
        <is>
          <t>ED88D8B63B26</t>
        </is>
      </c>
      <c r="D623" s="68" t="inlineStr">
        <is>
          <t>PR2206-318</t>
        </is>
      </c>
      <c r="E623" t="inlineStr">
        <is>
          <t>HVLE</t>
        </is>
      </c>
      <c r="F623" t="inlineStr">
        <is>
          <t>Cargo</t>
        </is>
      </c>
      <c r="G623" t="inlineStr">
        <is>
          <t>83546985012-6</t>
        </is>
      </c>
      <c r="J623" t="inlineStr">
        <is>
          <t>2022/12</t>
        </is>
      </c>
    </row>
    <row r="624">
      <c r="B624" s="2" t="inlineStr">
        <is>
          <t>D4BD4A127DDF</t>
        </is>
      </c>
      <c r="D624" s="68" t="inlineStr">
        <is>
          <t>PR2206-554</t>
        </is>
      </c>
      <c r="E624" t="inlineStr">
        <is>
          <t>HVLE</t>
        </is>
      </c>
      <c r="F624" t="inlineStr">
        <is>
          <t>Cargo</t>
        </is>
      </c>
      <c r="G624" t="inlineStr">
        <is>
          <t>83546985072-0</t>
        </is>
      </c>
      <c r="J624" t="inlineStr">
        <is>
          <t>2022/12</t>
        </is>
      </c>
    </row>
    <row r="625">
      <c r="B625" s="2" t="inlineStr">
        <is>
          <t>E022F16F80D7</t>
        </is>
      </c>
      <c r="D625" s="68" t="inlineStr">
        <is>
          <t>PR2206-375</t>
        </is>
      </c>
      <c r="E625" t="inlineStr">
        <is>
          <t>HVLE</t>
        </is>
      </c>
      <c r="F625" t="inlineStr">
        <is>
          <t>Cargo</t>
        </is>
      </c>
      <c r="G625" t="inlineStr">
        <is>
          <t>83546985079-5</t>
        </is>
      </c>
      <c r="J625" t="inlineStr">
        <is>
          <t>2022/12</t>
        </is>
      </c>
    </row>
    <row r="626">
      <c r="B626" s="2" t="inlineStr">
        <is>
          <t>C3BF99D08EA9</t>
        </is>
      </c>
      <c r="D626" s="68" t="inlineStr">
        <is>
          <t>PR2206-122</t>
        </is>
      </c>
      <c r="E626" t="inlineStr">
        <is>
          <t>HVLE</t>
        </is>
      </c>
      <c r="F626" t="inlineStr">
        <is>
          <t>Cargo</t>
        </is>
      </c>
      <c r="G626" t="inlineStr">
        <is>
          <t>83546985084-5</t>
        </is>
      </c>
      <c r="J626" t="inlineStr">
        <is>
          <t>2022/12</t>
        </is>
      </c>
    </row>
    <row r="627">
      <c r="B627" s="2" t="inlineStr">
        <is>
          <t>E48F868F5678</t>
        </is>
      </c>
      <c r="D627" s="68" t="inlineStr">
        <is>
          <t>PR2206-323</t>
        </is>
      </c>
      <c r="E627" t="inlineStr">
        <is>
          <t>HVLE</t>
        </is>
      </c>
      <c r="F627" t="inlineStr">
        <is>
          <t>Cargo</t>
        </is>
      </c>
      <c r="G627" t="inlineStr">
        <is>
          <t>83546985030-8</t>
        </is>
      </c>
      <c r="J627" t="inlineStr">
        <is>
          <t>2022/12</t>
        </is>
      </c>
    </row>
    <row r="628">
      <c r="B628" s="2" t="inlineStr">
        <is>
          <t>C580C3630362</t>
        </is>
      </c>
      <c r="D628" s="68" t="inlineStr">
        <is>
          <t>PR2206-303</t>
        </is>
      </c>
      <c r="E628" t="inlineStr">
        <is>
          <t>HVLE</t>
        </is>
      </c>
      <c r="F628" t="inlineStr">
        <is>
          <t>Cargo</t>
        </is>
      </c>
      <c r="G628" t="inlineStr">
        <is>
          <t>83546985095-1</t>
        </is>
      </c>
      <c r="J628" t="inlineStr">
        <is>
          <t>2022/12</t>
        </is>
      </c>
    </row>
    <row r="629">
      <c r="B629" s="2" t="inlineStr">
        <is>
          <t>DD44C7EE4A0A</t>
        </is>
      </c>
      <c r="D629" s="68" t="inlineStr">
        <is>
          <t>PR2206-430</t>
        </is>
      </c>
      <c r="E629" t="inlineStr">
        <is>
          <t>HVLE</t>
        </is>
      </c>
      <c r="F629" t="inlineStr">
        <is>
          <t>Cargo</t>
        </is>
      </c>
      <c r="G629" t="inlineStr">
        <is>
          <t>83546985072-0</t>
        </is>
      </c>
      <c r="J629" t="inlineStr">
        <is>
          <t>2022/12</t>
        </is>
      </c>
    </row>
    <row r="630">
      <c r="B630" s="2" t="inlineStr">
        <is>
          <t>F3EDDE5297EB</t>
        </is>
      </c>
      <c r="D630" s="68" t="inlineStr">
        <is>
          <t>PR2206-301</t>
        </is>
      </c>
      <c r="E630" t="inlineStr">
        <is>
          <t>HVLE</t>
        </is>
      </c>
      <c r="F630" t="inlineStr">
        <is>
          <t>Cargo</t>
        </is>
      </c>
      <c r="G630" t="inlineStr">
        <is>
          <t>83546985095-1</t>
        </is>
      </c>
      <c r="J630" t="inlineStr">
        <is>
          <t>2022/12</t>
        </is>
      </c>
    </row>
    <row r="631">
      <c r="B631" s="2" t="inlineStr">
        <is>
          <t>CDF6F89EF6AC</t>
        </is>
      </c>
      <c r="D631" s="68" t="inlineStr">
        <is>
          <t>PR2206-053</t>
        </is>
      </c>
      <c r="E631" t="inlineStr">
        <is>
          <t>HVLE</t>
        </is>
      </c>
      <c r="F631" t="inlineStr">
        <is>
          <t>Cargo</t>
        </is>
      </c>
      <c r="G631" t="inlineStr">
        <is>
          <t>83546985079-5</t>
        </is>
      </c>
      <c r="J631" t="inlineStr">
        <is>
          <t>2022/12</t>
        </is>
      </c>
    </row>
    <row r="632">
      <c r="B632" s="2" t="inlineStr">
        <is>
          <t>ED26EF2201DD</t>
        </is>
      </c>
      <c r="D632" s="68" t="inlineStr">
        <is>
          <t>PR2206-356</t>
        </is>
      </c>
      <c r="E632" t="inlineStr">
        <is>
          <t>HVLE</t>
        </is>
      </c>
      <c r="F632" t="inlineStr">
        <is>
          <t>Cargo</t>
        </is>
      </c>
      <c r="G632" t="inlineStr">
        <is>
          <t>83546985012-6</t>
        </is>
      </c>
      <c r="J632" t="inlineStr">
        <is>
          <t>2022/12</t>
        </is>
      </c>
    </row>
    <row r="633">
      <c r="B633" s="2" t="inlineStr">
        <is>
          <t>EDDF9414DAED</t>
        </is>
      </c>
      <c r="D633" s="68" t="inlineStr">
        <is>
          <t>PR2206-060</t>
        </is>
      </c>
      <c r="E633" t="inlineStr">
        <is>
          <t>HVLE</t>
        </is>
      </c>
      <c r="F633" t="inlineStr">
        <is>
          <t>Cargo</t>
        </is>
      </c>
      <c r="G633" t="inlineStr">
        <is>
          <t>83546985072-0</t>
        </is>
      </c>
      <c r="J633" t="inlineStr">
        <is>
          <t>2022/12</t>
        </is>
      </c>
    </row>
    <row r="634">
      <c r="B634" s="2" t="inlineStr">
        <is>
          <t>D44E3B83C097</t>
        </is>
      </c>
      <c r="D634" s="68" t="inlineStr">
        <is>
          <t>PR2206-327</t>
        </is>
      </c>
      <c r="E634" t="inlineStr">
        <is>
          <t>HVLE</t>
        </is>
      </c>
      <c r="F634" t="inlineStr">
        <is>
          <t>Cargo</t>
        </is>
      </c>
      <c r="G634" t="inlineStr">
        <is>
          <t>83546985015-9</t>
        </is>
      </c>
      <c r="J634" t="inlineStr">
        <is>
          <t>2022/12</t>
        </is>
      </c>
    </row>
    <row r="635">
      <c r="B635" s="2" t="inlineStr">
        <is>
          <t>CE9E3F15A109</t>
        </is>
      </c>
      <c r="D635" s="68" t="inlineStr">
        <is>
          <t>PR2206-537</t>
        </is>
      </c>
      <c r="E635" t="inlineStr">
        <is>
          <t>HVLE</t>
        </is>
      </c>
      <c r="F635" t="inlineStr">
        <is>
          <t>Cargo</t>
        </is>
      </c>
      <c r="G635" t="inlineStr">
        <is>
          <t>83546985015-9</t>
        </is>
      </c>
      <c r="J635" t="inlineStr">
        <is>
          <t>2022/12</t>
        </is>
      </c>
    </row>
    <row r="636">
      <c r="B636" s="2" t="inlineStr">
        <is>
          <t>D17760A8CC6B</t>
        </is>
      </c>
      <c r="D636" s="68" t="inlineStr">
        <is>
          <t>PR2206-069</t>
        </is>
      </c>
      <c r="E636" t="inlineStr">
        <is>
          <t>HVLE</t>
        </is>
      </c>
      <c r="F636" t="inlineStr">
        <is>
          <t>Cargo</t>
        </is>
      </c>
      <c r="G636" t="inlineStr">
        <is>
          <t>83546985095-1</t>
        </is>
      </c>
      <c r="J636" t="inlineStr">
        <is>
          <t>2022/12</t>
        </is>
      </c>
    </row>
    <row r="637">
      <c r="B637" s="2" t="inlineStr">
        <is>
          <t>DDB95B771C72</t>
        </is>
      </c>
      <c r="D637" s="68" t="inlineStr">
        <is>
          <t>PR2206-132</t>
        </is>
      </c>
      <c r="E637" t="inlineStr">
        <is>
          <t>HVLE</t>
        </is>
      </c>
      <c r="F637" t="inlineStr">
        <is>
          <t>Cargo</t>
        </is>
      </c>
      <c r="G637" t="inlineStr">
        <is>
          <t>83546985085-2</t>
        </is>
      </c>
      <c r="J637" t="inlineStr">
        <is>
          <t>2022/12</t>
        </is>
      </c>
    </row>
    <row r="638">
      <c r="B638" s="2" t="inlineStr">
        <is>
          <t>F94BC17D50BD</t>
        </is>
      </c>
      <c r="D638" s="68" t="inlineStr">
        <is>
          <t>PR2206-424</t>
        </is>
      </c>
      <c r="E638" t="inlineStr">
        <is>
          <t>HVLE</t>
        </is>
      </c>
      <c r="F638" t="inlineStr">
        <is>
          <t>Cargo</t>
        </is>
      </c>
      <c r="G638" t="inlineStr">
        <is>
          <t>83546985072-0</t>
        </is>
      </c>
      <c r="J638" t="inlineStr">
        <is>
          <t>2022/12</t>
        </is>
      </c>
    </row>
    <row r="639">
      <c r="B639" s="2" t="inlineStr">
        <is>
          <t>DA107CB8D6C8</t>
        </is>
      </c>
      <c r="D639" s="68" t="inlineStr">
        <is>
          <t>PR2206-526</t>
        </is>
      </c>
      <c r="E639" t="inlineStr">
        <is>
          <t>HVLE</t>
        </is>
      </c>
      <c r="F639" t="inlineStr">
        <is>
          <t>Cargo</t>
        </is>
      </c>
      <c r="G639" t="inlineStr">
        <is>
          <t>83546985085-2</t>
        </is>
      </c>
      <c r="J639" t="inlineStr">
        <is>
          <t>2022/12</t>
        </is>
      </c>
    </row>
    <row r="640">
      <c r="B640" s="2" t="inlineStr">
        <is>
          <t>EB14F2291B9F</t>
        </is>
      </c>
      <c r="D640" s="68" t="inlineStr">
        <is>
          <t>PR2206-341</t>
        </is>
      </c>
      <c r="E640" t="inlineStr">
        <is>
          <t>HVLE</t>
        </is>
      </c>
      <c r="F640" t="inlineStr">
        <is>
          <t>Cargo</t>
        </is>
      </c>
      <c r="G640" t="inlineStr">
        <is>
          <t>83546985084-5</t>
        </is>
      </c>
      <c r="J640" t="inlineStr">
        <is>
          <t>2022/12</t>
        </is>
      </c>
    </row>
    <row r="641">
      <c r="B641" s="2" t="inlineStr">
        <is>
          <t>EE9EBAABAAE9</t>
        </is>
      </c>
      <c r="D641" s="68" t="inlineStr">
        <is>
          <t>PR2206-037</t>
        </is>
      </c>
      <c r="E641" t="inlineStr">
        <is>
          <t>HVLE</t>
        </is>
      </c>
      <c r="F641" t="inlineStr">
        <is>
          <t>Cargo</t>
        </is>
      </c>
      <c r="G641" t="inlineStr">
        <is>
          <t>83546985084-5</t>
        </is>
      </c>
      <c r="J641" t="inlineStr">
        <is>
          <t>2022/12</t>
        </is>
      </c>
    </row>
    <row r="642">
      <c r="B642" s="2" t="inlineStr">
        <is>
          <t>F05E7B38D721</t>
        </is>
      </c>
      <c r="D642" s="68" t="inlineStr">
        <is>
          <t>PR2206-386</t>
        </is>
      </c>
      <c r="E642" t="inlineStr">
        <is>
          <t>HVLE</t>
        </is>
      </c>
      <c r="F642" t="inlineStr">
        <is>
          <t>Cargo</t>
        </is>
      </c>
      <c r="G642" t="inlineStr">
        <is>
          <t>83546985072-0</t>
        </is>
      </c>
      <c r="J642" t="inlineStr">
        <is>
          <t>2022/12</t>
        </is>
      </c>
    </row>
    <row r="643">
      <c r="B643" s="2" t="inlineStr">
        <is>
          <t>D0C8D3E3DA7B</t>
        </is>
      </c>
      <c r="D643" s="68" t="inlineStr">
        <is>
          <t>PR2206-316</t>
        </is>
      </c>
      <c r="E643" t="inlineStr">
        <is>
          <t>HVLE</t>
        </is>
      </c>
      <c r="F643" t="inlineStr">
        <is>
          <t>Cargo</t>
        </is>
      </c>
      <c r="G643" t="inlineStr">
        <is>
          <t>83546985012-6</t>
        </is>
      </c>
      <c r="J643" t="inlineStr">
        <is>
          <t>2022/12</t>
        </is>
      </c>
    </row>
    <row r="644">
      <c r="B644" s="2" t="inlineStr">
        <is>
          <t>F1BBF552CD6F</t>
        </is>
      </c>
      <c r="D644" s="68" t="inlineStr">
        <is>
          <t>PR2206-512</t>
        </is>
      </c>
      <c r="E644" t="inlineStr">
        <is>
          <t>HVLE</t>
        </is>
      </c>
      <c r="F644" t="inlineStr">
        <is>
          <t>Cargo</t>
        </is>
      </c>
      <c r="G644" t="inlineStr">
        <is>
          <t>83546985095-1</t>
        </is>
      </c>
      <c r="J644" t="inlineStr">
        <is>
          <t>2022/12</t>
        </is>
      </c>
    </row>
    <row r="645">
      <c r="B645" s="2" t="inlineStr">
        <is>
          <t>D410486BAD7F</t>
        </is>
      </c>
      <c r="D645" s="68" t="inlineStr">
        <is>
          <t>PR2201-060</t>
        </is>
      </c>
      <c r="E645" t="inlineStr">
        <is>
          <t>HVLE</t>
        </is>
      </c>
      <c r="F645" t="inlineStr">
        <is>
          <t>Cargo</t>
        </is>
      </c>
      <c r="G645" t="inlineStr">
        <is>
          <t>83546985015-9</t>
        </is>
      </c>
      <c r="J645" t="inlineStr">
        <is>
          <t>2022/12</t>
        </is>
      </c>
    </row>
    <row r="646">
      <c r="B646" s="2" t="inlineStr">
        <is>
          <t>E0EF2EE16C0E</t>
        </is>
      </c>
      <c r="D646" s="68" t="inlineStr">
        <is>
          <t>PR2206-434</t>
        </is>
      </c>
      <c r="E646" t="inlineStr">
        <is>
          <t>HVLE</t>
        </is>
      </c>
      <c r="F646" t="inlineStr">
        <is>
          <t>Cargo</t>
        </is>
      </c>
      <c r="G646" t="inlineStr">
        <is>
          <t>83546985085-2</t>
        </is>
      </c>
      <c r="J646" t="inlineStr">
        <is>
          <t>2022/12</t>
        </is>
      </c>
    </row>
    <row r="647">
      <c r="B647" s="2" t="inlineStr">
        <is>
          <t>E6E5066E25EF</t>
        </is>
      </c>
      <c r="D647" s="68" t="inlineStr">
        <is>
          <t>PR2206-319</t>
        </is>
      </c>
      <c r="E647" t="inlineStr">
        <is>
          <t>HVLE</t>
        </is>
      </c>
      <c r="F647" t="inlineStr">
        <is>
          <t>Cargo</t>
        </is>
      </c>
      <c r="G647" t="inlineStr">
        <is>
          <t>83546985085-2</t>
        </is>
      </c>
      <c r="J647" t="inlineStr">
        <is>
          <t>2022/12</t>
        </is>
      </c>
    </row>
    <row r="648">
      <c r="B648" s="2" t="inlineStr">
        <is>
          <t>D15E9ECB3DFB</t>
        </is>
      </c>
      <c r="D648" s="68" t="inlineStr">
        <is>
          <t>PR2206-299</t>
        </is>
      </c>
      <c r="E648" t="inlineStr">
        <is>
          <t>HVLE</t>
        </is>
      </c>
      <c r="F648" t="inlineStr">
        <is>
          <t>Cargo</t>
        </is>
      </c>
      <c r="G648" t="inlineStr">
        <is>
          <t>83546985030-8</t>
        </is>
      </c>
      <c r="J648" t="inlineStr">
        <is>
          <t>2022/12</t>
        </is>
      </c>
    </row>
    <row r="649">
      <c r="B649" s="2" t="inlineStr">
        <is>
          <t>F0B63E824B7D</t>
        </is>
      </c>
      <c r="D649" s="68" t="inlineStr">
        <is>
          <t>PR2206-372</t>
        </is>
      </c>
      <c r="E649" t="inlineStr">
        <is>
          <t>HVLE</t>
        </is>
      </c>
      <c r="F649" t="inlineStr">
        <is>
          <t>Cargo</t>
        </is>
      </c>
      <c r="G649" t="inlineStr">
        <is>
          <t>83546985079-5</t>
        </is>
      </c>
      <c r="J649" t="inlineStr">
        <is>
          <t>2022/12</t>
        </is>
      </c>
    </row>
    <row r="650">
      <c r="B650" s="2" t="inlineStr">
        <is>
          <t>D31DF9FEFB1D</t>
        </is>
      </c>
      <c r="D650" s="68" t="inlineStr">
        <is>
          <t>PR2206-033</t>
        </is>
      </c>
      <c r="E650" t="inlineStr">
        <is>
          <t>HVLE</t>
        </is>
      </c>
      <c r="F650" t="inlineStr">
        <is>
          <t>Cargo</t>
        </is>
      </c>
      <c r="G650" t="inlineStr">
        <is>
          <t>83546985065-4</t>
        </is>
      </c>
      <c r="J650" t="inlineStr">
        <is>
          <t>2022/12</t>
        </is>
      </c>
    </row>
    <row r="651">
      <c r="B651" s="2" t="inlineStr">
        <is>
          <t>EE5BC5B431C8</t>
        </is>
      </c>
      <c r="D651" s="68" t="inlineStr">
        <is>
          <t>PR2206-365</t>
        </is>
      </c>
      <c r="E651" t="inlineStr">
        <is>
          <t>HVLE</t>
        </is>
      </c>
      <c r="F651" t="inlineStr">
        <is>
          <t>Cargo</t>
        </is>
      </c>
      <c r="G651" t="inlineStr">
        <is>
          <t>83546985095-1</t>
        </is>
      </c>
      <c r="J651" t="inlineStr">
        <is>
          <t>2022/12</t>
        </is>
      </c>
    </row>
    <row r="652">
      <c r="B652" s="2" t="inlineStr">
        <is>
          <t>F79883DA7F5D</t>
        </is>
      </c>
      <c r="D652" s="68" t="inlineStr">
        <is>
          <t>PR2206-321</t>
        </is>
      </c>
      <c r="E652" t="inlineStr">
        <is>
          <t>HVLE</t>
        </is>
      </c>
      <c r="F652" t="inlineStr">
        <is>
          <t>Cargo</t>
        </is>
      </c>
      <c r="G652" t="inlineStr">
        <is>
          <t>83546985095-1</t>
        </is>
      </c>
      <c r="J652" t="inlineStr">
        <is>
          <t>2022/12</t>
        </is>
      </c>
    </row>
    <row r="653">
      <c r="B653" s="2" t="inlineStr">
        <is>
          <t>C8D42C9F3D6D</t>
        </is>
      </c>
      <c r="D653" s="68" t="inlineStr">
        <is>
          <t>PR2206-021</t>
        </is>
      </c>
      <c r="E653" t="inlineStr">
        <is>
          <t>HVLE</t>
        </is>
      </c>
      <c r="F653" t="inlineStr">
        <is>
          <t>Cargo</t>
        </is>
      </c>
      <c r="G653" t="inlineStr">
        <is>
          <t>83546985065-4</t>
        </is>
      </c>
      <c r="J653" t="inlineStr">
        <is>
          <t>2022/12</t>
        </is>
      </c>
    </row>
    <row r="654">
      <c r="B654" s="2" t="inlineStr">
        <is>
          <t>FB3A7595763B</t>
        </is>
      </c>
      <c r="D654" s="68" t="inlineStr">
        <is>
          <t>PR2206-051</t>
        </is>
      </c>
      <c r="E654" t="inlineStr">
        <is>
          <t>HVLE</t>
        </is>
      </c>
      <c r="F654" t="inlineStr">
        <is>
          <t>Cargo</t>
        </is>
      </c>
      <c r="G654" t="inlineStr">
        <is>
          <t>83546985015-9</t>
        </is>
      </c>
      <c r="J654" t="inlineStr">
        <is>
          <t>2022/12</t>
        </is>
      </c>
    </row>
    <row r="655">
      <c r="B655" s="2" t="inlineStr">
        <is>
          <t>E2F3640796F0</t>
        </is>
      </c>
      <c r="D655" s="68" t="inlineStr">
        <is>
          <t>PR2206-433</t>
        </is>
      </c>
      <c r="E655" t="inlineStr">
        <is>
          <t>HVLE</t>
        </is>
      </c>
      <c r="F655" t="inlineStr">
        <is>
          <t>Cargo</t>
        </is>
      </c>
      <c r="G655" t="inlineStr">
        <is>
          <t>83546985065-4</t>
        </is>
      </c>
      <c r="J655" t="inlineStr">
        <is>
          <t>2022/12</t>
        </is>
      </c>
    </row>
    <row r="656">
      <c r="B656" s="2" t="inlineStr">
        <is>
          <t>D0B42C5BB7E5</t>
        </is>
      </c>
      <c r="D656" s="68" t="inlineStr">
        <is>
          <t>PR2206-040</t>
        </is>
      </c>
      <c r="E656" t="inlineStr">
        <is>
          <t>HVLE</t>
        </is>
      </c>
      <c r="F656" t="inlineStr">
        <is>
          <t>Cargo</t>
        </is>
      </c>
      <c r="G656" t="inlineStr">
        <is>
          <t>83546985015-9</t>
        </is>
      </c>
      <c r="J656" t="inlineStr">
        <is>
          <t>2022/12</t>
        </is>
      </c>
    </row>
    <row r="657">
      <c r="B657" s="2" t="inlineStr">
        <is>
          <t>D64512B90828</t>
        </is>
      </c>
      <c r="D657" s="68" t="inlineStr">
        <is>
          <t>PR2206-432</t>
        </is>
      </c>
      <c r="E657" t="inlineStr">
        <is>
          <t>HVLE</t>
        </is>
      </c>
      <c r="F657" t="inlineStr">
        <is>
          <t>Cargo</t>
        </is>
      </c>
      <c r="G657" t="inlineStr">
        <is>
          <t>83546985065-4</t>
        </is>
      </c>
      <c r="J657" t="inlineStr">
        <is>
          <t>2022/12</t>
        </is>
      </c>
    </row>
    <row r="658">
      <c r="B658" s="2" t="inlineStr">
        <is>
          <t>D6374B77CCA8</t>
        </is>
      </c>
      <c r="D658" s="68" t="inlineStr">
        <is>
          <t>PR2206-509</t>
        </is>
      </c>
      <c r="E658" t="inlineStr">
        <is>
          <t>HVLE</t>
        </is>
      </c>
      <c r="F658" t="inlineStr">
        <is>
          <t>Cargo</t>
        </is>
      </c>
      <c r="G658" t="inlineStr">
        <is>
          <t>83546985065-4</t>
        </is>
      </c>
      <c r="J658" t="inlineStr">
        <is>
          <t>2022/12</t>
        </is>
      </c>
    </row>
    <row r="659">
      <c r="B659" s="2" t="inlineStr">
        <is>
          <t>F724EE3CE4DB</t>
        </is>
      </c>
      <c r="D659" s="68" t="inlineStr">
        <is>
          <t>PR2206-014</t>
        </is>
      </c>
      <c r="E659" t="inlineStr">
        <is>
          <t>HVLE</t>
        </is>
      </c>
      <c r="F659" t="inlineStr">
        <is>
          <t>Cargo</t>
        </is>
      </c>
      <c r="G659" t="inlineStr">
        <is>
          <t>83546985065-4</t>
        </is>
      </c>
      <c r="J659" t="inlineStr">
        <is>
          <t>2022/12</t>
        </is>
      </c>
    </row>
    <row r="660">
      <c r="B660" s="2" t="inlineStr">
        <is>
          <t>DEC219DE1EE2</t>
        </is>
      </c>
      <c r="D660" s="68" t="inlineStr">
        <is>
          <t>PR2206-355</t>
        </is>
      </c>
      <c r="E660" t="inlineStr">
        <is>
          <t>HVLE</t>
        </is>
      </c>
      <c r="F660" t="inlineStr">
        <is>
          <t>Cargo</t>
        </is>
      </c>
      <c r="G660" t="inlineStr">
        <is>
          <t>83546985030-8</t>
        </is>
      </c>
      <c r="J660" t="inlineStr">
        <is>
          <t>2022/12</t>
        </is>
      </c>
    </row>
    <row r="661">
      <c r="B661" s="2" t="inlineStr">
        <is>
          <t>C7A7C5AF5EED</t>
        </is>
      </c>
      <c r="D661" s="68" t="inlineStr">
        <is>
          <t>PR2206-102</t>
        </is>
      </c>
      <c r="E661" t="inlineStr">
        <is>
          <t>HVLE</t>
        </is>
      </c>
      <c r="F661" t="inlineStr">
        <is>
          <t>Cargo</t>
        </is>
      </c>
      <c r="G661" t="inlineStr">
        <is>
          <t>83546985065-4</t>
        </is>
      </c>
      <c r="J661" t="inlineStr">
        <is>
          <t>2022/12</t>
        </is>
      </c>
    </row>
    <row r="662">
      <c r="B662" s="2" t="inlineStr">
        <is>
          <t>DE3E390C3FAA</t>
        </is>
      </c>
      <c r="D662" s="68" t="inlineStr">
        <is>
          <t>PR2206-026</t>
        </is>
      </c>
      <c r="E662" t="inlineStr">
        <is>
          <t>HVLE</t>
        </is>
      </c>
      <c r="F662" t="inlineStr">
        <is>
          <t>Cargo</t>
        </is>
      </c>
      <c r="G662" t="inlineStr">
        <is>
          <t>83546985095-1</t>
        </is>
      </c>
      <c r="J662" t="inlineStr">
        <is>
          <t>2022/12</t>
        </is>
      </c>
    </row>
    <row r="663">
      <c r="B663" s="2" t="inlineStr">
        <is>
          <t>F79A51E25181</t>
        </is>
      </c>
      <c r="D663" s="68" t="inlineStr">
        <is>
          <t>PR2206-510</t>
        </is>
      </c>
      <c r="E663" t="inlineStr">
        <is>
          <t>HVLE</t>
        </is>
      </c>
      <c r="F663" t="inlineStr">
        <is>
          <t>Cargo</t>
        </is>
      </c>
      <c r="G663" t="inlineStr">
        <is>
          <t>83546985065-4</t>
        </is>
      </c>
      <c r="J663" t="inlineStr">
        <is>
          <t>2022/12</t>
        </is>
      </c>
    </row>
    <row r="664">
      <c r="B664" s="2" t="inlineStr">
        <is>
          <t>E07CF769F984</t>
        </is>
      </c>
      <c r="D664" s="68" t="inlineStr">
        <is>
          <t>PR2206-295</t>
        </is>
      </c>
      <c r="E664" t="inlineStr">
        <is>
          <t>HVLE</t>
        </is>
      </c>
      <c r="F664" t="inlineStr">
        <is>
          <t>Cargo</t>
        </is>
      </c>
      <c r="G664" t="inlineStr">
        <is>
          <t>83546985095-1</t>
        </is>
      </c>
      <c r="J664" t="inlineStr">
        <is>
          <t>2022/12</t>
        </is>
      </c>
    </row>
    <row r="665">
      <c r="B665" s="2" t="inlineStr">
        <is>
          <t>C189D25762DB</t>
        </is>
      </c>
      <c r="D665" s="68" t="inlineStr">
        <is>
          <t>PR2206-514</t>
        </is>
      </c>
      <c r="E665" t="inlineStr">
        <is>
          <t>HVLE</t>
        </is>
      </c>
      <c r="F665" t="inlineStr">
        <is>
          <t>Cargo</t>
        </is>
      </c>
      <c r="G665" t="inlineStr">
        <is>
          <t>83546985015-9</t>
        </is>
      </c>
      <c r="J665" t="inlineStr">
        <is>
          <t>2022/12</t>
        </is>
      </c>
    </row>
    <row r="666">
      <c r="B666" s="2" t="inlineStr">
        <is>
          <t>CAC8C6C73D63</t>
        </is>
      </c>
      <c r="D666" t="inlineStr">
        <is>
          <t>PR2201-044</t>
        </is>
      </c>
      <c r="E666" t="inlineStr">
        <is>
          <t>HUPAC</t>
        </is>
      </c>
      <c r="F666" t="inlineStr">
        <is>
          <t>Cargo</t>
        </is>
      </c>
      <c r="G666" t="inlineStr">
        <is>
          <t>replacement</t>
        </is>
      </c>
    </row>
    <row r="667">
      <c r="B667" s="2" t="inlineStr">
        <is>
          <t>F6223AB6E18C</t>
        </is>
      </c>
      <c r="D667" t="inlineStr">
        <is>
          <t>PR2201-038</t>
        </is>
      </c>
      <c r="E667" t="inlineStr">
        <is>
          <t>HUPAC</t>
        </is>
      </c>
      <c r="F667" t="inlineStr">
        <is>
          <t>Cargo</t>
        </is>
      </c>
      <c r="G667" t="inlineStr">
        <is>
          <t>replacement</t>
        </is>
      </c>
    </row>
    <row r="668">
      <c r="B668" s="2" t="inlineStr">
        <is>
          <t>C88F974B61D4</t>
        </is>
      </c>
      <c r="D668" t="inlineStr">
        <is>
          <t>PR2201-043</t>
        </is>
      </c>
      <c r="E668" t="inlineStr">
        <is>
          <t>HUPAC</t>
        </is>
      </c>
      <c r="F668" t="inlineStr">
        <is>
          <t>Cargo</t>
        </is>
      </c>
      <c r="G668" t="inlineStr">
        <is>
          <t>replacement</t>
        </is>
      </c>
    </row>
    <row r="669">
      <c r="B669" s="2" t="inlineStr">
        <is>
          <t>D763A181CFA3</t>
        </is>
      </c>
      <c r="D669" t="inlineStr">
        <is>
          <t>PR2203-450</t>
        </is>
      </c>
      <c r="E669" t="inlineStr">
        <is>
          <t>RENFE</t>
        </is>
      </c>
      <c r="F669" t="inlineStr">
        <is>
          <t>Magnets</t>
        </is>
      </c>
      <c r="J669" t="inlineStr">
        <is>
          <t>22/11/22</t>
        </is>
      </c>
    </row>
    <row r="670">
      <c r="B670" s="2" t="inlineStr">
        <is>
          <t>C355011AB729</t>
        </is>
      </c>
      <c r="D670" t="inlineStr">
        <is>
          <t>PR2203-082</t>
        </is>
      </c>
      <c r="E670" t="inlineStr">
        <is>
          <t>RENFE</t>
        </is>
      </c>
      <c r="F670" t="inlineStr">
        <is>
          <t>Magnets</t>
        </is>
      </c>
      <c r="J670" t="inlineStr">
        <is>
          <t>22/11/22</t>
        </is>
      </c>
    </row>
    <row r="671">
      <c r="B671" s="2" t="inlineStr">
        <is>
          <t>E1E81E1EA6A2</t>
        </is>
      </c>
      <c r="D671" t="inlineStr">
        <is>
          <t>PR2201-037</t>
        </is>
      </c>
      <c r="E671" t="inlineStr">
        <is>
          <t>RENFE</t>
        </is>
      </c>
      <c r="F671" t="inlineStr">
        <is>
          <t>Magnets</t>
        </is>
      </c>
      <c r="G671" t="inlineStr">
        <is>
          <t>LOST</t>
        </is>
      </c>
      <c r="J671" t="inlineStr">
        <is>
          <t>22/11/22</t>
        </is>
      </c>
    </row>
    <row r="672">
      <c r="B672" s="2" t="inlineStr">
        <is>
          <t>FA0C9D047EFD</t>
        </is>
      </c>
      <c r="D672" t="inlineStr">
        <is>
          <t>PR2203-002</t>
        </is>
      </c>
      <c r="E672" t="inlineStr">
        <is>
          <t>RENFE</t>
        </is>
      </c>
      <c r="F672" t="inlineStr">
        <is>
          <t>Magnets</t>
        </is>
      </c>
      <c r="J672" t="inlineStr">
        <is>
          <t>22/11/22</t>
        </is>
      </c>
    </row>
    <row r="673">
      <c r="B673" s="2" t="inlineStr">
        <is>
          <t>C633CAAA0F10</t>
        </is>
      </c>
      <c r="D673" t="inlineStr">
        <is>
          <t>PR2203-106</t>
        </is>
      </c>
      <c r="E673" t="inlineStr">
        <is>
          <t>RENFE</t>
        </is>
      </c>
      <c r="F673" t="inlineStr">
        <is>
          <t>Magnets</t>
        </is>
      </c>
      <c r="J673" t="inlineStr">
        <is>
          <t>22/11/22</t>
        </is>
      </c>
    </row>
    <row r="674">
      <c r="B674" s="2" t="inlineStr">
        <is>
          <t>D4F251DE5D41</t>
        </is>
      </c>
      <c r="D674" t="inlineStr">
        <is>
          <t>PR2201-050</t>
        </is>
      </c>
      <c r="E674" t="inlineStr">
        <is>
          <t>RENFE</t>
        </is>
      </c>
      <c r="F674" t="inlineStr">
        <is>
          <t>Magnets</t>
        </is>
      </c>
      <c r="J674" t="inlineStr">
        <is>
          <t>22/11/22</t>
        </is>
      </c>
    </row>
    <row r="675">
      <c r="B675" s="2" t="inlineStr">
        <is>
          <t>FF0120D944AD</t>
        </is>
      </c>
      <c r="D675" t="inlineStr">
        <is>
          <t>PR2206-421</t>
        </is>
      </c>
      <c r="E675" t="inlineStr">
        <is>
          <t>RENFE</t>
        </is>
      </c>
      <c r="F675" t="inlineStr">
        <is>
          <t>Magnets</t>
        </is>
      </c>
      <c r="J675" t="inlineStr">
        <is>
          <t>22/11/22</t>
        </is>
      </c>
    </row>
    <row r="676">
      <c r="B676" s="2" t="inlineStr">
        <is>
          <t>FC9A930AEFBC</t>
        </is>
      </c>
      <c r="D676" t="inlineStr">
        <is>
          <t>PR2203-020</t>
        </is>
      </c>
      <c r="E676" t="inlineStr">
        <is>
          <t>RENFE</t>
        </is>
      </c>
      <c r="F676" t="inlineStr">
        <is>
          <t>Magnets</t>
        </is>
      </c>
      <c r="J676" t="inlineStr">
        <is>
          <t>22/11/22</t>
        </is>
      </c>
    </row>
    <row r="677">
      <c r="B677" s="2" t="inlineStr">
        <is>
          <t>CF52A80A5A98</t>
        </is>
      </c>
      <c r="D677" s="25" t="inlineStr">
        <is>
          <t>PR2203-007</t>
        </is>
      </c>
      <c r="E677" t="inlineStr">
        <is>
          <t>TRANSFESA</t>
        </is>
      </c>
      <c r="F677" t="inlineStr">
        <is>
          <t>Cargo</t>
        </is>
      </c>
      <c r="G677" t="inlineStr">
        <is>
          <t>nesumontuotas</t>
        </is>
      </c>
      <c r="J677" s="56" t="n">
        <v>44886</v>
      </c>
    </row>
    <row r="678">
      <c r="B678" s="2" t="inlineStr">
        <is>
          <t>F9E66364936A</t>
        </is>
      </c>
      <c r="D678" t="inlineStr">
        <is>
          <t>PR2203-395</t>
        </is>
      </c>
      <c r="E678" t="inlineStr">
        <is>
          <t>TRANSFESA</t>
        </is>
      </c>
      <c r="F678" t="inlineStr">
        <is>
          <t>Cargo</t>
        </is>
      </c>
      <c r="J678" s="56" t="n">
        <v>44886</v>
      </c>
    </row>
    <row r="679">
      <c r="B679" s="2" t="inlineStr">
        <is>
          <t>D5D761256088</t>
        </is>
      </c>
      <c r="D679" t="inlineStr">
        <is>
          <t>PR2203-079</t>
        </is>
      </c>
      <c r="E679" t="inlineStr">
        <is>
          <t>TRANSFESA</t>
        </is>
      </c>
      <c r="F679" t="inlineStr">
        <is>
          <t>Cargo</t>
        </is>
      </c>
      <c r="J679" s="56" t="n">
        <v>44886</v>
      </c>
    </row>
    <row r="680">
      <c r="B680" s="2" t="inlineStr">
        <is>
          <t>C22E7345D4FA</t>
        </is>
      </c>
      <c r="D680" t="inlineStr">
        <is>
          <t>PR2203-276</t>
        </is>
      </c>
      <c r="E680" t="inlineStr">
        <is>
          <t>TRANSFESA</t>
        </is>
      </c>
      <c r="F680" t="inlineStr">
        <is>
          <t>Cargo</t>
        </is>
      </c>
      <c r="J680" s="56" t="n">
        <v>44886</v>
      </c>
    </row>
    <row r="681">
      <c r="B681" s="2" t="inlineStr">
        <is>
          <t>FAB4CDE0DF08</t>
        </is>
      </c>
      <c r="D681" t="inlineStr">
        <is>
          <t>PR2201-045</t>
        </is>
      </c>
      <c r="E681" t="inlineStr">
        <is>
          <t>TRANSFESA</t>
        </is>
      </c>
      <c r="F681" t="inlineStr">
        <is>
          <t>Cargo</t>
        </is>
      </c>
      <c r="J681" s="56" t="n">
        <v>44886</v>
      </c>
    </row>
    <row r="682">
      <c r="B682" s="2" t="inlineStr">
        <is>
          <t>FAC7B697FCB4</t>
        </is>
      </c>
      <c r="D682" t="inlineStr">
        <is>
          <t>PR2203-282</t>
        </is>
      </c>
      <c r="E682" t="inlineStr">
        <is>
          <t>TRANSFESA</t>
        </is>
      </c>
      <c r="F682" t="inlineStr">
        <is>
          <t>Cargo</t>
        </is>
      </c>
      <c r="J682" s="56" t="n">
        <v>44886</v>
      </c>
    </row>
    <row r="683">
      <c r="B683" s="2" t="inlineStr">
        <is>
          <t>CE100B87A353</t>
        </is>
      </c>
      <c r="D683" s="25" t="inlineStr">
        <is>
          <t>PR2203-091</t>
        </is>
      </c>
      <c r="E683" t="inlineStr">
        <is>
          <t>TRANSFESA</t>
        </is>
      </c>
      <c r="F683" t="inlineStr">
        <is>
          <t>Cargo</t>
        </is>
      </c>
      <c r="G683" t="inlineStr">
        <is>
          <t>nesumontuotas</t>
        </is>
      </c>
      <c r="J683" s="56" t="n">
        <v>44886</v>
      </c>
    </row>
    <row r="684">
      <c r="B684" s="2" t="inlineStr">
        <is>
          <t>E147CCC14691</t>
        </is>
      </c>
      <c r="D684" t="inlineStr">
        <is>
          <t>PR2203-110</t>
        </is>
      </c>
      <c r="E684" t="inlineStr">
        <is>
          <t>TRANSFESA</t>
        </is>
      </c>
      <c r="F684" t="inlineStr">
        <is>
          <t>Cargo</t>
        </is>
      </c>
      <c r="J684" s="56" t="n">
        <v>44886</v>
      </c>
    </row>
    <row r="685">
      <c r="B685" s="2" t="inlineStr">
        <is>
          <t>F56A2CD0F826</t>
        </is>
      </c>
      <c r="D685" t="inlineStr">
        <is>
          <t>PR2203-351</t>
        </is>
      </c>
      <c r="E685" t="inlineStr">
        <is>
          <t>TRANSFESA</t>
        </is>
      </c>
      <c r="F685" t="inlineStr">
        <is>
          <t>Cargo</t>
        </is>
      </c>
      <c r="J685" s="56" t="n">
        <v>44886</v>
      </c>
    </row>
    <row r="686">
      <c r="B686" s="2" t="inlineStr">
        <is>
          <t>F4F498BB0758</t>
        </is>
      </c>
      <c r="D686" t="inlineStr">
        <is>
          <t>PR2201-005</t>
        </is>
      </c>
      <c r="E686" t="inlineStr">
        <is>
          <t>TRANSFESA</t>
        </is>
      </c>
      <c r="F686" t="inlineStr">
        <is>
          <t>Cargo</t>
        </is>
      </c>
      <c r="J686" s="56" t="n">
        <v>44886</v>
      </c>
    </row>
    <row r="687">
      <c r="B687" s="2" t="inlineStr">
        <is>
          <t>E7EB61701971</t>
        </is>
      </c>
      <c r="D687" s="25" t="inlineStr">
        <is>
          <t>PR2203-236</t>
        </is>
      </c>
      <c r="E687" t="inlineStr">
        <is>
          <t>TRANSFESA</t>
        </is>
      </c>
      <c r="F687" t="inlineStr">
        <is>
          <t>Cargo</t>
        </is>
      </c>
      <c r="G687" t="inlineStr">
        <is>
          <t>nesumontuotas</t>
        </is>
      </c>
      <c r="J687" s="56" t="n">
        <v>44886</v>
      </c>
    </row>
    <row r="688">
      <c r="B688" s="2" t="inlineStr">
        <is>
          <t>F7DEA20C8D0D</t>
        </is>
      </c>
      <c r="D688" s="25" t="inlineStr">
        <is>
          <t>PR2203-449</t>
        </is>
      </c>
      <c r="E688" t="inlineStr">
        <is>
          <t>TRANSFESA</t>
        </is>
      </c>
      <c r="F688" t="inlineStr">
        <is>
          <t>Cargo</t>
        </is>
      </c>
      <c r="G688" t="inlineStr">
        <is>
          <t>nesumontuotas</t>
        </is>
      </c>
      <c r="J688" s="56" t="n">
        <v>44886</v>
      </c>
    </row>
    <row r="689">
      <c r="B689" s="2" t="inlineStr">
        <is>
          <t>ED8B88EEED0A</t>
        </is>
      </c>
      <c r="D689" t="inlineStr">
        <is>
          <t>PR2203-083</t>
        </is>
      </c>
      <c r="E689" t="inlineStr">
        <is>
          <t>TRANSFESA</t>
        </is>
      </c>
      <c r="F689" t="inlineStr">
        <is>
          <t>Cargo</t>
        </is>
      </c>
      <c r="J689" s="56" t="n">
        <v>44886</v>
      </c>
    </row>
    <row r="690">
      <c r="B690" s="2" t="inlineStr">
        <is>
          <t>F6BAAA7E995F</t>
        </is>
      </c>
      <c r="D690" t="inlineStr">
        <is>
          <t>PR2203-447</t>
        </is>
      </c>
      <c r="E690" t="inlineStr">
        <is>
          <t>TRANSFESA</t>
        </is>
      </c>
      <c r="F690" t="inlineStr">
        <is>
          <t>Cargo</t>
        </is>
      </c>
      <c r="J690" s="56" t="n">
        <v>44886</v>
      </c>
    </row>
    <row r="691">
      <c r="B691" s="2" t="inlineStr">
        <is>
          <t>C46F7E0DD40C</t>
        </is>
      </c>
      <c r="D691" t="inlineStr">
        <is>
          <t>PR2203-009</t>
        </is>
      </c>
      <c r="E691" t="inlineStr">
        <is>
          <t>TRANSFESA</t>
        </is>
      </c>
      <c r="F691" t="inlineStr">
        <is>
          <t>Cargo</t>
        </is>
      </c>
      <c r="J691" s="56" t="n">
        <v>44886</v>
      </c>
    </row>
    <row r="692">
      <c r="B692" s="2" t="inlineStr">
        <is>
          <t>DC12AD2128EA</t>
        </is>
      </c>
      <c r="D692" t="inlineStr">
        <is>
          <t>PR2206-568</t>
        </is>
      </c>
      <c r="E692" t="inlineStr">
        <is>
          <t>TRANSFESA</t>
        </is>
      </c>
      <c r="F692" t="inlineStr">
        <is>
          <t>Cargo</t>
        </is>
      </c>
      <c r="J692" s="56" t="n">
        <v>44886</v>
      </c>
    </row>
    <row r="693">
      <c r="B693" s="2" t="inlineStr">
        <is>
          <t>CB7232F006AE</t>
        </is>
      </c>
      <c r="D693" t="inlineStr">
        <is>
          <t>PR2203-480</t>
        </is>
      </c>
      <c r="E693" t="inlineStr">
        <is>
          <t>RAILIZE</t>
        </is>
      </c>
      <c r="F693" t="inlineStr">
        <is>
          <t>Magnets</t>
        </is>
      </c>
    </row>
    <row r="694">
      <c r="B694" s="2" t="inlineStr">
        <is>
          <t>F0EC7E291311</t>
        </is>
      </c>
      <c r="D694" t="inlineStr">
        <is>
          <t>PR2203-402</t>
        </is>
      </c>
      <c r="E694" t="inlineStr">
        <is>
          <t>RAILIZE</t>
        </is>
      </c>
      <c r="F694" t="inlineStr">
        <is>
          <t>Magnets</t>
        </is>
      </c>
    </row>
    <row r="695">
      <c r="B695" s="2" t="inlineStr">
        <is>
          <t>C1513AC0609D</t>
        </is>
      </c>
      <c r="D695" t="inlineStr">
        <is>
          <t>PR2201-040</t>
        </is>
      </c>
      <c r="E695" t="inlineStr">
        <is>
          <t>RAILIZE</t>
        </is>
      </c>
      <c r="F695" t="inlineStr">
        <is>
          <t>Magnets</t>
        </is>
      </c>
    </row>
    <row r="696">
      <c r="B696" s="2" t="inlineStr">
        <is>
          <t>D5C7E14D2264</t>
        </is>
      </c>
      <c r="D696" t="inlineStr">
        <is>
          <t>PR2203-472</t>
        </is>
      </c>
      <c r="E696" t="inlineStr">
        <is>
          <t>RAILIZE</t>
        </is>
      </c>
      <c r="F696" t="inlineStr">
        <is>
          <t>Magnets</t>
        </is>
      </c>
    </row>
    <row r="697">
      <c r="B697" s="2" t="inlineStr">
        <is>
          <t>D1FA1E9C3AF5</t>
        </is>
      </c>
      <c r="D697" t="inlineStr">
        <is>
          <t>PR2203-100</t>
        </is>
      </c>
      <c r="E697" t="inlineStr">
        <is>
          <t>RAILIZE</t>
        </is>
      </c>
      <c r="F697" t="inlineStr">
        <is>
          <t>Magnets</t>
        </is>
      </c>
    </row>
    <row r="698">
      <c r="B698" s="2" t="inlineStr">
        <is>
          <t>FEBC7C3544C8</t>
        </is>
      </c>
      <c r="D698" t="inlineStr">
        <is>
          <t>PR2203-235</t>
        </is>
      </c>
      <c r="E698" t="inlineStr">
        <is>
          <t>RAILIZE</t>
        </is>
      </c>
      <c r="F698" t="inlineStr">
        <is>
          <t>Magnets</t>
        </is>
      </c>
    </row>
    <row r="699">
      <c r="B699" s="2" t="inlineStr">
        <is>
          <t>DE72CAB26DC1</t>
        </is>
      </c>
      <c r="D699" t="inlineStr">
        <is>
          <t>PR2203-097</t>
        </is>
      </c>
      <c r="E699" t="inlineStr">
        <is>
          <t>RAILIZE</t>
        </is>
      </c>
      <c r="F699" t="inlineStr">
        <is>
          <t>Magnets</t>
        </is>
      </c>
    </row>
    <row r="700">
      <c r="B700" s="2" t="inlineStr">
        <is>
          <t>D213BDF7CDCD</t>
        </is>
      </c>
      <c r="D700" t="inlineStr">
        <is>
          <t>PR2203-199</t>
        </is>
      </c>
      <c r="E700" t="inlineStr">
        <is>
          <t>RAILIZE</t>
        </is>
      </c>
      <c r="F700" t="inlineStr">
        <is>
          <t>Magnets</t>
        </is>
      </c>
    </row>
    <row r="701">
      <c r="B701" s="2" t="inlineStr">
        <is>
          <t>FF2832DED225</t>
        </is>
      </c>
      <c r="D701" t="inlineStr">
        <is>
          <t>PR2203-109</t>
        </is>
      </c>
      <c r="E701" t="inlineStr">
        <is>
          <t>RAILIZE</t>
        </is>
      </c>
      <c r="F701" t="inlineStr">
        <is>
          <t>Magnets</t>
        </is>
      </c>
    </row>
    <row r="702">
      <c r="B702" s="2" t="inlineStr">
        <is>
          <t>F37BC777B45B</t>
        </is>
      </c>
      <c r="D702" t="inlineStr">
        <is>
          <t>PR2203-373</t>
        </is>
      </c>
      <c r="E702" t="inlineStr">
        <is>
          <t>RAILIZE</t>
        </is>
      </c>
      <c r="F702" t="inlineStr">
        <is>
          <t>Magnets</t>
        </is>
      </c>
    </row>
    <row r="703">
      <c r="B703" s="2" t="inlineStr">
        <is>
          <t>DFD40BCC559F</t>
        </is>
      </c>
      <c r="D703" t="inlineStr">
        <is>
          <t>PR2203-347</t>
        </is>
      </c>
      <c r="E703" t="inlineStr">
        <is>
          <t>RAILIZE</t>
        </is>
      </c>
      <c r="F703" t="inlineStr">
        <is>
          <t>Magnets</t>
        </is>
      </c>
    </row>
    <row r="704">
      <c r="B704" s="2" t="inlineStr">
        <is>
          <t>F002E4BC2FB8</t>
        </is>
      </c>
      <c r="D704" t="inlineStr">
        <is>
          <t>PR2203-283</t>
        </is>
      </c>
      <c r="E704" t="inlineStr">
        <is>
          <t>RAILIZE</t>
        </is>
      </c>
      <c r="F704" t="inlineStr">
        <is>
          <t>Magnets</t>
        </is>
      </c>
    </row>
    <row r="705">
      <c r="B705" s="2" t="inlineStr">
        <is>
          <t>F84588EA58AC</t>
        </is>
      </c>
      <c r="D705" t="inlineStr">
        <is>
          <t>PR2203-070</t>
        </is>
      </c>
      <c r="E705" t="inlineStr">
        <is>
          <t>RAILIZE</t>
        </is>
      </c>
      <c r="F705" t="inlineStr">
        <is>
          <t>Magnets</t>
        </is>
      </c>
    </row>
    <row r="706">
      <c r="B706" s="2" t="inlineStr">
        <is>
          <t>F07ADA5A017A</t>
        </is>
      </c>
      <c r="D706" t="inlineStr">
        <is>
          <t>PR2203-111</t>
        </is>
      </c>
      <c r="E706" t="inlineStr">
        <is>
          <t>RAILIZE</t>
        </is>
      </c>
      <c r="F706" t="inlineStr">
        <is>
          <t>Magnets</t>
        </is>
      </c>
    </row>
    <row r="707">
      <c r="B707" s="2" t="inlineStr">
        <is>
          <t>E53CB6690EDC</t>
        </is>
      </c>
      <c r="D707" t="inlineStr">
        <is>
          <t>PR2201-059</t>
        </is>
      </c>
      <c r="E707" t="inlineStr">
        <is>
          <t>RAILIZE</t>
        </is>
      </c>
      <c r="F707" t="inlineStr">
        <is>
          <t>Magnets</t>
        </is>
      </c>
    </row>
    <row r="708">
      <c r="B708" s="2" t="inlineStr">
        <is>
          <t>CF0B701ABFDC</t>
        </is>
      </c>
      <c r="D708" t="inlineStr">
        <is>
          <t>PR2203-342</t>
        </is>
      </c>
      <c r="E708" t="inlineStr">
        <is>
          <t>RAILIZE</t>
        </is>
      </c>
      <c r="F708" t="inlineStr">
        <is>
          <t>Magnets</t>
        </is>
      </c>
    </row>
    <row r="709">
      <c r="B709" s="2" t="inlineStr">
        <is>
          <t>CC3348B2F186</t>
        </is>
      </c>
      <c r="D709" t="inlineStr">
        <is>
          <t>PR2201-057</t>
        </is>
      </c>
      <c r="E709" t="inlineStr">
        <is>
          <t>RAILIZE</t>
        </is>
      </c>
      <c r="F709" t="inlineStr">
        <is>
          <t>Magnets</t>
        </is>
      </c>
    </row>
    <row r="710">
      <c r="B710" s="2" t="inlineStr">
        <is>
          <t>FFB472A07677</t>
        </is>
      </c>
      <c r="D710" t="inlineStr">
        <is>
          <t>PR2203-108</t>
        </is>
      </c>
      <c r="E710" t="inlineStr">
        <is>
          <t>RAILIZE</t>
        </is>
      </c>
      <c r="F710" t="inlineStr">
        <is>
          <t>Magnets</t>
        </is>
      </c>
    </row>
    <row r="711">
      <c r="B711" s="2" t="inlineStr">
        <is>
          <t>C990A40F23BC</t>
        </is>
      </c>
      <c r="D711" t="inlineStr">
        <is>
          <t>PR2203-015</t>
        </is>
      </c>
      <c r="E711" t="inlineStr">
        <is>
          <t>RAILIZE</t>
        </is>
      </c>
      <c r="F711" t="inlineStr">
        <is>
          <t>Magnets</t>
        </is>
      </c>
    </row>
    <row r="712">
      <c r="B712" s="2" t="inlineStr">
        <is>
          <t>C1517275A802</t>
        </is>
      </c>
      <c r="D712" t="inlineStr">
        <is>
          <t>PR2203-399</t>
        </is>
      </c>
      <c r="E712" t="inlineStr">
        <is>
          <t>RAILIZE</t>
        </is>
      </c>
      <c r="F712" t="inlineStr">
        <is>
          <t>Magnets</t>
        </is>
      </c>
    </row>
    <row r="713">
      <c r="B713" s="2" t="inlineStr">
        <is>
          <t>C4537B994B7F</t>
        </is>
      </c>
      <c r="D713" t="inlineStr">
        <is>
          <t>PR2203-017</t>
        </is>
      </c>
      <c r="E713" t="inlineStr">
        <is>
          <t>RAILIZE</t>
        </is>
      </c>
      <c r="F713" t="inlineStr">
        <is>
          <t>Magnets</t>
        </is>
      </c>
    </row>
    <row r="714">
      <c r="B714" s="2" t="inlineStr">
        <is>
          <t>F635FA43F3B8</t>
        </is>
      </c>
      <c r="D714" t="inlineStr">
        <is>
          <t>PR2203-105</t>
        </is>
      </c>
      <c r="E714" t="inlineStr">
        <is>
          <t>RAILIZE</t>
        </is>
      </c>
      <c r="F714" t="inlineStr">
        <is>
          <t>Magnets</t>
        </is>
      </c>
    </row>
    <row r="715">
      <c r="B715" s="2" t="inlineStr">
        <is>
          <t>DEE6479F39BD</t>
        </is>
      </c>
      <c r="D715" t="inlineStr">
        <is>
          <t>PR2203-412</t>
        </is>
      </c>
      <c r="E715" t="inlineStr">
        <is>
          <t>RAILIZE</t>
        </is>
      </c>
      <c r="F715" t="inlineStr">
        <is>
          <t>Magnets</t>
        </is>
      </c>
    </row>
    <row r="716">
      <c r="B716" s="2" t="inlineStr">
        <is>
          <t>DE26E17A6428</t>
        </is>
      </c>
      <c r="D716" t="inlineStr">
        <is>
          <t>null1</t>
        </is>
      </c>
      <c r="E716" t="inlineStr">
        <is>
          <t>RAILIZE</t>
        </is>
      </c>
      <c r="F716" t="inlineStr">
        <is>
          <t>Magnets</t>
        </is>
      </c>
    </row>
    <row r="717">
      <c r="B717" s="2" t="inlineStr">
        <is>
          <t>EF0712238601</t>
        </is>
      </c>
      <c r="D717" t="inlineStr">
        <is>
          <t>null2</t>
        </is>
      </c>
      <c r="E717" t="inlineStr">
        <is>
          <t>RAILIZE</t>
        </is>
      </c>
      <c r="F717" t="inlineStr">
        <is>
          <t>Magnets</t>
        </is>
      </c>
    </row>
    <row r="718">
      <c r="B718" s="2" t="inlineStr">
        <is>
          <t>FDCFA88D5A2E</t>
        </is>
      </c>
      <c r="D718" t="inlineStr">
        <is>
          <t>PR2203-003</t>
        </is>
      </c>
      <c r="E718" t="inlineStr">
        <is>
          <t>RAILIZE</t>
        </is>
      </c>
      <c r="F718" t="inlineStr">
        <is>
          <t>Magnets</t>
        </is>
      </c>
    </row>
    <row r="719">
      <c r="B719" s="2" t="inlineStr">
        <is>
          <t>EAA5C97BE999</t>
        </is>
      </c>
      <c r="D719" t="inlineStr">
        <is>
          <t>PR2203-365</t>
        </is>
      </c>
      <c r="E719" t="inlineStr">
        <is>
          <t>RAILIZE</t>
        </is>
      </c>
      <c r="F719" t="inlineStr">
        <is>
          <t>Magnets</t>
        </is>
      </c>
    </row>
    <row r="720">
      <c r="B720" s="2" t="inlineStr">
        <is>
          <t>DD81C38F6A6F</t>
        </is>
      </c>
      <c r="D720" t="inlineStr">
        <is>
          <t>PR2201-035</t>
        </is>
      </c>
      <c r="E720" t="inlineStr">
        <is>
          <t>RAILIZE</t>
        </is>
      </c>
      <c r="F720" t="inlineStr">
        <is>
          <t>Magnets</t>
        </is>
      </c>
    </row>
    <row r="721">
      <c r="B721" s="2" t="inlineStr">
        <is>
          <t>D2DE6FA9796A</t>
        </is>
      </c>
      <c r="D721" t="inlineStr">
        <is>
          <t>PR2203-453</t>
        </is>
      </c>
      <c r="E721" t="inlineStr">
        <is>
          <t>RAILIZE</t>
        </is>
      </c>
      <c r="F721" t="inlineStr">
        <is>
          <t>Magnets</t>
        </is>
      </c>
    </row>
    <row r="722">
      <c r="B722" s="2" t="inlineStr">
        <is>
          <t>EC2D1E08BD84</t>
        </is>
      </c>
      <c r="D722" t="inlineStr">
        <is>
          <t>PR2203-454</t>
        </is>
      </c>
      <c r="E722" t="inlineStr">
        <is>
          <t>RAILIZE</t>
        </is>
      </c>
      <c r="F722" t="inlineStr">
        <is>
          <t>Magnets</t>
        </is>
      </c>
    </row>
    <row r="723">
      <c r="B723" s="2" t="inlineStr">
        <is>
          <t>D063C571C19C</t>
        </is>
      </c>
      <c r="D723" t="inlineStr">
        <is>
          <t>PR2203-027</t>
        </is>
      </c>
      <c r="E723" t="inlineStr">
        <is>
          <t>RAILIZE</t>
        </is>
      </c>
      <c r="F723" t="inlineStr">
        <is>
          <t>Magnets</t>
        </is>
      </c>
    </row>
    <row r="724">
      <c r="B724" s="2" t="inlineStr">
        <is>
          <t>C5AB7EA65297</t>
        </is>
      </c>
      <c r="D724" t="inlineStr">
        <is>
          <t>PR2203-277</t>
        </is>
      </c>
      <c r="E724" t="inlineStr">
        <is>
          <t>RAILIZE</t>
        </is>
      </c>
      <c r="F724" t="inlineStr">
        <is>
          <t>Magnets</t>
        </is>
      </c>
    </row>
    <row r="725">
      <c r="B725" s="2" t="inlineStr">
        <is>
          <t>CC2B188F26D8</t>
        </is>
      </c>
      <c r="D725" s="65" t="inlineStr">
        <is>
          <t>PR2203-391</t>
        </is>
      </c>
      <c r="E725" t="inlineStr">
        <is>
          <t>MERCITALIA</t>
        </is>
      </c>
      <c r="F725" t="inlineStr">
        <is>
          <t>Cargo</t>
        </is>
      </c>
      <c r="G725" t="inlineStr">
        <is>
          <t>31833918084-2</t>
        </is>
      </c>
      <c r="J725" s="56" t="n">
        <v>44909</v>
      </c>
    </row>
    <row r="726">
      <c r="B726" s="2" t="inlineStr">
        <is>
          <t>F619D40B24B2</t>
        </is>
      </c>
      <c r="D726" s="65" t="inlineStr">
        <is>
          <t>PR2203-336</t>
        </is>
      </c>
      <c r="E726" t="inlineStr">
        <is>
          <t>MERCITALIA</t>
        </is>
      </c>
      <c r="F726" t="inlineStr">
        <is>
          <t>Cargo</t>
        </is>
      </c>
      <c r="G726" t="inlineStr">
        <is>
          <t>31834575297-2</t>
        </is>
      </c>
      <c r="J726" s="56" t="n">
        <v>44909</v>
      </c>
    </row>
    <row r="727">
      <c r="B727" s="2" t="inlineStr">
        <is>
          <t>CEEAC68BCAB0</t>
        </is>
      </c>
      <c r="D727" s="65" t="inlineStr">
        <is>
          <t>PR2203-375</t>
        </is>
      </c>
      <c r="E727" t="inlineStr">
        <is>
          <t>MERCITALIA</t>
        </is>
      </c>
      <c r="F727" t="inlineStr">
        <is>
          <t>Cargo</t>
        </is>
      </c>
      <c r="G727" t="inlineStr">
        <is>
          <t>33854668206-7</t>
        </is>
      </c>
      <c r="J727" s="56" t="n">
        <v>44909</v>
      </c>
    </row>
    <row r="728">
      <c r="B728" s="2" t="inlineStr">
        <is>
          <t>DE7F225E4C40</t>
        </is>
      </c>
      <c r="D728" s="65" t="inlineStr">
        <is>
          <t>PR2203-353</t>
        </is>
      </c>
      <c r="E728" t="inlineStr">
        <is>
          <t>MERCITALIA</t>
        </is>
      </c>
      <c r="F728" t="inlineStr">
        <is>
          <t>Cargo</t>
        </is>
      </c>
      <c r="G728" t="inlineStr">
        <is>
          <t>31833916501-7</t>
        </is>
      </c>
      <c r="J728" s="56" t="n">
        <v>44909</v>
      </c>
    </row>
    <row r="729">
      <c r="B729" s="2" t="inlineStr">
        <is>
          <t>FCBE5A8C2CE9</t>
        </is>
      </c>
      <c r="D729" s="65" t="inlineStr">
        <is>
          <t>PR2203-392</t>
        </is>
      </c>
      <c r="E729" t="inlineStr">
        <is>
          <t>MERCITALIA</t>
        </is>
      </c>
      <c r="F729" t="inlineStr">
        <is>
          <t>Cargo</t>
        </is>
      </c>
      <c r="G729" t="inlineStr">
        <is>
          <t>31833936025-3</t>
        </is>
      </c>
      <c r="J729" s="56" t="n">
        <v>44909</v>
      </c>
    </row>
    <row r="730">
      <c r="B730" s="2" t="inlineStr">
        <is>
          <t>C5148FD6BC61</t>
        </is>
      </c>
      <c r="D730" s="65" t="inlineStr">
        <is>
          <t>PR2203-279</t>
        </is>
      </c>
      <c r="E730" t="inlineStr">
        <is>
          <t>MERCITALIA</t>
        </is>
      </c>
      <c r="F730" t="inlineStr">
        <is>
          <t>Cargo</t>
        </is>
      </c>
      <c r="G730" t="inlineStr">
        <is>
          <t>31833916501-7</t>
        </is>
      </c>
      <c r="J730" s="56" t="n">
        <v>44909</v>
      </c>
    </row>
    <row r="731">
      <c r="B731" s="2" t="inlineStr">
        <is>
          <t>FC074675A12A</t>
        </is>
      </c>
      <c r="D731" s="65" t="inlineStr">
        <is>
          <t>PR2203-023</t>
        </is>
      </c>
      <c r="E731" t="inlineStr">
        <is>
          <t>MERCITALIA</t>
        </is>
      </c>
      <c r="F731" t="inlineStr">
        <is>
          <t>Cargo</t>
        </is>
      </c>
      <c r="G731" t="inlineStr">
        <is>
          <t>31833916514-0</t>
        </is>
      </c>
      <c r="J731" s="56" t="n">
        <v>44909</v>
      </c>
    </row>
    <row r="732">
      <c r="B732" s="2" t="inlineStr">
        <is>
          <t>C066CE3EE05F</t>
        </is>
      </c>
      <c r="D732" s="65" t="inlineStr">
        <is>
          <t>PR2203-139</t>
        </is>
      </c>
      <c r="E732" t="inlineStr">
        <is>
          <t>MERCITALIA</t>
        </is>
      </c>
      <c r="F732" t="inlineStr">
        <is>
          <t>Cargo</t>
        </is>
      </c>
      <c r="G732" t="inlineStr">
        <is>
          <t>31835376007-3</t>
        </is>
      </c>
      <c r="J732" s="56" t="n">
        <v>44909</v>
      </c>
    </row>
    <row r="733">
      <c r="B733" s="2" t="inlineStr">
        <is>
          <t>F8E94F1E080F</t>
        </is>
      </c>
      <c r="D733" s="65" t="inlineStr">
        <is>
          <t>PR2203-112</t>
        </is>
      </c>
      <c r="E733" t="inlineStr">
        <is>
          <t>MERCITALIA</t>
        </is>
      </c>
      <c r="F733" t="inlineStr">
        <is>
          <t>Cargo</t>
        </is>
      </c>
      <c r="G733" t="inlineStr">
        <is>
          <t>31833936025-3</t>
        </is>
      </c>
      <c r="J733" s="56" t="n">
        <v>44909</v>
      </c>
    </row>
    <row r="734">
      <c r="B734" s="2" t="inlineStr">
        <is>
          <t>ED99E7D142FB</t>
        </is>
      </c>
      <c r="D734" s="65" t="inlineStr">
        <is>
          <t>PR2203-334</t>
        </is>
      </c>
      <c r="E734" t="inlineStr">
        <is>
          <t>MERCITALIA</t>
        </is>
      </c>
      <c r="F734" t="inlineStr">
        <is>
          <t>Cargo</t>
        </is>
      </c>
      <c r="G734" t="inlineStr">
        <is>
          <t>31833936025-3</t>
        </is>
      </c>
      <c r="J734" s="56" t="n">
        <v>44909</v>
      </c>
    </row>
    <row r="735">
      <c r="B735" s="2" t="inlineStr">
        <is>
          <t>C7AE2AEED9F5</t>
        </is>
      </c>
      <c r="D735" s="65" t="inlineStr">
        <is>
          <t>PR2203-089</t>
        </is>
      </c>
      <c r="E735" t="inlineStr">
        <is>
          <t>MERCITALIA</t>
        </is>
      </c>
      <c r="F735" t="inlineStr">
        <is>
          <t>Cargo</t>
        </is>
      </c>
      <c r="G735" t="inlineStr">
        <is>
          <t>31833919338-1</t>
        </is>
      </c>
      <c r="J735" s="56" t="n">
        <v>44909</v>
      </c>
    </row>
    <row r="736">
      <c r="B736" s="2" t="inlineStr">
        <is>
          <t>CAD52CC57D9A</t>
        </is>
      </c>
      <c r="D736" s="65" t="inlineStr">
        <is>
          <t>PR2203-474</t>
        </is>
      </c>
      <c r="E736" t="inlineStr">
        <is>
          <t>MERCITALIA</t>
        </is>
      </c>
      <c r="F736" t="inlineStr">
        <is>
          <t>Cargo</t>
        </is>
      </c>
      <c r="G736" t="inlineStr">
        <is>
          <t>31833919338-1</t>
        </is>
      </c>
      <c r="J736" s="56" t="n">
        <v>44909</v>
      </c>
    </row>
    <row r="737">
      <c r="B737" s="2" t="inlineStr">
        <is>
          <t>E03B6A4E90E1</t>
        </is>
      </c>
      <c r="D737" s="65" t="inlineStr">
        <is>
          <t>PR2203-261</t>
        </is>
      </c>
      <c r="E737" t="inlineStr">
        <is>
          <t>MERCITALIA</t>
        </is>
      </c>
      <c r="F737" t="inlineStr">
        <is>
          <t>Cargo</t>
        </is>
      </c>
      <c r="G737" t="inlineStr">
        <is>
          <t>31835377921-4</t>
        </is>
      </c>
      <c r="J737" s="56" t="inlineStr">
        <is>
          <t>2023 03 17</t>
        </is>
      </c>
    </row>
    <row r="738">
      <c r="B738" s="2" t="inlineStr">
        <is>
          <t>E09B251167F0</t>
        </is>
      </c>
      <c r="D738" s="65" t="inlineStr">
        <is>
          <t>PR2206-456</t>
        </is>
      </c>
      <c r="E738" t="inlineStr">
        <is>
          <t>MERCITALIA</t>
        </is>
      </c>
      <c r="F738" t="inlineStr">
        <is>
          <t>Cargo</t>
        </is>
      </c>
      <c r="G738" t="inlineStr">
        <is>
          <t>31835376007-3</t>
        </is>
      </c>
      <c r="J738" s="56" t="n">
        <v>44909</v>
      </c>
    </row>
    <row r="739">
      <c r="B739" s="2" t="inlineStr">
        <is>
          <t>CF674338977B</t>
        </is>
      </c>
      <c r="D739" s="65" t="inlineStr">
        <is>
          <t>PR2203-271</t>
        </is>
      </c>
      <c r="E739" t="inlineStr">
        <is>
          <t>MERCITALIA</t>
        </is>
      </c>
      <c r="F739" t="inlineStr">
        <is>
          <t>Cargo</t>
        </is>
      </c>
      <c r="G739" t="inlineStr">
        <is>
          <t>31833936025-3</t>
        </is>
      </c>
      <c r="J739" s="56" t="n">
        <v>44909</v>
      </c>
    </row>
    <row r="740">
      <c r="B740" s="2" t="inlineStr">
        <is>
          <t>EC0D5EBAA33C</t>
        </is>
      </c>
      <c r="D740" s="65" t="inlineStr">
        <is>
          <t>PR2203-280</t>
        </is>
      </c>
      <c r="E740" t="inlineStr">
        <is>
          <t>MERCITALIA</t>
        </is>
      </c>
      <c r="F740" t="inlineStr">
        <is>
          <t>Cargo</t>
        </is>
      </c>
      <c r="G740" t="inlineStr">
        <is>
          <t>31833918084-2</t>
        </is>
      </c>
      <c r="J740" s="56" t="n">
        <v>44909</v>
      </c>
    </row>
    <row r="741">
      <c r="B741" s="2" t="inlineStr">
        <is>
          <t>FEA14F83EB0E</t>
        </is>
      </c>
      <c r="D741" s="65" t="inlineStr">
        <is>
          <t>PR2203-289</t>
        </is>
      </c>
      <c r="E741" t="inlineStr">
        <is>
          <t>MERCITALIA</t>
        </is>
      </c>
      <c r="F741" t="inlineStr">
        <is>
          <t>Cargo</t>
        </is>
      </c>
      <c r="G741" t="inlineStr">
        <is>
          <t>31835376007-3</t>
        </is>
      </c>
      <c r="J741" s="56" t="n">
        <v>44909</v>
      </c>
    </row>
    <row r="742">
      <c r="B742" s="2" t="inlineStr">
        <is>
          <t>FA9C256A217E</t>
        </is>
      </c>
      <c r="D742" s="65" t="inlineStr">
        <is>
          <t>PR2203-404</t>
        </is>
      </c>
      <c r="E742" t="inlineStr">
        <is>
          <t>MERCITALIA</t>
        </is>
      </c>
      <c r="F742" t="inlineStr">
        <is>
          <t>Cargo</t>
        </is>
      </c>
      <c r="G742" t="inlineStr">
        <is>
          <t>31835377921-4</t>
        </is>
      </c>
      <c r="J742" s="56" t="inlineStr">
        <is>
          <t>2023 03 17</t>
        </is>
      </c>
    </row>
    <row r="743">
      <c r="B743" s="2" t="inlineStr">
        <is>
          <t>C3CC54DF81DE</t>
        </is>
      </c>
      <c r="D743" s="65" t="inlineStr">
        <is>
          <t>PR2203-341</t>
        </is>
      </c>
      <c r="E743" t="inlineStr">
        <is>
          <t>MERCITALIA</t>
        </is>
      </c>
      <c r="F743" t="inlineStr">
        <is>
          <t>Cargo</t>
        </is>
      </c>
      <c r="G743" t="inlineStr">
        <is>
          <t>31833936025-3</t>
        </is>
      </c>
      <c r="J743" s="56" t="n">
        <v>44909</v>
      </c>
    </row>
    <row r="744">
      <c r="B744" s="2" t="inlineStr">
        <is>
          <t>F9C82D0A84D3</t>
        </is>
      </c>
      <c r="D744" s="65" t="inlineStr">
        <is>
          <t>PR2203-377</t>
        </is>
      </c>
      <c r="E744" t="inlineStr">
        <is>
          <t>MERCITALIA</t>
        </is>
      </c>
      <c r="F744" t="inlineStr">
        <is>
          <t>Cargo</t>
        </is>
      </c>
      <c r="G744" t="inlineStr">
        <is>
          <t>31833916501-7</t>
        </is>
      </c>
      <c r="J744" s="56" t="n">
        <v>44909</v>
      </c>
    </row>
    <row r="745">
      <c r="B745" s="2" t="inlineStr">
        <is>
          <t>EBA8AFB1CC01</t>
        </is>
      </c>
      <c r="D745" s="65" t="inlineStr">
        <is>
          <t>PR2203-143</t>
        </is>
      </c>
      <c r="E745" t="inlineStr">
        <is>
          <t>MERCITALIA</t>
        </is>
      </c>
      <c r="F745" t="inlineStr">
        <is>
          <t>Cargo</t>
        </is>
      </c>
      <c r="G745" t="inlineStr">
        <is>
          <t>31833916501-7</t>
        </is>
      </c>
      <c r="J745" s="56" t="n">
        <v>44909</v>
      </c>
    </row>
    <row r="746">
      <c r="B746" s="2" t="inlineStr">
        <is>
          <t>D87A543EF52C</t>
        </is>
      </c>
      <c r="D746" s="65" t="inlineStr">
        <is>
          <t>PR2201-039</t>
        </is>
      </c>
      <c r="E746" t="inlineStr">
        <is>
          <t>MERCITALIA</t>
        </is>
      </c>
      <c r="F746" t="inlineStr">
        <is>
          <t>Cargo</t>
        </is>
      </c>
      <c r="G746" t="inlineStr">
        <is>
          <t>31835376007-3</t>
        </is>
      </c>
      <c r="J746" s="56" t="n">
        <v>44909</v>
      </c>
    </row>
    <row r="747">
      <c r="B747" s="2" t="inlineStr">
        <is>
          <t>F9D0BC7E1563</t>
        </is>
      </c>
      <c r="D747" s="65" t="inlineStr">
        <is>
          <t>PR2203-405</t>
        </is>
      </c>
      <c r="E747" t="inlineStr">
        <is>
          <t>MERCITALIA</t>
        </is>
      </c>
      <c r="F747" t="inlineStr">
        <is>
          <t>Cargo</t>
        </is>
      </c>
      <c r="G747" t="inlineStr">
        <is>
          <t>31835377921-4</t>
        </is>
      </c>
      <c r="J747" s="56" t="inlineStr">
        <is>
          <t>2023 03 17</t>
        </is>
      </c>
    </row>
    <row r="748">
      <c r="B748" s="2" t="inlineStr">
        <is>
          <t>EC18F78F8BAA</t>
        </is>
      </c>
      <c r="D748" s="65" t="inlineStr">
        <is>
          <t>PR2203-069</t>
        </is>
      </c>
      <c r="E748" t="inlineStr">
        <is>
          <t>MERCITALIA</t>
        </is>
      </c>
      <c r="F748" t="inlineStr">
        <is>
          <t>Cargo</t>
        </is>
      </c>
      <c r="G748" t="inlineStr">
        <is>
          <t>31835377921-4</t>
        </is>
      </c>
      <c r="J748" s="56" t="inlineStr">
        <is>
          <t>2023 03 17</t>
        </is>
      </c>
    </row>
    <row r="749">
      <c r="B749" s="2" t="inlineStr">
        <is>
          <t>CC16DB33C199</t>
        </is>
      </c>
      <c r="D749" s="65" t="inlineStr">
        <is>
          <t>PR2203-136</t>
        </is>
      </c>
      <c r="E749" t="inlineStr">
        <is>
          <t>MERCITALIA</t>
        </is>
      </c>
      <c r="F749" t="inlineStr">
        <is>
          <t>Cargo</t>
        </is>
      </c>
      <c r="G749" t="inlineStr">
        <is>
          <t>33854668206-7</t>
        </is>
      </c>
      <c r="J749" s="56" t="n">
        <v>44909</v>
      </c>
    </row>
    <row r="750">
      <c r="B750" s="2" t="inlineStr">
        <is>
          <t>F3830BEEA3B7</t>
        </is>
      </c>
      <c r="D750" s="65" t="inlineStr">
        <is>
          <t>PR2203-090</t>
        </is>
      </c>
      <c r="E750" t="inlineStr">
        <is>
          <t>MERCITALIA</t>
        </is>
      </c>
      <c r="F750" t="inlineStr">
        <is>
          <t>Cargo</t>
        </is>
      </c>
      <c r="G750" t="inlineStr">
        <is>
          <t>31833936025-3</t>
        </is>
      </c>
      <c r="J750" s="56" t="n">
        <v>44909</v>
      </c>
    </row>
    <row r="751">
      <c r="B751" s="2" t="inlineStr">
        <is>
          <t>CEAE4FA6BFD1</t>
        </is>
      </c>
      <c r="D751" s="65" t="inlineStr">
        <is>
          <t>PR2203-034</t>
        </is>
      </c>
      <c r="E751" t="inlineStr">
        <is>
          <t>MERCITALIA</t>
        </is>
      </c>
      <c r="F751" t="inlineStr">
        <is>
          <t>Cargo</t>
        </is>
      </c>
      <c r="G751" t="inlineStr">
        <is>
          <t>33854668206-7</t>
        </is>
      </c>
      <c r="J751" s="56" t="n">
        <v>44909</v>
      </c>
    </row>
    <row r="752">
      <c r="B752" s="2" t="inlineStr">
        <is>
          <t>F492D5364D2F</t>
        </is>
      </c>
      <c r="D752" s="65" t="inlineStr">
        <is>
          <t>PR2203-047</t>
        </is>
      </c>
      <c r="E752" t="inlineStr">
        <is>
          <t>MERCITALIA</t>
        </is>
      </c>
      <c r="F752" t="inlineStr">
        <is>
          <t>Cargo</t>
        </is>
      </c>
      <c r="G752" t="inlineStr">
        <is>
          <t>31833919338-1</t>
        </is>
      </c>
      <c r="J752" s="56" t="n">
        <v>44909</v>
      </c>
    </row>
    <row r="753">
      <c r="B753" s="2" t="inlineStr">
        <is>
          <t>E49EAC1749F5</t>
        </is>
      </c>
      <c r="D753" s="65" t="inlineStr">
        <is>
          <t>PR2203-352</t>
        </is>
      </c>
      <c r="E753" t="inlineStr">
        <is>
          <t>MERCITALIA</t>
        </is>
      </c>
      <c r="F753" t="inlineStr">
        <is>
          <t>Cargo</t>
        </is>
      </c>
      <c r="G753" t="inlineStr">
        <is>
          <t>31833936025-3</t>
        </is>
      </c>
      <c r="J753" s="56" t="n">
        <v>44909</v>
      </c>
    </row>
    <row r="754">
      <c r="B754" s="2" t="inlineStr">
        <is>
          <t>E2E41BCBC94E</t>
        </is>
      </c>
      <c r="D754" s="65" t="inlineStr">
        <is>
          <t>PR2203-458</t>
        </is>
      </c>
      <c r="E754" t="inlineStr">
        <is>
          <t>MERCITALIA</t>
        </is>
      </c>
      <c r="F754" t="inlineStr">
        <is>
          <t>Cargo</t>
        </is>
      </c>
      <c r="G754" t="inlineStr">
        <is>
          <t>31834575297-2</t>
        </is>
      </c>
      <c r="J754" s="56" t="n">
        <v>44909</v>
      </c>
    </row>
    <row r="755">
      <c r="B755" s="2" t="inlineStr">
        <is>
          <t>F001AD47E4B6</t>
        </is>
      </c>
      <c r="D755" s="65" t="inlineStr">
        <is>
          <t>PR2203-084</t>
        </is>
      </c>
      <c r="E755" t="inlineStr">
        <is>
          <t>MERCITALIA</t>
        </is>
      </c>
      <c r="F755" t="inlineStr">
        <is>
          <t>Cargo</t>
        </is>
      </c>
      <c r="G755" t="inlineStr">
        <is>
          <t>31833936025-3</t>
        </is>
      </c>
      <c r="J755" s="56" t="n">
        <v>44909</v>
      </c>
    </row>
    <row r="756">
      <c r="B756" s="2" t="inlineStr">
        <is>
          <t>F341A2C19DC2</t>
        </is>
      </c>
      <c r="D756" s="65" t="inlineStr">
        <is>
          <t>PR2203-068</t>
        </is>
      </c>
      <c r="E756" t="inlineStr">
        <is>
          <t>MERCITALIA</t>
        </is>
      </c>
      <c r="F756" t="inlineStr">
        <is>
          <t>Cargo</t>
        </is>
      </c>
      <c r="G756" t="inlineStr">
        <is>
          <t>33854668206-7</t>
        </is>
      </c>
      <c r="J756" s="56" t="n">
        <v>44909</v>
      </c>
    </row>
    <row r="757">
      <c r="B757" s="2" t="inlineStr">
        <is>
          <t>C39D79279673</t>
        </is>
      </c>
      <c r="D757" s="65" t="inlineStr">
        <is>
          <t>PR2203-031</t>
        </is>
      </c>
      <c r="E757" t="inlineStr">
        <is>
          <t>MERCITALIA</t>
        </is>
      </c>
      <c r="F757" t="inlineStr">
        <is>
          <t>Cargo</t>
        </is>
      </c>
      <c r="G757" t="inlineStr">
        <is>
          <t>31833919338-1</t>
        </is>
      </c>
      <c r="J757" s="56" t="n">
        <v>44909</v>
      </c>
    </row>
    <row r="758">
      <c r="B758" s="2" t="inlineStr">
        <is>
          <t>FC558F8DA4E6</t>
        </is>
      </c>
      <c r="D758" s="65" t="inlineStr">
        <is>
          <t>PR2203-042</t>
        </is>
      </c>
      <c r="E758" t="inlineStr">
        <is>
          <t>MERCITALIA</t>
        </is>
      </c>
      <c r="F758" t="inlineStr">
        <is>
          <t>Cargo</t>
        </is>
      </c>
      <c r="G758" t="inlineStr">
        <is>
          <t>31833916514-0</t>
        </is>
      </c>
      <c r="J758" s="56" t="n">
        <v>44909</v>
      </c>
    </row>
    <row r="759">
      <c r="B759" s="2" t="inlineStr">
        <is>
          <t>D026B3A87BA7</t>
        </is>
      </c>
      <c r="D759" s="65" t="inlineStr">
        <is>
          <t>PR2203-384</t>
        </is>
      </c>
      <c r="E759" t="inlineStr">
        <is>
          <t>MERCITALIA</t>
        </is>
      </c>
      <c r="F759" t="inlineStr">
        <is>
          <t>Cargo</t>
        </is>
      </c>
      <c r="G759" t="inlineStr">
        <is>
          <t>31833918084-2</t>
        </is>
      </c>
      <c r="J759" s="56" t="n">
        <v>44909</v>
      </c>
    </row>
    <row r="760">
      <c r="B760" s="2" t="inlineStr">
        <is>
          <t>F5A82FEA7CE9</t>
        </is>
      </c>
      <c r="D760" s="65" t="inlineStr">
        <is>
          <t>PR2203-397</t>
        </is>
      </c>
      <c r="E760" t="inlineStr">
        <is>
          <t>MERCITALIA</t>
        </is>
      </c>
      <c r="F760" t="inlineStr">
        <is>
          <t>Cargo</t>
        </is>
      </c>
      <c r="G760" t="inlineStr">
        <is>
          <t>31835376007-3</t>
        </is>
      </c>
      <c r="J760" s="56" t="n">
        <v>44909</v>
      </c>
    </row>
    <row r="761">
      <c r="B761" s="2" t="inlineStr">
        <is>
          <t>E2E21AD9C636</t>
        </is>
      </c>
      <c r="D761" s="65" t="inlineStr">
        <is>
          <t>PR2203-413</t>
        </is>
      </c>
      <c r="E761" t="inlineStr">
        <is>
          <t>MERCITALIA</t>
        </is>
      </c>
      <c r="F761" t="inlineStr">
        <is>
          <t>Cargo</t>
        </is>
      </c>
      <c r="G761" t="inlineStr">
        <is>
          <t>31833918084-2</t>
        </is>
      </c>
      <c r="J761" s="56" t="n">
        <v>44909</v>
      </c>
    </row>
    <row r="762">
      <c r="B762" s="2" t="inlineStr">
        <is>
          <t>E328AD62C681</t>
        </is>
      </c>
      <c r="D762" s="65" t="inlineStr">
        <is>
          <t>PR2206-422</t>
        </is>
      </c>
      <c r="E762" t="inlineStr">
        <is>
          <t>MERCITALIA</t>
        </is>
      </c>
      <c r="F762" t="inlineStr">
        <is>
          <t>Cargo</t>
        </is>
      </c>
      <c r="G762" t="inlineStr">
        <is>
          <t>31833916514-0</t>
        </is>
      </c>
      <c r="J762" s="56" t="n">
        <v>44909</v>
      </c>
    </row>
    <row r="763">
      <c r="B763" s="2" t="inlineStr">
        <is>
          <t>DE58012AF2E9</t>
        </is>
      </c>
      <c r="D763" s="65" t="inlineStr">
        <is>
          <t>PR2203-442</t>
        </is>
      </c>
      <c r="E763" t="inlineStr">
        <is>
          <t>MERCITALIA</t>
        </is>
      </c>
      <c r="F763" t="inlineStr">
        <is>
          <t>Cargo</t>
        </is>
      </c>
      <c r="G763" t="inlineStr">
        <is>
          <t>31834589939-3</t>
        </is>
      </c>
      <c r="J763" s="56" t="n">
        <v>44909</v>
      </c>
    </row>
    <row r="764">
      <c r="B764" s="2" t="inlineStr">
        <is>
          <t>CA7A7109358E</t>
        </is>
      </c>
      <c r="D764" s="65" t="inlineStr">
        <is>
          <t>PR2203-241</t>
        </is>
      </c>
      <c r="E764" t="inlineStr">
        <is>
          <t>MERCITALIA</t>
        </is>
      </c>
      <c r="F764" t="inlineStr">
        <is>
          <t>Cargo</t>
        </is>
      </c>
      <c r="G764" t="inlineStr">
        <is>
          <t>31834589939-3</t>
        </is>
      </c>
      <c r="J764" s="56" t="n">
        <v>44909</v>
      </c>
    </row>
    <row r="765">
      <c r="B765" s="2" t="inlineStr">
        <is>
          <t>DC98ED28049D</t>
        </is>
      </c>
      <c r="D765" s="65" t="inlineStr">
        <is>
          <t>PR2203-264</t>
        </is>
      </c>
      <c r="E765" t="inlineStr">
        <is>
          <t>MERCITALIA</t>
        </is>
      </c>
      <c r="F765" t="inlineStr">
        <is>
          <t>Cargo</t>
        </is>
      </c>
      <c r="G765" t="inlineStr">
        <is>
          <t>31833916514-0</t>
        </is>
      </c>
      <c r="J765" s="56" t="n">
        <v>44909</v>
      </c>
    </row>
    <row r="766">
      <c r="B766" s="2" t="inlineStr">
        <is>
          <t>DF4776B62F50</t>
        </is>
      </c>
      <c r="D766" s="65" t="inlineStr">
        <is>
          <t>PR2203-299</t>
        </is>
      </c>
      <c r="E766" t="inlineStr">
        <is>
          <t>MERCITALIA</t>
        </is>
      </c>
      <c r="F766" t="inlineStr">
        <is>
          <t>Cargo</t>
        </is>
      </c>
      <c r="G766" t="inlineStr">
        <is>
          <t>31834575297-2</t>
        </is>
      </c>
      <c r="J766" s="56" t="n">
        <v>44909</v>
      </c>
    </row>
    <row r="767">
      <c r="B767" s="2" t="inlineStr">
        <is>
          <t>E31688556FF4</t>
        </is>
      </c>
      <c r="D767" s="65" t="inlineStr">
        <is>
          <t>PR2203-159</t>
        </is>
      </c>
      <c r="E767" t="inlineStr">
        <is>
          <t>MERCITALIA</t>
        </is>
      </c>
      <c r="F767" t="inlineStr">
        <is>
          <t>Cargo</t>
        </is>
      </c>
      <c r="G767" t="inlineStr">
        <is>
          <t>31835377921-4</t>
        </is>
      </c>
      <c r="J767" s="56" t="inlineStr">
        <is>
          <t>2023 03 17</t>
        </is>
      </c>
    </row>
    <row r="768">
      <c r="B768" s="2" t="inlineStr">
        <is>
          <t>E72B5D6BD92F</t>
        </is>
      </c>
      <c r="D768" s="65" t="inlineStr">
        <is>
          <t>PR2203-095</t>
        </is>
      </c>
      <c r="E768" t="inlineStr">
        <is>
          <t>MERCITALIA</t>
        </is>
      </c>
      <c r="F768" t="inlineStr">
        <is>
          <t>Cargo</t>
        </is>
      </c>
      <c r="G768" t="inlineStr">
        <is>
          <t>31833919338-1</t>
        </is>
      </c>
      <c r="J768" s="56" t="n">
        <v>44909</v>
      </c>
    </row>
    <row r="769">
      <c r="B769" s="2" t="inlineStr">
        <is>
          <t>F53362EABE1A</t>
        </is>
      </c>
      <c r="D769" s="65" t="inlineStr">
        <is>
          <t>PR2203-362</t>
        </is>
      </c>
      <c r="E769" t="inlineStr">
        <is>
          <t>MERCITALIA</t>
        </is>
      </c>
      <c r="F769" t="inlineStr">
        <is>
          <t>Cargo</t>
        </is>
      </c>
      <c r="G769" t="inlineStr">
        <is>
          <t>31833918084-2</t>
        </is>
      </c>
      <c r="J769" s="56" t="n">
        <v>44909</v>
      </c>
    </row>
    <row r="770">
      <c r="B770" s="2" t="inlineStr">
        <is>
          <t>D80BB4F08BED</t>
        </is>
      </c>
      <c r="D770" s="65" t="inlineStr">
        <is>
          <t>PR2203-303</t>
        </is>
      </c>
      <c r="E770" t="inlineStr">
        <is>
          <t>MERCITALIA</t>
        </is>
      </c>
      <c r="F770" t="inlineStr">
        <is>
          <t>Cargo</t>
        </is>
      </c>
      <c r="G770" t="inlineStr">
        <is>
          <t>31833916501-7</t>
        </is>
      </c>
      <c r="J770" s="56" t="n">
        <v>44909</v>
      </c>
    </row>
    <row r="771">
      <c r="B771" s="2" t="inlineStr">
        <is>
          <t>CD5791D76AA2</t>
        </is>
      </c>
      <c r="D771" s="65" t="inlineStr">
        <is>
          <t>PR2203-486</t>
        </is>
      </c>
      <c r="E771" t="inlineStr">
        <is>
          <t>MERCITALIA</t>
        </is>
      </c>
      <c r="F771" t="inlineStr">
        <is>
          <t>Cargo</t>
        </is>
      </c>
      <c r="G771" t="inlineStr">
        <is>
          <t>31833918084-2</t>
        </is>
      </c>
      <c r="J771" s="56" t="n">
        <v>44909</v>
      </c>
    </row>
    <row r="772">
      <c r="B772" s="2" t="inlineStr">
        <is>
          <t>C6A223443607</t>
        </is>
      </c>
      <c r="D772" s="65" t="inlineStr">
        <is>
          <t>PR2203-096</t>
        </is>
      </c>
      <c r="E772" t="inlineStr">
        <is>
          <t>MERCITALIA</t>
        </is>
      </c>
      <c r="F772" t="inlineStr">
        <is>
          <t>Cargo</t>
        </is>
      </c>
      <c r="G772" t="inlineStr">
        <is>
          <t>31835377921-4</t>
        </is>
      </c>
      <c r="J772" s="56" t="inlineStr">
        <is>
          <t>2023 03 17</t>
        </is>
      </c>
    </row>
    <row r="773">
      <c r="B773" s="2" t="inlineStr">
        <is>
          <t>F074A4D95850</t>
        </is>
      </c>
      <c r="D773" s="65" t="inlineStr">
        <is>
          <t>PR2203-050</t>
        </is>
      </c>
      <c r="E773" t="inlineStr">
        <is>
          <t>MERCITALIA</t>
        </is>
      </c>
      <c r="F773" t="inlineStr">
        <is>
          <t>Cargo</t>
        </is>
      </c>
      <c r="G773" t="inlineStr">
        <is>
          <t>31833918084-2</t>
        </is>
      </c>
      <c r="J773" s="56" t="n">
        <v>44909</v>
      </c>
    </row>
    <row r="774">
      <c r="B774" s="2" t="inlineStr">
        <is>
          <t>D0061EEF3069</t>
        </is>
      </c>
      <c r="D774" s="65" t="inlineStr">
        <is>
          <t>PR2201-046</t>
        </is>
      </c>
      <c r="E774" t="inlineStr">
        <is>
          <t>MERCITALIA</t>
        </is>
      </c>
      <c r="F774" t="inlineStr">
        <is>
          <t>Cargo</t>
        </is>
      </c>
      <c r="G774" t="inlineStr">
        <is>
          <t>31834575297-2</t>
        </is>
      </c>
      <c r="J774" s="56" t="n">
        <v>44909</v>
      </c>
    </row>
    <row r="775">
      <c r="B775" s="2" t="inlineStr">
        <is>
          <t>DBD7800A36BE</t>
        </is>
      </c>
      <c r="D775" s="65" t="inlineStr">
        <is>
          <t>PR2203-078</t>
        </is>
      </c>
      <c r="E775" t="inlineStr">
        <is>
          <t>MERCITALIA</t>
        </is>
      </c>
      <c r="F775" t="inlineStr">
        <is>
          <t>Cargo</t>
        </is>
      </c>
      <c r="G775" t="inlineStr">
        <is>
          <t>31834589939-3</t>
        </is>
      </c>
      <c r="J775" s="56" t="n">
        <v>44909</v>
      </c>
    </row>
    <row r="776">
      <c r="B776" s="2" t="inlineStr">
        <is>
          <t>D9E4F3C66560</t>
        </is>
      </c>
      <c r="D776" s="65" t="inlineStr">
        <is>
          <t>PR2203-144</t>
        </is>
      </c>
      <c r="E776" t="inlineStr">
        <is>
          <t>MERCITALIA</t>
        </is>
      </c>
      <c r="F776" t="inlineStr">
        <is>
          <t>Cargo</t>
        </is>
      </c>
      <c r="G776" t="inlineStr">
        <is>
          <t>31834589939-3</t>
        </is>
      </c>
      <c r="J776" s="56" t="n">
        <v>44909</v>
      </c>
    </row>
    <row r="777">
      <c r="B777" s="2" t="inlineStr">
        <is>
          <t>F1EA98DD36B4</t>
        </is>
      </c>
      <c r="D777" s="65" t="inlineStr">
        <is>
          <t>PR2203-107</t>
        </is>
      </c>
      <c r="E777" t="inlineStr">
        <is>
          <t>MERCITALIA</t>
        </is>
      </c>
      <c r="F777" t="inlineStr">
        <is>
          <t>Cargo</t>
        </is>
      </c>
      <c r="G777" t="inlineStr">
        <is>
          <t>31834589939-3</t>
        </is>
      </c>
      <c r="J777" s="56" t="n">
        <v>44909</v>
      </c>
    </row>
    <row r="778">
      <c r="B778" s="2" t="inlineStr">
        <is>
          <t>EBC84F65977C</t>
        </is>
      </c>
      <c r="D778" s="65" t="inlineStr">
        <is>
          <t>PR2201-036</t>
        </is>
      </c>
      <c r="E778" t="inlineStr">
        <is>
          <t>MERCITALIA</t>
        </is>
      </c>
      <c r="F778" t="inlineStr">
        <is>
          <t>Cargo</t>
        </is>
      </c>
      <c r="G778" t="inlineStr">
        <is>
          <t>31833916514-0</t>
        </is>
      </c>
      <c r="J778" s="56" t="n">
        <v>44909</v>
      </c>
    </row>
    <row r="779">
      <c r="B779" s="2" t="inlineStr">
        <is>
          <t>FF547F64CC56</t>
        </is>
      </c>
      <c r="D779" s="65" t="inlineStr">
        <is>
          <t>PR2203-420</t>
        </is>
      </c>
      <c r="E779" t="inlineStr">
        <is>
          <t>MERCITALIA</t>
        </is>
      </c>
      <c r="F779" t="inlineStr">
        <is>
          <t>Cargo</t>
        </is>
      </c>
      <c r="G779" t="inlineStr">
        <is>
          <t>31833916501-7</t>
        </is>
      </c>
      <c r="J779" s="56" t="n">
        <v>44909</v>
      </c>
    </row>
    <row r="780">
      <c r="B780" s="2" t="inlineStr">
        <is>
          <t>E3C206BF9A4F</t>
        </is>
      </c>
      <c r="D780" s="65" t="inlineStr">
        <is>
          <t>PR2203-217</t>
        </is>
      </c>
      <c r="E780" t="inlineStr">
        <is>
          <t>MERCITALIA</t>
        </is>
      </c>
      <c r="F780" t="inlineStr">
        <is>
          <t>Cargo</t>
        </is>
      </c>
      <c r="G780" t="inlineStr">
        <is>
          <t>31834575297-2</t>
        </is>
      </c>
      <c r="J780" s="56" t="n">
        <v>44909</v>
      </c>
    </row>
    <row r="781">
      <c r="B781" s="2" t="inlineStr">
        <is>
          <t>F832D0082A5E</t>
        </is>
      </c>
      <c r="D781" s="65" t="inlineStr">
        <is>
          <t>PR2203-062</t>
        </is>
      </c>
      <c r="E781" t="inlineStr">
        <is>
          <t>MERCITALIA</t>
        </is>
      </c>
      <c r="F781" t="inlineStr">
        <is>
          <t>Cargo</t>
        </is>
      </c>
      <c r="G781" t="inlineStr">
        <is>
          <t>33854668206-7</t>
        </is>
      </c>
      <c r="J781" s="56" t="n">
        <v>44909</v>
      </c>
    </row>
    <row r="782">
      <c r="B782" s="2" t="inlineStr">
        <is>
          <t>E741BBC78770</t>
        </is>
      </c>
      <c r="D782" s="65" t="inlineStr">
        <is>
          <t>PR2203-382</t>
        </is>
      </c>
      <c r="E782" t="inlineStr">
        <is>
          <t>MERCITALIA</t>
        </is>
      </c>
      <c r="F782" t="inlineStr">
        <is>
          <t>Cargo</t>
        </is>
      </c>
      <c r="G782" t="inlineStr">
        <is>
          <t>31833919338-1</t>
        </is>
      </c>
      <c r="J782" s="56" t="n">
        <v>44909</v>
      </c>
    </row>
    <row r="783">
      <c r="B783" s="2" t="inlineStr">
        <is>
          <t>D3E4636E5927</t>
        </is>
      </c>
      <c r="D783" s="65" t="inlineStr">
        <is>
          <t>PR2203-340</t>
        </is>
      </c>
      <c r="E783" t="inlineStr">
        <is>
          <t>MERCITALIA</t>
        </is>
      </c>
      <c r="F783" t="inlineStr">
        <is>
          <t>Cargo</t>
        </is>
      </c>
      <c r="G783" t="inlineStr">
        <is>
          <t>31835377921-4</t>
        </is>
      </c>
      <c r="J783" s="56" t="inlineStr">
        <is>
          <t>2023 03 17</t>
        </is>
      </c>
    </row>
    <row r="784">
      <c r="B784" s="2" t="inlineStr">
        <is>
          <t>DDAD233EA632</t>
        </is>
      </c>
      <c r="D784" s="65" t="inlineStr">
        <is>
          <t>PR2203-238</t>
        </is>
      </c>
      <c r="E784" t="inlineStr">
        <is>
          <t>MERCITALIA</t>
        </is>
      </c>
      <c r="F784" t="inlineStr">
        <is>
          <t>Cargo</t>
        </is>
      </c>
      <c r="G784" t="inlineStr">
        <is>
          <t>31833916514-0</t>
        </is>
      </c>
      <c r="J784" s="56" t="n">
        <v>44909</v>
      </c>
    </row>
    <row r="785">
      <c r="B785" s="2" t="inlineStr">
        <is>
          <t>FC8DAB024ABB</t>
        </is>
      </c>
      <c r="D785" s="65" t="inlineStr">
        <is>
          <t>PR2203-444</t>
        </is>
      </c>
      <c r="E785" t="inlineStr">
        <is>
          <t>MERCITALIA</t>
        </is>
      </c>
      <c r="F785" t="inlineStr">
        <is>
          <t>Cargo</t>
        </is>
      </c>
      <c r="G785" t="inlineStr">
        <is>
          <t>31834589939-3</t>
        </is>
      </c>
      <c r="J785" s="56" t="n">
        <v>44909</v>
      </c>
    </row>
    <row r="786">
      <c r="B786" s="2" t="inlineStr">
        <is>
          <t>DF95CDB85EB6</t>
        </is>
      </c>
      <c r="D786" s="65" t="inlineStr">
        <is>
          <t>PR2203-055</t>
        </is>
      </c>
      <c r="E786" t="inlineStr">
        <is>
          <t>MERCITALIA</t>
        </is>
      </c>
      <c r="F786" t="inlineStr">
        <is>
          <t>Cargo</t>
        </is>
      </c>
      <c r="G786" t="inlineStr">
        <is>
          <t>31833916514-0</t>
        </is>
      </c>
      <c r="J786" s="56" t="n">
        <v>44909</v>
      </c>
    </row>
    <row r="787">
      <c r="B787" s="2" t="inlineStr">
        <is>
          <t>E9A0A027EBA6</t>
        </is>
      </c>
      <c r="D787" s="65" t="inlineStr">
        <is>
          <t>PR2203-030</t>
        </is>
      </c>
      <c r="E787" t="inlineStr">
        <is>
          <t>MERCITALIA</t>
        </is>
      </c>
      <c r="F787" t="inlineStr">
        <is>
          <t>Cargo</t>
        </is>
      </c>
      <c r="G787" t="inlineStr">
        <is>
          <t>33854668206-7</t>
        </is>
      </c>
      <c r="J787" s="56" t="n">
        <v>44909</v>
      </c>
    </row>
    <row r="788">
      <c r="B788" s="2" t="inlineStr">
        <is>
          <t>C7409D7A8C5F</t>
        </is>
      </c>
      <c r="D788" s="65" t="inlineStr">
        <is>
          <t>PR2203-198</t>
        </is>
      </c>
      <c r="E788" t="inlineStr">
        <is>
          <t>MERCITALIA</t>
        </is>
      </c>
      <c r="F788" t="inlineStr">
        <is>
          <t>Cargo</t>
        </is>
      </c>
      <c r="G788" t="inlineStr">
        <is>
          <t>31834575297-2</t>
        </is>
      </c>
      <c r="J788" s="56" t="n">
        <v>44909</v>
      </c>
    </row>
    <row r="789">
      <c r="B789" s="2" t="inlineStr">
        <is>
          <t>ED314776022E</t>
        </is>
      </c>
      <c r="D789" s="65" t="inlineStr">
        <is>
          <t>PR2203-320</t>
        </is>
      </c>
      <c r="E789" t="inlineStr">
        <is>
          <t>MERCITALIA</t>
        </is>
      </c>
      <c r="F789" t="inlineStr">
        <is>
          <t>Cargo</t>
        </is>
      </c>
      <c r="G789" t="inlineStr">
        <is>
          <t>31834575297-2</t>
        </is>
      </c>
      <c r="J789" s="56" t="n">
        <v>44909</v>
      </c>
    </row>
    <row r="790">
      <c r="B790" s="2" t="inlineStr">
        <is>
          <t>C0C112CCDDD2</t>
        </is>
      </c>
      <c r="D790" s="65" t="inlineStr">
        <is>
          <t>PR2203-485</t>
        </is>
      </c>
      <c r="E790" t="inlineStr">
        <is>
          <t>MERCITALIA</t>
        </is>
      </c>
      <c r="F790" t="inlineStr">
        <is>
          <t>Cargo</t>
        </is>
      </c>
      <c r="G790" t="inlineStr">
        <is>
          <t>31834575297-2</t>
        </is>
      </c>
      <c r="H790" t="inlineStr">
        <is>
          <t>was 481</t>
        </is>
      </c>
      <c r="J790" s="56" t="n">
        <v>44909</v>
      </c>
    </row>
    <row r="791">
      <c r="B791" s="2" t="inlineStr">
        <is>
          <t>C3059739CE80</t>
        </is>
      </c>
      <c r="D791" s="65" t="inlineStr">
        <is>
          <t>PR2203-005</t>
        </is>
      </c>
      <c r="E791" t="inlineStr">
        <is>
          <t>MERCITALIA</t>
        </is>
      </c>
      <c r="F791" t="inlineStr">
        <is>
          <t>Cargo</t>
        </is>
      </c>
      <c r="G791" t="inlineStr">
        <is>
          <t>31834589939-3</t>
        </is>
      </c>
      <c r="J791" s="56" t="n">
        <v>44909</v>
      </c>
    </row>
    <row r="792">
      <c r="B792" s="2" t="inlineStr">
        <is>
          <t>CD9075EBF726</t>
        </is>
      </c>
      <c r="D792" s="65" t="inlineStr">
        <is>
          <t>PR2201-010</t>
        </is>
      </c>
      <c r="E792" t="inlineStr">
        <is>
          <t>MERCITALIA</t>
        </is>
      </c>
      <c r="F792" t="inlineStr">
        <is>
          <t>Cargo</t>
        </is>
      </c>
      <c r="G792" t="inlineStr">
        <is>
          <t>31833916501-7</t>
        </is>
      </c>
      <c r="J792" s="56" t="n">
        <v>44909</v>
      </c>
    </row>
    <row r="793">
      <c r="B793" s="2" t="inlineStr">
        <is>
          <t>E289EBA985CC</t>
        </is>
      </c>
      <c r="D793" s="65" t="inlineStr">
        <is>
          <t>PR2203-119</t>
        </is>
      </c>
      <c r="E793" t="inlineStr">
        <is>
          <t>MERCITALIA</t>
        </is>
      </c>
      <c r="F793" t="inlineStr">
        <is>
          <t>Cargo</t>
        </is>
      </c>
      <c r="G793" t="inlineStr">
        <is>
          <t>31833919338-1</t>
        </is>
      </c>
      <c r="J793" s="56" t="n">
        <v>44909</v>
      </c>
    </row>
    <row r="794">
      <c r="B794" s="2" t="inlineStr">
        <is>
          <t>C37DD23DD646</t>
        </is>
      </c>
      <c r="D794" s="65" t="inlineStr">
        <is>
          <t>PR2203-376</t>
        </is>
      </c>
      <c r="E794" t="inlineStr">
        <is>
          <t>MERCITALIA</t>
        </is>
      </c>
      <c r="F794" t="inlineStr">
        <is>
          <t>Cargo</t>
        </is>
      </c>
      <c r="G794" t="inlineStr">
        <is>
          <t>31835376007-3</t>
        </is>
      </c>
      <c r="J794" s="56" t="n">
        <v>44909</v>
      </c>
    </row>
    <row r="795">
      <c r="B795" s="2" t="inlineStr">
        <is>
          <t>FEC457A887B4</t>
        </is>
      </c>
      <c r="D795" s="65" t="inlineStr">
        <is>
          <t>PR2203-087</t>
        </is>
      </c>
      <c r="E795" t="inlineStr">
        <is>
          <t>MERCITALIA</t>
        </is>
      </c>
      <c r="F795" t="inlineStr">
        <is>
          <t>Cargo</t>
        </is>
      </c>
      <c r="G795" t="inlineStr">
        <is>
          <t>31835377921-4</t>
        </is>
      </c>
      <c r="J795" s="56" t="inlineStr">
        <is>
          <t>2023 03 17</t>
        </is>
      </c>
    </row>
    <row r="796">
      <c r="B796" s="2" t="inlineStr">
        <is>
          <t>C5ECF0D85F71</t>
        </is>
      </c>
      <c r="D796" s="65" t="inlineStr">
        <is>
          <t>PR2203-396</t>
        </is>
      </c>
      <c r="E796" t="inlineStr">
        <is>
          <t>MERCITALIA</t>
        </is>
      </c>
      <c r="F796" t="inlineStr">
        <is>
          <t>Cargo</t>
        </is>
      </c>
      <c r="G796" t="inlineStr">
        <is>
          <t>31833916514-0</t>
        </is>
      </c>
      <c r="J796" s="56" t="n">
        <v>44909</v>
      </c>
    </row>
    <row r="797">
      <c r="B797" s="2" t="inlineStr">
        <is>
          <t>D41424DB791B</t>
        </is>
      </c>
      <c r="D797" s="65" t="inlineStr">
        <is>
          <t>PR2203-381</t>
        </is>
      </c>
      <c r="E797" t="inlineStr">
        <is>
          <t>MERCITALIA</t>
        </is>
      </c>
      <c r="F797" t="inlineStr">
        <is>
          <t>Cargo</t>
        </is>
      </c>
      <c r="G797" t="inlineStr">
        <is>
          <t>31834589939-3</t>
        </is>
      </c>
      <c r="J797" s="56" t="n">
        <v>44909</v>
      </c>
    </row>
    <row r="798">
      <c r="B798" s="2" t="inlineStr">
        <is>
          <t>FD64EDA18862</t>
        </is>
      </c>
      <c r="D798" s="65" t="inlineStr">
        <is>
          <t>PR2203-338</t>
        </is>
      </c>
      <c r="E798" t="inlineStr">
        <is>
          <t>MERCITALIA</t>
        </is>
      </c>
      <c r="F798" t="inlineStr">
        <is>
          <t>Cargo</t>
        </is>
      </c>
      <c r="G798" t="inlineStr">
        <is>
          <t>33854668206-7</t>
        </is>
      </c>
      <c r="J798" s="56" t="n">
        <v>44909</v>
      </c>
    </row>
    <row r="799">
      <c r="B799" s="2" t="inlineStr">
        <is>
          <t>E4613F05AB10</t>
        </is>
      </c>
      <c r="D799" s="65" t="inlineStr">
        <is>
          <t>PR2203-240</t>
        </is>
      </c>
      <c r="E799" t="inlineStr">
        <is>
          <t>MERCITALIA</t>
        </is>
      </c>
      <c r="F799" t="inlineStr">
        <is>
          <t>Cargo</t>
        </is>
      </c>
      <c r="G799" t="inlineStr">
        <is>
          <t>31833916501-7</t>
        </is>
      </c>
      <c r="J799" s="56" t="n">
        <v>44909</v>
      </c>
    </row>
    <row r="800">
      <c r="B800" s="2" t="inlineStr">
        <is>
          <t>C2DCB319B93D</t>
        </is>
      </c>
      <c r="D800" s="65" t="inlineStr">
        <is>
          <t>PR2203-103</t>
        </is>
      </c>
      <c r="E800" t="inlineStr">
        <is>
          <t>MERCITALIA</t>
        </is>
      </c>
      <c r="F800" t="inlineStr">
        <is>
          <t>Cargo</t>
        </is>
      </c>
      <c r="G800" t="inlineStr">
        <is>
          <t>31835376007-3</t>
        </is>
      </c>
      <c r="J800" s="56" t="n">
        <v>44909</v>
      </c>
    </row>
    <row r="801">
      <c r="B801" s="2" t="inlineStr">
        <is>
          <t>E28A69C7F182</t>
        </is>
      </c>
      <c r="D801" s="65" t="inlineStr">
        <is>
          <t>PR2203-168</t>
        </is>
      </c>
      <c r="E801" t="inlineStr">
        <is>
          <t>MERCITALIA</t>
        </is>
      </c>
      <c r="F801" t="inlineStr">
        <is>
          <t>Cargo</t>
        </is>
      </c>
      <c r="G801" t="inlineStr">
        <is>
          <t>31833918084-2</t>
        </is>
      </c>
      <c r="J801" s="56" t="n">
        <v>44909</v>
      </c>
    </row>
    <row r="802">
      <c r="B802" s="2" t="inlineStr">
        <is>
          <t>D3D96FE91109</t>
        </is>
      </c>
      <c r="D802" s="65" t="inlineStr">
        <is>
          <t>PR2203-321</t>
        </is>
      </c>
      <c r="E802" t="inlineStr">
        <is>
          <t>MERCITALIA</t>
        </is>
      </c>
      <c r="F802" t="inlineStr">
        <is>
          <t>Cargo</t>
        </is>
      </c>
      <c r="G802" t="inlineStr">
        <is>
          <t>31833919338-1</t>
        </is>
      </c>
      <c r="J802" s="56" t="n">
        <v>44909</v>
      </c>
    </row>
    <row r="803">
      <c r="B803" s="2" t="inlineStr">
        <is>
          <t>D11F1B5887A0</t>
        </is>
      </c>
      <c r="D803" s="65" t="inlineStr">
        <is>
          <t>PR2203-145</t>
        </is>
      </c>
      <c r="E803" t="inlineStr">
        <is>
          <t>MERCITALIA</t>
        </is>
      </c>
      <c r="F803" t="inlineStr">
        <is>
          <t>Cargo</t>
        </is>
      </c>
      <c r="G803" t="inlineStr">
        <is>
          <t>31835376007-3</t>
        </is>
      </c>
      <c r="J803" s="56" t="n">
        <v>44909</v>
      </c>
    </row>
    <row r="804">
      <c r="B804" s="2" t="inlineStr">
        <is>
          <t>C8A53F5AB190</t>
        </is>
      </c>
      <c r="D804" s="65" t="inlineStr">
        <is>
          <t>PR2203-216</t>
        </is>
      </c>
      <c r="E804" t="inlineStr">
        <is>
          <t>MERCITALIA</t>
        </is>
      </c>
      <c r="F804" t="inlineStr">
        <is>
          <t>Cargo</t>
        </is>
      </c>
      <c r="G804" t="inlineStr">
        <is>
          <t>33854668206-7</t>
        </is>
      </c>
      <c r="J804" s="56" t="n">
        <v>44909</v>
      </c>
    </row>
    <row r="805">
      <c r="B805" s="2" t="inlineStr">
        <is>
          <t>FB7CBE12B66D</t>
        </is>
      </c>
      <c r="D805" t="inlineStr">
        <is>
          <t>PR2203-249</t>
        </is>
      </c>
      <c r="E805" t="inlineStr">
        <is>
          <t>FERROTRAMVIARIA</t>
        </is>
      </c>
      <c r="F805" t="inlineStr">
        <is>
          <t>Link L</t>
        </is>
      </c>
    </row>
    <row r="806">
      <c r="B806" s="2" t="inlineStr">
        <is>
          <t>E110357BCB86</t>
        </is>
      </c>
      <c r="D806" s="64" t="inlineStr">
        <is>
          <t>PR2203-383</t>
        </is>
      </c>
      <c r="E806" t="inlineStr">
        <is>
          <t>FERROTRAMVIARIA</t>
        </is>
      </c>
      <c r="F806" t="inlineStr">
        <is>
          <t>Link L</t>
        </is>
      </c>
      <c r="G806" t="inlineStr">
        <is>
          <t xml:space="preserve">452TR3 </t>
        </is>
      </c>
    </row>
    <row r="807">
      <c r="B807" s="2" t="inlineStr">
        <is>
          <t>F64CB6175D08</t>
        </is>
      </c>
      <c r="D807" s="64" t="inlineStr">
        <is>
          <t>PR2203-428</t>
        </is>
      </c>
      <c r="E807" t="inlineStr">
        <is>
          <t>FERROTRAMVIARIA</t>
        </is>
      </c>
      <c r="F807" t="inlineStr">
        <is>
          <t>Link L</t>
        </is>
      </c>
      <c r="G807" t="inlineStr">
        <is>
          <t xml:space="preserve">452TR3 </t>
        </is>
      </c>
    </row>
    <row r="808">
      <c r="B808" s="2" t="inlineStr">
        <is>
          <t>F62029FD1A0E</t>
        </is>
      </c>
      <c r="D808" t="inlineStr">
        <is>
          <t>PR2203-265</t>
        </is>
      </c>
      <c r="E808" t="inlineStr">
        <is>
          <t>FERROTRAMVIARIA</t>
        </is>
      </c>
      <c r="F808" t="inlineStr">
        <is>
          <t>Link L</t>
        </is>
      </c>
    </row>
    <row r="809">
      <c r="B809" s="2" t="inlineStr">
        <is>
          <t>F58FEF0C769C</t>
        </is>
      </c>
      <c r="D809" s="64" t="inlineStr">
        <is>
          <t>PR2203-441</t>
        </is>
      </c>
      <c r="E809" t="inlineStr">
        <is>
          <t>FERROTRAMVIARIA</t>
        </is>
      </c>
      <c r="F809" t="inlineStr">
        <is>
          <t>Link L</t>
        </is>
      </c>
      <c r="G809" t="inlineStr">
        <is>
          <t>341TR1</t>
        </is>
      </c>
    </row>
    <row r="810">
      <c r="B810" s="2" t="inlineStr">
        <is>
          <t>F0FE663D83F5</t>
        </is>
      </c>
      <c r="D810" t="inlineStr">
        <is>
          <t>PR2203-306</t>
        </is>
      </c>
      <c r="E810" t="inlineStr">
        <is>
          <t>FERROTRAMVIARIA</t>
        </is>
      </c>
      <c r="F810" t="inlineStr">
        <is>
          <t>Link L</t>
        </is>
      </c>
    </row>
    <row r="811">
      <c r="B811" s="2" t="inlineStr">
        <is>
          <t>EB503EDADB1A</t>
        </is>
      </c>
      <c r="D811" s="64" t="inlineStr">
        <is>
          <t>PR2203-436</t>
        </is>
      </c>
      <c r="E811" t="inlineStr">
        <is>
          <t>FERROTRAMVIARIA</t>
        </is>
      </c>
      <c r="F811" t="inlineStr">
        <is>
          <t>Link L</t>
        </is>
      </c>
      <c r="G811" t="inlineStr">
        <is>
          <t>341TR1</t>
        </is>
      </c>
    </row>
    <row r="812">
      <c r="B812" s="2" t="inlineStr">
        <is>
          <t>E9CAE79831C6</t>
        </is>
      </c>
      <c r="D812" s="64" t="inlineStr">
        <is>
          <t>PR2206-524</t>
        </is>
      </c>
      <c r="E812" t="inlineStr">
        <is>
          <t>FERROTRAMVIARIA</t>
        </is>
      </c>
      <c r="F812" t="inlineStr">
        <is>
          <t>Link L</t>
        </is>
      </c>
      <c r="G812" t="inlineStr">
        <is>
          <t>ELT203</t>
        </is>
      </c>
    </row>
    <row r="813">
      <c r="B813" s="2" t="inlineStr">
        <is>
          <t>EDFAA1B00AC3</t>
        </is>
      </c>
      <c r="D813" s="64" t="inlineStr">
        <is>
          <t>PR2203-388</t>
        </is>
      </c>
      <c r="E813" t="inlineStr">
        <is>
          <t>FERROTRAMVIARIA</t>
        </is>
      </c>
      <c r="F813" t="inlineStr">
        <is>
          <t>LINK R</t>
        </is>
      </c>
      <c r="G813" t="inlineStr">
        <is>
          <t>341TR1</t>
        </is>
      </c>
    </row>
    <row r="814">
      <c r="B814" s="2" t="inlineStr">
        <is>
          <t>EDF1C0EDE4C0</t>
        </is>
      </c>
      <c r="D814" s="64" t="inlineStr">
        <is>
          <t>PR2203-390</t>
        </is>
      </c>
      <c r="E814" t="inlineStr">
        <is>
          <t>FERROTRAMVIARIA</t>
        </is>
      </c>
      <c r="F814" t="inlineStr">
        <is>
          <t>LINK R</t>
        </is>
      </c>
      <c r="G814" t="inlineStr">
        <is>
          <t>341TR1</t>
        </is>
      </c>
    </row>
    <row r="815">
      <c r="B815" s="2" t="inlineStr">
        <is>
          <t>F42920B0661C</t>
        </is>
      </c>
      <c r="D815" s="64" t="inlineStr">
        <is>
          <t>PR2203-051</t>
        </is>
      </c>
      <c r="E815" t="inlineStr">
        <is>
          <t>FERROTRAMVIARIA</t>
        </is>
      </c>
      <c r="F815" t="inlineStr">
        <is>
          <t>LINK R</t>
        </is>
      </c>
      <c r="G815" t="inlineStr">
        <is>
          <t xml:space="preserve">452TR3 </t>
        </is>
      </c>
    </row>
    <row r="816">
      <c r="B816" s="2" t="inlineStr">
        <is>
          <t>F2CB27C0C7D2</t>
        </is>
      </c>
      <c r="D816" t="inlineStr">
        <is>
          <t>PR2203-374</t>
        </is>
      </c>
      <c r="E816" t="inlineStr">
        <is>
          <t>FERROTRAMVIARIA</t>
        </is>
      </c>
      <c r="F816" t="inlineStr">
        <is>
          <t>LINK R</t>
        </is>
      </c>
    </row>
    <row r="817">
      <c r="B817" s="2" t="inlineStr">
        <is>
          <t>FEDD7A73462D</t>
        </is>
      </c>
      <c r="D817" s="64" t="inlineStr">
        <is>
          <t>PR2203-483</t>
        </is>
      </c>
      <c r="E817" t="inlineStr">
        <is>
          <t>FERROTRAMVIARIA</t>
        </is>
      </c>
      <c r="F817" t="inlineStr">
        <is>
          <t>LINK R</t>
        </is>
      </c>
      <c r="G817" t="inlineStr">
        <is>
          <t>ELT203</t>
        </is>
      </c>
    </row>
    <row r="818">
      <c r="B818" s="2" t="inlineStr">
        <is>
          <t>F72F11494BC2</t>
        </is>
      </c>
      <c r="D818" s="64" t="inlineStr">
        <is>
          <t>PR2203-274</t>
        </is>
      </c>
      <c r="E818" t="inlineStr">
        <is>
          <t>FERROTRAMVIARIA</t>
        </is>
      </c>
      <c r="F818" t="inlineStr">
        <is>
          <t>LINK R</t>
        </is>
      </c>
      <c r="G818" t="inlineStr">
        <is>
          <t xml:space="preserve">452TR3 </t>
        </is>
      </c>
    </row>
    <row r="819">
      <c r="B819" s="2" t="inlineStr">
        <is>
          <t>DBBBB26176F0</t>
        </is>
      </c>
      <c r="D819" s="64" t="inlineStr">
        <is>
          <t>PR2206-517</t>
        </is>
      </c>
      <c r="E819" t="inlineStr">
        <is>
          <t>FERROTRAMVIARIA</t>
        </is>
      </c>
      <c r="F819" t="inlineStr">
        <is>
          <t>LINK R</t>
        </is>
      </c>
      <c r="G819" t="inlineStr">
        <is>
          <t>ELT203</t>
        </is>
      </c>
    </row>
    <row r="820">
      <c r="B820" s="2" t="inlineStr">
        <is>
          <t>E56D6809A3C0</t>
        </is>
      </c>
      <c r="D820" s="64" t="inlineStr">
        <is>
          <t>PR2206-561</t>
        </is>
      </c>
      <c r="E820" t="inlineStr">
        <is>
          <t>FERROTRAMVIARIA</t>
        </is>
      </c>
      <c r="F820" t="inlineStr">
        <is>
          <t>LINK R</t>
        </is>
      </c>
      <c r="G820" t="inlineStr">
        <is>
          <t>ELT203</t>
        </is>
      </c>
    </row>
    <row r="821">
      <c r="B821" s="2" t="inlineStr">
        <is>
          <t>FF1209D9EA73</t>
        </is>
      </c>
      <c r="D821" s="68" t="inlineStr">
        <is>
          <t>PR2211-014</t>
        </is>
      </c>
      <c r="E821" t="inlineStr">
        <is>
          <t>INTERFRACHT</t>
        </is>
      </c>
      <c r="F821" t="inlineStr">
        <is>
          <t>Magnets</t>
        </is>
      </c>
      <c r="G821" t="inlineStr">
        <is>
          <t>33 54 076 2130-9</t>
        </is>
      </c>
      <c r="J821" s="56" t="n">
        <v>44938</v>
      </c>
    </row>
    <row r="822">
      <c r="B822" s="2" t="inlineStr">
        <is>
          <t>E12DC9F9A271</t>
        </is>
      </c>
      <c r="D822" s="68" t="inlineStr">
        <is>
          <t>PR2211-030</t>
        </is>
      </c>
      <c r="E822" t="inlineStr">
        <is>
          <t>INTERFRACHT</t>
        </is>
      </c>
      <c r="F822" t="inlineStr">
        <is>
          <t>Magnets</t>
        </is>
      </c>
      <c r="G822" t="inlineStr">
        <is>
          <t>33 54 076 2130-9</t>
        </is>
      </c>
      <c r="J822" s="56" t="n">
        <v>44938</v>
      </c>
    </row>
    <row r="823">
      <c r="B823" s="2" t="inlineStr">
        <is>
          <t>F3997C540954</t>
        </is>
      </c>
      <c r="D823" s="68" t="inlineStr">
        <is>
          <t>PR2211-028</t>
        </is>
      </c>
      <c r="E823" t="inlineStr">
        <is>
          <t>INTERFRACHT</t>
        </is>
      </c>
      <c r="F823" t="inlineStr">
        <is>
          <t>Magnets</t>
        </is>
      </c>
      <c r="G823" t="inlineStr">
        <is>
          <t>33 54 076 2130-9</t>
        </is>
      </c>
      <c r="J823" s="56" t="n">
        <v>44938</v>
      </c>
    </row>
    <row r="824">
      <c r="B824" s="2" t="inlineStr">
        <is>
          <t>CEEE3BAC9E31</t>
        </is>
      </c>
      <c r="D824" s="68" t="inlineStr">
        <is>
          <t>PR2211-008</t>
        </is>
      </c>
      <c r="E824" t="inlineStr">
        <is>
          <t>INTERFRACHT</t>
        </is>
      </c>
      <c r="F824" t="inlineStr">
        <is>
          <t>Magnets</t>
        </is>
      </c>
      <c r="G824" t="inlineStr">
        <is>
          <t>33 54 076 2130-9</t>
        </is>
      </c>
      <c r="J824" s="56" t="n">
        <v>44938</v>
      </c>
    </row>
    <row r="825">
      <c r="B825" s="2" t="inlineStr">
        <is>
          <t>E6AC1DD0D56B</t>
        </is>
      </c>
      <c r="D825" s="68" t="inlineStr">
        <is>
          <t>PR2211-003</t>
        </is>
      </c>
      <c r="E825" t="inlineStr">
        <is>
          <t>INTERFRACHT</t>
        </is>
      </c>
      <c r="F825" t="inlineStr">
        <is>
          <t>Magnets</t>
        </is>
      </c>
      <c r="G825" t="inlineStr">
        <is>
          <t>33 54 076 2130-9</t>
        </is>
      </c>
      <c r="J825" s="56" t="n">
        <v>44938</v>
      </c>
    </row>
    <row r="826">
      <c r="B826" s="2" t="inlineStr">
        <is>
          <t>E162801DE6C5</t>
        </is>
      </c>
      <c r="D826" s="68" t="inlineStr">
        <is>
          <t>PR2211-015</t>
        </is>
      </c>
      <c r="E826" t="inlineStr">
        <is>
          <t>INTERFRACHT</t>
        </is>
      </c>
      <c r="F826" t="inlineStr">
        <is>
          <t>Magnets</t>
        </is>
      </c>
      <c r="G826" t="inlineStr">
        <is>
          <t>33 54 076 2130-9</t>
        </is>
      </c>
      <c r="J826" s="56" t="n">
        <v>44938</v>
      </c>
    </row>
    <row r="827">
      <c r="B827" s="2" t="inlineStr">
        <is>
          <t>D3077E74DB8E</t>
        </is>
      </c>
      <c r="D827" s="68" t="inlineStr">
        <is>
          <t>PR2211-018</t>
        </is>
      </c>
      <c r="E827" t="inlineStr">
        <is>
          <t>INTERFRACHT</t>
        </is>
      </c>
      <c r="F827" t="inlineStr">
        <is>
          <t>Magnets</t>
        </is>
      </c>
      <c r="G827" t="inlineStr">
        <is>
          <t>33 54 076 2130-9</t>
        </is>
      </c>
      <c r="J827" s="56" t="n">
        <v>44938</v>
      </c>
    </row>
    <row r="828">
      <c r="B828" s="2" t="inlineStr">
        <is>
          <t>C97C3453E7D2</t>
        </is>
      </c>
      <c r="D828" s="68" t="inlineStr">
        <is>
          <t>PR2211-002</t>
        </is>
      </c>
      <c r="E828" t="inlineStr">
        <is>
          <t>INTERFRACHT</t>
        </is>
      </c>
      <c r="F828" t="inlineStr">
        <is>
          <t>Magnets</t>
        </is>
      </c>
      <c r="G828" t="inlineStr">
        <is>
          <t>33 54 076 2130-9</t>
        </is>
      </c>
      <c r="J828" s="56" t="n">
        <v>44938</v>
      </c>
    </row>
    <row r="829">
      <c r="B829" s="2" t="inlineStr">
        <is>
          <t>F20B5D766852</t>
        </is>
      </c>
      <c r="D829" s="65" t="inlineStr">
        <is>
          <t>PR2211-011</t>
        </is>
      </c>
      <c r="E829" t="inlineStr">
        <is>
          <t>AMBROGIO</t>
        </is>
      </c>
      <c r="F829" t="inlineStr">
        <is>
          <t>CARGO</t>
        </is>
      </c>
      <c r="G829" t="inlineStr">
        <is>
          <t>33-83-495-4-940-6</t>
        </is>
      </c>
      <c r="J829" t="inlineStr">
        <is>
          <t>2022/12</t>
        </is>
      </c>
    </row>
    <row r="830">
      <c r="B830" s="2" t="inlineStr">
        <is>
          <t>D425B041B793</t>
        </is>
      </c>
      <c r="D830" s="65" t="inlineStr">
        <is>
          <t>PR2206-410</t>
        </is>
      </c>
      <c r="E830" t="inlineStr">
        <is>
          <t>AMBROGIO</t>
        </is>
      </c>
      <c r="F830" t="inlineStr">
        <is>
          <t>CARGO</t>
        </is>
      </c>
      <c r="G830" t="inlineStr">
        <is>
          <t>33-83-495-4-940-6</t>
        </is>
      </c>
      <c r="J830" t="inlineStr">
        <is>
          <t>2022/12</t>
        </is>
      </c>
    </row>
    <row r="831">
      <c r="B831" s="2" t="inlineStr">
        <is>
          <t>F80CC3EEEA12</t>
        </is>
      </c>
      <c r="D831" s="65" t="inlineStr">
        <is>
          <t>PR2206-567</t>
        </is>
      </c>
      <c r="E831" t="inlineStr">
        <is>
          <t>AMBROGIO</t>
        </is>
      </c>
      <c r="F831" t="inlineStr">
        <is>
          <t>CARGO</t>
        </is>
      </c>
      <c r="G831" t="inlineStr">
        <is>
          <t>33-83-495-4-940-6</t>
        </is>
      </c>
      <c r="J831" t="inlineStr">
        <is>
          <t>2022/12</t>
        </is>
      </c>
    </row>
    <row r="832">
      <c r="B832" s="2" t="inlineStr">
        <is>
          <t>DBE99E766A9A</t>
        </is>
      </c>
      <c r="D832" s="65" t="inlineStr">
        <is>
          <t>PR2211-013</t>
        </is>
      </c>
      <c r="E832" t="inlineStr">
        <is>
          <t>AMBROGIO</t>
        </is>
      </c>
      <c r="F832" t="inlineStr">
        <is>
          <t>CARGO</t>
        </is>
      </c>
      <c r="G832" t="inlineStr">
        <is>
          <t>33-83-495-4-940-6</t>
        </is>
      </c>
      <c r="J832" t="inlineStr">
        <is>
          <t>2022/12</t>
        </is>
      </c>
    </row>
    <row r="833">
      <c r="B833" s="2" t="inlineStr">
        <is>
          <t>C9B22CF84004</t>
        </is>
      </c>
      <c r="D833" s="65" t="inlineStr">
        <is>
          <t>PR2206-532</t>
        </is>
      </c>
      <c r="E833" t="inlineStr">
        <is>
          <t>AMBROGIO</t>
        </is>
      </c>
      <c r="F833" t="inlineStr">
        <is>
          <t>CARGO</t>
        </is>
      </c>
      <c r="G833" t="inlineStr">
        <is>
          <t>33-83-495-4-940-6</t>
        </is>
      </c>
      <c r="J833" t="inlineStr">
        <is>
          <t>2022/12</t>
        </is>
      </c>
    </row>
    <row r="834">
      <c r="B834" s="2" t="inlineStr">
        <is>
          <t>D19967FDD50C</t>
        </is>
      </c>
      <c r="D834" s="65" t="inlineStr">
        <is>
          <t>PR2206-459</t>
        </is>
      </c>
      <c r="E834" t="inlineStr">
        <is>
          <t>AMBROGIO</t>
        </is>
      </c>
      <c r="F834" t="inlineStr">
        <is>
          <t>CARGO</t>
        </is>
      </c>
      <c r="G834" t="inlineStr">
        <is>
          <t>33-83-495-4-940-6</t>
        </is>
      </c>
      <c r="J834" t="inlineStr">
        <is>
          <t>2022/12</t>
        </is>
      </c>
    </row>
    <row r="835">
      <c r="B835" s="2" t="inlineStr">
        <is>
          <t>E62F5C3D85B0</t>
        </is>
      </c>
      <c r="D835" s="65" t="inlineStr">
        <is>
          <t>PR2206-559</t>
        </is>
      </c>
      <c r="E835" t="inlineStr">
        <is>
          <t>AMBROGIO</t>
        </is>
      </c>
      <c r="F835" t="inlineStr">
        <is>
          <t>CARGO</t>
        </is>
      </c>
      <c r="G835" t="inlineStr">
        <is>
          <t>33-83-495-4-940-6</t>
        </is>
      </c>
      <c r="J835" t="inlineStr">
        <is>
          <t>2022/12</t>
        </is>
      </c>
    </row>
    <row r="836">
      <c r="B836" s="2" t="inlineStr">
        <is>
          <t>DFA498DC3A6C</t>
        </is>
      </c>
      <c r="D836" s="65" t="inlineStr">
        <is>
          <t>PR2206-452</t>
        </is>
      </c>
      <c r="E836" t="inlineStr">
        <is>
          <t>AMBROGIO</t>
        </is>
      </c>
      <c r="F836" t="inlineStr">
        <is>
          <t>CARGO</t>
        </is>
      </c>
      <c r="G836" t="inlineStr">
        <is>
          <t>33-83-495-4-940-6</t>
        </is>
      </c>
      <c r="J836" t="inlineStr">
        <is>
          <t>2022/12</t>
        </is>
      </c>
    </row>
    <row r="837">
      <c r="B837" s="2" t="inlineStr">
        <is>
          <t>E03ED6204685</t>
        </is>
      </c>
      <c r="D837" s="65" t="inlineStr">
        <is>
          <t>PR2211-005</t>
        </is>
      </c>
      <c r="E837" t="inlineStr">
        <is>
          <t>HUPAC</t>
        </is>
      </c>
      <c r="F837" t="inlineStr">
        <is>
          <t>CARGO</t>
        </is>
      </c>
      <c r="G837" t="inlineStr">
        <is>
          <t xml:space="preserve">33 85 4956 699-4 </t>
        </is>
      </c>
      <c r="J837" s="56" t="n">
        <v>44910</v>
      </c>
    </row>
    <row r="838">
      <c r="B838" s="2" t="inlineStr">
        <is>
          <t>EAA597B34ABB</t>
        </is>
      </c>
      <c r="D838" s="65" t="inlineStr">
        <is>
          <t>PR2203-432</t>
        </is>
      </c>
      <c r="E838" t="inlineStr">
        <is>
          <t>HUPAC</t>
        </is>
      </c>
      <c r="F838" t="inlineStr">
        <is>
          <t>CARGO</t>
        </is>
      </c>
      <c r="G838" t="inlineStr">
        <is>
          <t xml:space="preserve">33 85 4956 699-4 </t>
        </is>
      </c>
      <c r="J838" s="56" t="n">
        <v>44910</v>
      </c>
    </row>
    <row r="839">
      <c r="B839" s="2" t="inlineStr">
        <is>
          <t>C1D0A48306EB</t>
        </is>
      </c>
      <c r="D839" s="65" t="inlineStr">
        <is>
          <t>PR2206-576</t>
        </is>
      </c>
      <c r="E839" t="inlineStr">
        <is>
          <t>HUPAC</t>
        </is>
      </c>
      <c r="F839" t="inlineStr">
        <is>
          <t>CARGO</t>
        </is>
      </c>
      <c r="G839" t="inlineStr">
        <is>
          <t>33 85 4956 478-3</t>
        </is>
      </c>
      <c r="J839" s="56" t="n">
        <v>44910</v>
      </c>
    </row>
    <row r="840">
      <c r="B840" s="2" t="inlineStr">
        <is>
          <t>DEDC45EFA4B5</t>
        </is>
      </c>
      <c r="D840" s="65" t="inlineStr">
        <is>
          <t>PR2206-495</t>
        </is>
      </c>
      <c r="E840" t="inlineStr">
        <is>
          <t>HUPAC</t>
        </is>
      </c>
      <c r="F840" t="inlineStr">
        <is>
          <t>CARGO</t>
        </is>
      </c>
      <c r="G840" t="inlineStr">
        <is>
          <t>33 85 4575 320-8</t>
        </is>
      </c>
      <c r="J840" s="56" t="n">
        <v>44910</v>
      </c>
    </row>
    <row r="841">
      <c r="B841" s="2" t="inlineStr">
        <is>
          <t>F402B25BCB1F</t>
        </is>
      </c>
      <c r="D841" s="65" t="inlineStr">
        <is>
          <t>PR2211-023</t>
        </is>
      </c>
      <c r="E841" t="inlineStr">
        <is>
          <t>HUPAC</t>
        </is>
      </c>
      <c r="F841" t="inlineStr">
        <is>
          <t>CARGO</t>
        </is>
      </c>
      <c r="G841" t="inlineStr">
        <is>
          <t>33 85 4511 080-5</t>
        </is>
      </c>
      <c r="J841" s="56" t="n">
        <v>44910</v>
      </c>
    </row>
    <row r="842">
      <c r="B842" s="2" t="inlineStr">
        <is>
          <t>FE60392666B0</t>
        </is>
      </c>
      <c r="D842" s="65" t="inlineStr">
        <is>
          <t>PR2201-041</t>
        </is>
      </c>
      <c r="E842" t="inlineStr">
        <is>
          <t>HUPAC</t>
        </is>
      </c>
      <c r="F842" t="inlineStr">
        <is>
          <t>CARGO</t>
        </is>
      </c>
      <c r="G842" t="inlineStr">
        <is>
          <t>33 85 4506 221-2</t>
        </is>
      </c>
      <c r="J842" s="56" t="n">
        <v>44910</v>
      </c>
    </row>
    <row r="843">
      <c r="B843" s="2" t="inlineStr">
        <is>
          <t>D133889765AF</t>
        </is>
      </c>
      <c r="D843" s="65" t="inlineStr">
        <is>
          <t>PR2206-404</t>
        </is>
      </c>
      <c r="E843" t="inlineStr">
        <is>
          <t>HUPAC</t>
        </is>
      </c>
      <c r="F843" t="inlineStr">
        <is>
          <t>CARGO</t>
        </is>
      </c>
      <c r="G843" t="inlineStr">
        <is>
          <t>33 85 4575 320-8</t>
        </is>
      </c>
      <c r="J843" s="56" t="n">
        <v>44910</v>
      </c>
    </row>
    <row r="844">
      <c r="B844" s="2" t="inlineStr">
        <is>
          <t>E790ADE1386F</t>
        </is>
      </c>
      <c r="D844" s="65" t="inlineStr">
        <is>
          <t>PR2206-455</t>
        </is>
      </c>
      <c r="E844" t="inlineStr">
        <is>
          <t>HUPAC</t>
        </is>
      </c>
      <c r="F844" t="inlineStr">
        <is>
          <t>CARGO</t>
        </is>
      </c>
      <c r="G844" t="inlineStr">
        <is>
          <t xml:space="preserve">33 85 4956 699-4 </t>
        </is>
      </c>
      <c r="J844" s="56" t="n">
        <v>44910</v>
      </c>
    </row>
    <row r="845">
      <c r="B845" s="2" t="inlineStr">
        <is>
          <t>CB444A62223C</t>
        </is>
      </c>
      <c r="D845" s="65" t="inlineStr">
        <is>
          <t>PR2203-308</t>
        </is>
      </c>
      <c r="E845" t="inlineStr">
        <is>
          <t>HUPAC</t>
        </is>
      </c>
      <c r="F845" t="inlineStr">
        <is>
          <t>CARGO</t>
        </is>
      </c>
      <c r="G845" t="inlineStr">
        <is>
          <t>33 85 4556 814-3</t>
        </is>
      </c>
      <c r="J845" s="56" t="n">
        <v>44910</v>
      </c>
    </row>
    <row r="846">
      <c r="B846" s="2" t="inlineStr">
        <is>
          <t>F6FA4E52BBC5</t>
        </is>
      </c>
      <c r="D846" s="65" t="inlineStr">
        <is>
          <t>PR2203-370</t>
        </is>
      </c>
      <c r="E846" t="inlineStr">
        <is>
          <t>HUPAC</t>
        </is>
      </c>
      <c r="F846" t="inlineStr">
        <is>
          <t>CARGO</t>
        </is>
      </c>
      <c r="G846" t="inlineStr">
        <is>
          <t>33 85 4956 478-3</t>
        </is>
      </c>
      <c r="J846" s="56" t="n">
        <v>44910</v>
      </c>
    </row>
    <row r="847">
      <c r="B847" s="2" t="inlineStr">
        <is>
          <t>D67380B49068</t>
        </is>
      </c>
      <c r="D847" s="65" t="inlineStr">
        <is>
          <t>PR2206-572</t>
        </is>
      </c>
      <c r="E847" t="inlineStr">
        <is>
          <t>HUPAC</t>
        </is>
      </c>
      <c r="F847" t="inlineStr">
        <is>
          <t>CARGO</t>
        </is>
      </c>
      <c r="G847" t="inlineStr">
        <is>
          <t>33 85 4575 320-8</t>
        </is>
      </c>
      <c r="J847" s="56" t="n">
        <v>44910</v>
      </c>
    </row>
    <row r="848">
      <c r="B848" s="2" t="inlineStr">
        <is>
          <t>EE19365A0EAB</t>
        </is>
      </c>
      <c r="D848" s="65" t="inlineStr">
        <is>
          <t>PR2211-024</t>
        </is>
      </c>
      <c r="E848" t="inlineStr">
        <is>
          <t>HUPAC</t>
        </is>
      </c>
      <c r="F848" t="inlineStr">
        <is>
          <t>CARGO</t>
        </is>
      </c>
      <c r="G848" t="inlineStr">
        <is>
          <t xml:space="preserve">33 85 4956 699-4 </t>
        </is>
      </c>
      <c r="J848" s="56" t="n">
        <v>44910</v>
      </c>
    </row>
    <row r="849">
      <c r="B849" s="2" t="inlineStr">
        <is>
          <t>E9341CF413A0</t>
        </is>
      </c>
      <c r="D849" s="65" t="inlineStr">
        <is>
          <t>PR2203-013</t>
        </is>
      </c>
      <c r="E849" t="inlineStr">
        <is>
          <t>HUPAC</t>
        </is>
      </c>
      <c r="F849" t="inlineStr">
        <is>
          <t>CARGO</t>
        </is>
      </c>
      <c r="G849" t="inlineStr">
        <is>
          <t xml:space="preserve">33 85 4956 699-4 </t>
        </is>
      </c>
      <c r="J849" s="56" t="n">
        <v>44910</v>
      </c>
    </row>
    <row r="850">
      <c r="B850" s="2" t="inlineStr">
        <is>
          <t>F0B8BDBA570A</t>
        </is>
      </c>
      <c r="D850" s="65" t="inlineStr">
        <is>
          <t>PR2203-393</t>
        </is>
      </c>
      <c r="E850" t="inlineStr">
        <is>
          <t>HUPAC</t>
        </is>
      </c>
      <c r="F850" t="inlineStr">
        <is>
          <t>CARGO</t>
        </is>
      </c>
      <c r="G850" t="inlineStr">
        <is>
          <t xml:space="preserve">33 85 4956 699-4 </t>
        </is>
      </c>
      <c r="J850" s="56" t="n">
        <v>44910</v>
      </c>
    </row>
    <row r="851">
      <c r="B851" s="2" t="inlineStr">
        <is>
          <t>ED59A0BAE093</t>
        </is>
      </c>
      <c r="D851" s="65" t="inlineStr">
        <is>
          <t>PR2203-372</t>
        </is>
      </c>
      <c r="E851" t="inlineStr">
        <is>
          <t>HUPAC</t>
        </is>
      </c>
      <c r="F851" t="inlineStr">
        <is>
          <t>CARGO</t>
        </is>
      </c>
      <c r="G851" t="inlineStr">
        <is>
          <t>33 85 4956 478-3</t>
        </is>
      </c>
      <c r="J851" s="56" t="n">
        <v>44910</v>
      </c>
    </row>
    <row r="852">
      <c r="B852" s="2" t="inlineStr">
        <is>
          <t>DECEB8A1E278</t>
        </is>
      </c>
      <c r="D852" s="65" t="inlineStr">
        <is>
          <t>PR2211-022</t>
        </is>
      </c>
      <c r="E852" t="inlineStr">
        <is>
          <t>HUPAC</t>
        </is>
      </c>
      <c r="F852" t="inlineStr">
        <is>
          <t>CARGO</t>
        </is>
      </c>
      <c r="G852" t="inlineStr">
        <is>
          <t>33 85 4956 478-3</t>
        </is>
      </c>
      <c r="J852" s="56" t="n">
        <v>44910</v>
      </c>
    </row>
    <row r="853">
      <c r="B853" s="2" t="inlineStr">
        <is>
          <t>D888FD3F8C04</t>
        </is>
      </c>
      <c r="D853" s="65" t="inlineStr">
        <is>
          <t>PR2206-569</t>
        </is>
      </c>
      <c r="E853" t="inlineStr">
        <is>
          <t>HUPAC</t>
        </is>
      </c>
      <c r="F853" t="inlineStr">
        <is>
          <t>CARGO</t>
        </is>
      </c>
      <c r="G853" t="inlineStr">
        <is>
          <t>33 85 4956 478-3</t>
        </is>
      </c>
      <c r="J853" s="56" t="n">
        <v>44910</v>
      </c>
    </row>
    <row r="854">
      <c r="B854" s="2" t="inlineStr">
        <is>
          <t>C5A12B748EB1</t>
        </is>
      </c>
      <c r="D854" s="65" t="inlineStr">
        <is>
          <t>PR2211-006</t>
        </is>
      </c>
      <c r="E854" t="inlineStr">
        <is>
          <t>HUPAC</t>
        </is>
      </c>
      <c r="F854" t="inlineStr">
        <is>
          <t>CARGO</t>
        </is>
      </c>
      <c r="G854" t="inlineStr">
        <is>
          <t>33 85 4956 478-3</t>
        </is>
      </c>
      <c r="J854" s="56" t="n">
        <v>44910</v>
      </c>
    </row>
    <row r="855">
      <c r="B855" s="2" t="inlineStr">
        <is>
          <t>C9428294550F</t>
        </is>
      </c>
      <c r="D855" s="65" t="inlineStr">
        <is>
          <t>PR2206-414</t>
        </is>
      </c>
      <c r="E855" t="inlineStr">
        <is>
          <t>HUPAC</t>
        </is>
      </c>
      <c r="F855" t="inlineStr">
        <is>
          <t>CARGO</t>
        </is>
      </c>
      <c r="G855" t="inlineStr">
        <is>
          <t>33 85 4575 320-8</t>
        </is>
      </c>
      <c r="J855" s="56" t="n">
        <v>44910</v>
      </c>
    </row>
    <row r="856">
      <c r="B856" s="2" t="inlineStr">
        <is>
          <t>FB63C4117E6B</t>
        </is>
      </c>
      <c r="D856" s="65" t="inlineStr">
        <is>
          <t>PR2211-019</t>
        </is>
      </c>
      <c r="E856" t="inlineStr">
        <is>
          <t>HUPAC</t>
        </is>
      </c>
      <c r="F856" t="inlineStr">
        <is>
          <t>CARGO</t>
        </is>
      </c>
      <c r="G856" t="inlineStr">
        <is>
          <t>33 85 4956 478-3</t>
        </is>
      </c>
      <c r="J856" s="56" t="n">
        <v>44910</v>
      </c>
    </row>
    <row r="857">
      <c r="B857" s="2" t="inlineStr">
        <is>
          <t>F527EBFDA978</t>
        </is>
      </c>
      <c r="D857" s="65" t="inlineStr">
        <is>
          <t>PR2203-037</t>
        </is>
      </c>
      <c r="E857" t="inlineStr">
        <is>
          <t>HUPAC</t>
        </is>
      </c>
      <c r="F857" t="inlineStr">
        <is>
          <t>CARGO</t>
        </is>
      </c>
      <c r="G857" t="inlineStr">
        <is>
          <t>33 85 4556 814-3</t>
        </is>
      </c>
      <c r="J857" s="56" t="n">
        <v>44910</v>
      </c>
    </row>
    <row r="858">
      <c r="B858" s="2" t="inlineStr">
        <is>
          <t>E9A60347F773</t>
        </is>
      </c>
      <c r="D858" s="65" t="inlineStr">
        <is>
          <t>PR2203-213</t>
        </is>
      </c>
      <c r="E858" t="inlineStr">
        <is>
          <t>HUPAC</t>
        </is>
      </c>
      <c r="F858" t="inlineStr">
        <is>
          <t>CARGO</t>
        </is>
      </c>
      <c r="G858" t="inlineStr">
        <is>
          <t xml:space="preserve">33 85 4956 699-4 </t>
        </is>
      </c>
      <c r="J858" s="56" t="n">
        <v>44910</v>
      </c>
    </row>
    <row r="859">
      <c r="B859" s="2" t="inlineStr">
        <is>
          <t>EB8B9E63E6A0</t>
        </is>
      </c>
      <c r="D859" s="65" t="inlineStr">
        <is>
          <t>PR2203-066</t>
        </is>
      </c>
      <c r="E859" t="inlineStr">
        <is>
          <t>HUPAC</t>
        </is>
      </c>
      <c r="F859" t="inlineStr">
        <is>
          <t>CARGO</t>
        </is>
      </c>
      <c r="G859" t="inlineStr">
        <is>
          <t xml:space="preserve">33 85 4956 699-4 </t>
        </is>
      </c>
      <c r="J859" s="56" t="n">
        <v>44910</v>
      </c>
    </row>
    <row r="860">
      <c r="B860" s="2" t="inlineStr">
        <is>
          <t>E2988D48AFFC</t>
        </is>
      </c>
      <c r="D860" s="65" t="inlineStr">
        <is>
          <t>PR2203-292</t>
        </is>
      </c>
      <c r="E860" t="inlineStr">
        <is>
          <t>HUPAC</t>
        </is>
      </c>
      <c r="F860" t="inlineStr">
        <is>
          <t>CARGO</t>
        </is>
      </c>
      <c r="G860" t="inlineStr">
        <is>
          <t>33 85 4506 221-2</t>
        </is>
      </c>
      <c r="J860" s="56" t="n">
        <v>44910</v>
      </c>
    </row>
    <row r="861">
      <c r="B861" s="2" t="inlineStr">
        <is>
          <t>EBF7FB8D70B7</t>
        </is>
      </c>
      <c r="D861" s="65" t="inlineStr">
        <is>
          <t>PR2206-466</t>
        </is>
      </c>
      <c r="E861" t="inlineStr">
        <is>
          <t>HUPAC</t>
        </is>
      </c>
      <c r="F861" t="inlineStr">
        <is>
          <t>CARGO</t>
        </is>
      </c>
      <c r="G861" t="inlineStr">
        <is>
          <t>33 85 4511 080-5</t>
        </is>
      </c>
      <c r="J861" s="56" t="n">
        <v>44910</v>
      </c>
    </row>
    <row r="862">
      <c r="B862" s="2" t="inlineStr">
        <is>
          <t>DB446D1B5119</t>
        </is>
      </c>
      <c r="D862" s="65" t="inlineStr">
        <is>
          <t>PR2203-355</t>
        </is>
      </c>
      <c r="E862" t="inlineStr">
        <is>
          <t>HUPAC</t>
        </is>
      </c>
      <c r="F862" t="inlineStr">
        <is>
          <t>CARGO</t>
        </is>
      </c>
      <c r="G862" t="inlineStr">
        <is>
          <t>33 85 4956 710-9</t>
        </is>
      </c>
      <c r="J862" s="56" t="n">
        <v>44910</v>
      </c>
    </row>
    <row r="863">
      <c r="B863" s="2" t="inlineStr">
        <is>
          <t>C27C2EB3C28F</t>
        </is>
      </c>
      <c r="D863" s="65" t="inlineStr">
        <is>
          <t>PR2206-492</t>
        </is>
      </c>
      <c r="E863" t="inlineStr">
        <is>
          <t>HUPAC</t>
        </is>
      </c>
      <c r="F863" t="inlineStr">
        <is>
          <t>CARGO</t>
        </is>
      </c>
      <c r="G863" t="inlineStr">
        <is>
          <t>33 85 4511 080-5</t>
        </is>
      </c>
      <c r="J863" s="56" t="n">
        <v>44910</v>
      </c>
    </row>
    <row r="864">
      <c r="B864" s="2" t="inlineStr">
        <is>
          <t>F43C9048F67F</t>
        </is>
      </c>
      <c r="D864" s="65" t="inlineStr">
        <is>
          <t>PR2206-547</t>
        </is>
      </c>
      <c r="E864" t="inlineStr">
        <is>
          <t>HUPAC</t>
        </is>
      </c>
      <c r="F864" t="inlineStr">
        <is>
          <t>CARGO</t>
        </is>
      </c>
      <c r="G864" t="inlineStr">
        <is>
          <t xml:space="preserve">33 85 4956 699-4 </t>
        </is>
      </c>
      <c r="J864" s="56" t="n">
        <v>44910</v>
      </c>
    </row>
    <row r="865">
      <c r="B865" s="2" t="inlineStr">
        <is>
          <t>E3BFB14DB9C1</t>
        </is>
      </c>
      <c r="D865" s="65" t="inlineStr">
        <is>
          <t>PR2206-461</t>
        </is>
      </c>
      <c r="E865" t="inlineStr">
        <is>
          <t>HUPAC</t>
        </is>
      </c>
      <c r="F865" t="inlineStr">
        <is>
          <t>CARGO</t>
        </is>
      </c>
      <c r="G865" t="inlineStr">
        <is>
          <t>33 85 4956 478-3</t>
        </is>
      </c>
      <c r="J865" s="56" t="n">
        <v>44910</v>
      </c>
    </row>
    <row r="866">
      <c r="B866" s="2" t="inlineStr">
        <is>
          <t>EB550B8F347E</t>
        </is>
      </c>
      <c r="D866" s="65" t="inlineStr">
        <is>
          <t>PR2211-021</t>
        </is>
      </c>
      <c r="E866" t="inlineStr">
        <is>
          <t>HUPAC</t>
        </is>
      </c>
      <c r="F866" t="inlineStr">
        <is>
          <t>CARGO</t>
        </is>
      </c>
      <c r="G866" t="inlineStr">
        <is>
          <t>33 85 4956 478-3</t>
        </is>
      </c>
      <c r="J866" s="56" t="n">
        <v>44910</v>
      </c>
    </row>
    <row r="867">
      <c r="B867" s="2" t="inlineStr">
        <is>
          <t>CC70C6E37D86</t>
        </is>
      </c>
      <c r="D867" s="65" t="inlineStr">
        <is>
          <t>PR2203-011</t>
        </is>
      </c>
      <c r="E867" t="inlineStr">
        <is>
          <t>HUPAC</t>
        </is>
      </c>
      <c r="F867" t="inlineStr">
        <is>
          <t>CARGO</t>
        </is>
      </c>
      <c r="G867" t="inlineStr">
        <is>
          <t>33 85 4956 478-3</t>
        </is>
      </c>
      <c r="J867" s="56" t="n">
        <v>44910</v>
      </c>
    </row>
    <row r="868">
      <c r="B868" s="2" t="inlineStr">
        <is>
          <t>F2D91205ACDA</t>
        </is>
      </c>
      <c r="D868" s="65" t="inlineStr">
        <is>
          <t>PR2206-460</t>
        </is>
      </c>
      <c r="E868" t="inlineStr">
        <is>
          <t>HUPAC</t>
        </is>
      </c>
      <c r="F868" t="inlineStr">
        <is>
          <t>CARGO</t>
        </is>
      </c>
      <c r="G868" t="inlineStr">
        <is>
          <t>33 85 4575 320-8</t>
        </is>
      </c>
      <c r="J868" s="56" t="n">
        <v>44910</v>
      </c>
    </row>
    <row r="869">
      <c r="B869" s="2" t="inlineStr">
        <is>
          <t>D7253FFB943A</t>
        </is>
      </c>
      <c r="D869" s="65" t="inlineStr">
        <is>
          <t>PR2206-534</t>
        </is>
      </c>
      <c r="E869" t="inlineStr">
        <is>
          <t>HUPAC</t>
        </is>
      </c>
      <c r="F869" t="inlineStr">
        <is>
          <t>CARGO</t>
        </is>
      </c>
      <c r="G869" t="inlineStr">
        <is>
          <t>33 85 4575 320-8</t>
        </is>
      </c>
      <c r="J869" s="56" t="n">
        <v>44910</v>
      </c>
    </row>
    <row r="870">
      <c r="B870" s="2" t="inlineStr">
        <is>
          <t>FB1BF991AB3B</t>
        </is>
      </c>
      <c r="D870" s="65" t="inlineStr">
        <is>
          <t>PR2206-529</t>
        </is>
      </c>
      <c r="E870" t="inlineStr">
        <is>
          <t>HUPAC</t>
        </is>
      </c>
      <c r="F870" t="inlineStr">
        <is>
          <t>CARGO</t>
        </is>
      </c>
      <c r="G870" t="inlineStr">
        <is>
          <t>33 85 4956 478-3</t>
        </is>
      </c>
      <c r="J870" s="56" t="n">
        <v>44910</v>
      </c>
    </row>
    <row r="871">
      <c r="B871" s="2" t="inlineStr">
        <is>
          <t>CDB2B982E25B</t>
        </is>
      </c>
      <c r="D871" s="65" t="inlineStr">
        <is>
          <t>PR2211-004</t>
        </is>
      </c>
      <c r="E871" t="inlineStr">
        <is>
          <t>HUPAC</t>
        </is>
      </c>
      <c r="F871" t="inlineStr">
        <is>
          <t>CARGO</t>
        </is>
      </c>
      <c r="G871" t="inlineStr">
        <is>
          <t>33 85 4575 320-8</t>
        </is>
      </c>
      <c r="J871" s="56" t="n">
        <v>44910</v>
      </c>
    </row>
    <row r="872">
      <c r="B872" s="2" t="inlineStr">
        <is>
          <t>D1439C4D1272</t>
        </is>
      </c>
      <c r="D872" s="65" t="inlineStr">
        <is>
          <t>PR2206-423</t>
        </is>
      </c>
      <c r="E872" t="inlineStr">
        <is>
          <t>HUPAC</t>
        </is>
      </c>
      <c r="F872" t="inlineStr">
        <is>
          <t>CARGO</t>
        </is>
      </c>
      <c r="G872" t="inlineStr">
        <is>
          <t>33 85 4575 320-8</t>
        </is>
      </c>
      <c r="J872" s="56" t="n">
        <v>44910</v>
      </c>
    </row>
    <row r="873">
      <c r="B873" s="2" t="inlineStr">
        <is>
          <t>E4484D2CE659</t>
        </is>
      </c>
      <c r="D873" s="65" t="inlineStr">
        <is>
          <t>PR2206-528</t>
        </is>
      </c>
      <c r="E873" t="inlineStr">
        <is>
          <t>HUPAC</t>
        </is>
      </c>
      <c r="F873" t="inlineStr">
        <is>
          <t>CARGO</t>
        </is>
      </c>
      <c r="G873" t="inlineStr">
        <is>
          <t xml:space="preserve">33 85 4956 699-4 </t>
        </is>
      </c>
      <c r="J873" s="56" t="n">
        <v>44910</v>
      </c>
    </row>
    <row r="874">
      <c r="B874" s="2" t="inlineStr">
        <is>
          <t>D608505B2C8A</t>
        </is>
      </c>
      <c r="D874" s="65" t="inlineStr">
        <is>
          <t>PR2203-369</t>
        </is>
      </c>
      <c r="E874" t="inlineStr">
        <is>
          <t>HUPAC</t>
        </is>
      </c>
      <c r="F874" t="inlineStr">
        <is>
          <t>CARGO</t>
        </is>
      </c>
      <c r="G874" t="inlineStr">
        <is>
          <t>33 85 4506 221-2</t>
        </is>
      </c>
      <c r="J874" s="56" t="n">
        <v>44910</v>
      </c>
    </row>
    <row r="875">
      <c r="B875" s="2" t="inlineStr">
        <is>
          <t>C892D0544A9E</t>
        </is>
      </c>
      <c r="D875" s="65" t="inlineStr">
        <is>
          <t>PR2203-331</t>
        </is>
      </c>
      <c r="E875" t="inlineStr">
        <is>
          <t>HUPAC</t>
        </is>
      </c>
      <c r="F875" t="inlineStr">
        <is>
          <t>CARGO</t>
        </is>
      </c>
      <c r="G875" t="inlineStr">
        <is>
          <t>33 85 4956 710-9</t>
        </is>
      </c>
      <c r="J875" s="56" t="n">
        <v>44910</v>
      </c>
    </row>
    <row r="876">
      <c r="B876" s="2" t="inlineStr">
        <is>
          <t>D0979128E94A</t>
        </is>
      </c>
      <c r="D876" s="65" t="inlineStr">
        <is>
          <t>PR2206-566</t>
        </is>
      </c>
      <c r="E876" t="inlineStr">
        <is>
          <t>HUPAC</t>
        </is>
      </c>
      <c r="F876" t="inlineStr">
        <is>
          <t>CARGO</t>
        </is>
      </c>
      <c r="G876" t="inlineStr">
        <is>
          <t>33 85 4956 710-9</t>
        </is>
      </c>
      <c r="J876" s="56" t="n">
        <v>44910</v>
      </c>
    </row>
    <row r="877">
      <c r="B877" s="2" t="inlineStr">
        <is>
          <t>FDF25DA6491A</t>
        </is>
      </c>
      <c r="D877" s="65" t="inlineStr">
        <is>
          <t>PR2203-010</t>
        </is>
      </c>
      <c r="E877" t="inlineStr">
        <is>
          <t>HUPAC</t>
        </is>
      </c>
      <c r="F877" t="inlineStr">
        <is>
          <t>CARGO</t>
        </is>
      </c>
      <c r="G877" t="inlineStr">
        <is>
          <t>33 85 4956 478-3</t>
        </is>
      </c>
      <c r="J877" s="56" t="n">
        <v>44910</v>
      </c>
    </row>
    <row r="878">
      <c r="B878" s="2" t="inlineStr">
        <is>
          <t>F4E72978A432</t>
        </is>
      </c>
      <c r="D878" s="65" t="inlineStr">
        <is>
          <t>PR2203-364</t>
        </is>
      </c>
      <c r="E878" t="inlineStr">
        <is>
          <t>HUPAC</t>
        </is>
      </c>
      <c r="F878" t="inlineStr">
        <is>
          <t>CARGO</t>
        </is>
      </c>
      <c r="G878" t="inlineStr">
        <is>
          <t>33 85 4956 673-9</t>
        </is>
      </c>
      <c r="J878" s="56" t="n">
        <v>44910</v>
      </c>
    </row>
    <row r="879">
      <c r="B879" s="2" t="inlineStr">
        <is>
          <t>C77B61184959</t>
        </is>
      </c>
      <c r="D879" s="65" t="inlineStr">
        <is>
          <t>PR2211-010</t>
        </is>
      </c>
      <c r="E879" t="inlineStr">
        <is>
          <t>HUPAC</t>
        </is>
      </c>
      <c r="F879" t="inlineStr">
        <is>
          <t>CARGO</t>
        </is>
      </c>
      <c r="G879" t="inlineStr">
        <is>
          <t>33 85 4511 080-5</t>
        </is>
      </c>
      <c r="J879" s="56" t="n">
        <v>44910</v>
      </c>
    </row>
    <row r="880">
      <c r="B880" s="2" t="inlineStr">
        <is>
          <t>D6451BD54BE7</t>
        </is>
      </c>
      <c r="D880" s="65" t="inlineStr">
        <is>
          <t>PR2203-348</t>
        </is>
      </c>
      <c r="E880" t="inlineStr">
        <is>
          <t>HUPAC</t>
        </is>
      </c>
      <c r="F880" t="inlineStr">
        <is>
          <t>CARGO</t>
        </is>
      </c>
      <c r="G880" t="inlineStr">
        <is>
          <t xml:space="preserve">33 85 4956 699-4 </t>
        </is>
      </c>
      <c r="J880" s="56" t="n">
        <v>44910</v>
      </c>
    </row>
    <row r="881">
      <c r="B881" s="2" t="inlineStr">
        <is>
          <t>CF55B51E7637</t>
        </is>
      </c>
      <c r="D881" s="65" t="inlineStr">
        <is>
          <t>PR2206-448</t>
        </is>
      </c>
      <c r="E881" t="inlineStr">
        <is>
          <t>HUPAC</t>
        </is>
      </c>
      <c r="F881" t="inlineStr">
        <is>
          <t>CARGO</t>
        </is>
      </c>
      <c r="G881" t="inlineStr">
        <is>
          <t>33 85 4556 814-3</t>
        </is>
      </c>
      <c r="J881" s="56" t="n">
        <v>44910</v>
      </c>
    </row>
    <row r="882">
      <c r="B882" s="2" t="inlineStr">
        <is>
          <t>C1D14E2D9AD7</t>
        </is>
      </c>
      <c r="D882" s="65" t="inlineStr">
        <is>
          <t>PR2206-494</t>
        </is>
      </c>
      <c r="E882" t="inlineStr">
        <is>
          <t>HUPAC</t>
        </is>
      </c>
      <c r="F882" t="inlineStr">
        <is>
          <t>CARGO</t>
        </is>
      </c>
      <c r="G882" t="inlineStr">
        <is>
          <t>33 85 4511 080-5</t>
        </is>
      </c>
      <c r="J882" s="56" t="n">
        <v>44910</v>
      </c>
    </row>
    <row r="883">
      <c r="B883" s="2" t="inlineStr">
        <is>
          <t>D3D516FCDD42</t>
        </is>
      </c>
      <c r="D883" s="65" t="inlineStr">
        <is>
          <t>PR2206-601</t>
        </is>
      </c>
      <c r="E883" t="inlineStr">
        <is>
          <t>HUPAC</t>
        </is>
      </c>
      <c r="F883" t="inlineStr">
        <is>
          <t>CARGO</t>
        </is>
      </c>
      <c r="G883" t="inlineStr">
        <is>
          <t>33 85 4956 673-9</t>
        </is>
      </c>
      <c r="J883" s="56" t="n">
        <v>44910</v>
      </c>
    </row>
    <row r="884">
      <c r="B884" s="2" t="inlineStr">
        <is>
          <t>C950C0F81014</t>
        </is>
      </c>
      <c r="D884" s="65" t="inlineStr">
        <is>
          <t>PR2206-486</t>
        </is>
      </c>
      <c r="E884" t="inlineStr">
        <is>
          <t>HUPAC</t>
        </is>
      </c>
      <c r="F884" t="inlineStr">
        <is>
          <t>CARGO</t>
        </is>
      </c>
      <c r="G884" t="inlineStr">
        <is>
          <t>33 85 4506 221-2</t>
        </is>
      </c>
      <c r="J884" s="56" t="n">
        <v>44910</v>
      </c>
    </row>
    <row r="885">
      <c r="B885" s="2" t="inlineStr">
        <is>
          <t>E4A4917F78F1</t>
        </is>
      </c>
      <c r="D885" s="65" t="inlineStr">
        <is>
          <t>PR2206-451</t>
        </is>
      </c>
      <c r="E885" t="inlineStr">
        <is>
          <t>HUPAC</t>
        </is>
      </c>
      <c r="F885" t="inlineStr">
        <is>
          <t>CARGO</t>
        </is>
      </c>
      <c r="G885" t="inlineStr">
        <is>
          <t>33 85 4956 673-9</t>
        </is>
      </c>
      <c r="J885" s="56" t="n">
        <v>44910</v>
      </c>
    </row>
    <row r="886">
      <c r="B886" s="2" t="inlineStr">
        <is>
          <t>E5C9B0BFB7D2</t>
        </is>
      </c>
      <c r="D886" s="65" t="inlineStr">
        <is>
          <t>PR2203-262</t>
        </is>
      </c>
      <c r="E886" t="inlineStr">
        <is>
          <t>HUPAC</t>
        </is>
      </c>
      <c r="F886" t="inlineStr">
        <is>
          <t>CARGO</t>
        </is>
      </c>
      <c r="G886" t="inlineStr">
        <is>
          <t>33 85 4556 814-3</t>
        </is>
      </c>
      <c r="J886" s="56" t="n">
        <v>44910</v>
      </c>
    </row>
    <row r="887">
      <c r="B887" s="2" t="inlineStr">
        <is>
          <t>EB82770597B0</t>
        </is>
      </c>
      <c r="D887" s="65" t="inlineStr">
        <is>
          <t>PR2206-454</t>
        </is>
      </c>
      <c r="E887" t="inlineStr">
        <is>
          <t>HUPAC</t>
        </is>
      </c>
      <c r="F887" t="inlineStr">
        <is>
          <t>CARGO</t>
        </is>
      </c>
      <c r="G887" t="inlineStr">
        <is>
          <t>33 85 4511 080-5</t>
        </is>
      </c>
      <c r="J887" s="56" t="n">
        <v>44910</v>
      </c>
    </row>
    <row r="888">
      <c r="B888" s="2" t="inlineStr">
        <is>
          <t>CD8E4A47BC85</t>
        </is>
      </c>
      <c r="D888" s="65" t="inlineStr">
        <is>
          <t>PR2203-253</t>
        </is>
      </c>
      <c r="E888" t="inlineStr">
        <is>
          <t>HUPAC</t>
        </is>
      </c>
      <c r="F888" t="inlineStr">
        <is>
          <t>CARGO</t>
        </is>
      </c>
      <c r="G888" t="inlineStr">
        <is>
          <t xml:space="preserve">33 85 4956 710-9 </t>
        </is>
      </c>
      <c r="J888" s="56" t="n">
        <v>44910</v>
      </c>
    </row>
    <row r="889">
      <c r="B889" s="2" t="inlineStr">
        <is>
          <t>EFF876CD19F2</t>
        </is>
      </c>
      <c r="D889" s="65" t="inlineStr">
        <is>
          <t>PR2206-558</t>
        </is>
      </c>
      <c r="E889" t="inlineStr">
        <is>
          <t>HUPAC</t>
        </is>
      </c>
      <c r="F889" t="inlineStr">
        <is>
          <t>CARGO</t>
        </is>
      </c>
      <c r="G889" t="inlineStr">
        <is>
          <t>33 85 4956 710-9</t>
        </is>
      </c>
      <c r="J889" s="56" t="n">
        <v>44910</v>
      </c>
    </row>
    <row r="890">
      <c r="B890" s="2" t="inlineStr">
        <is>
          <t>F888CAC3949C</t>
        </is>
      </c>
      <c r="D890" s="65" t="inlineStr">
        <is>
          <t>PR2203-186</t>
        </is>
      </c>
      <c r="E890" t="inlineStr">
        <is>
          <t>HUPAC</t>
        </is>
      </c>
      <c r="F890" t="inlineStr">
        <is>
          <t>CARGO</t>
        </is>
      </c>
      <c r="G890" t="inlineStr">
        <is>
          <t>33 85 4956 673-9</t>
        </is>
      </c>
      <c r="J890" s="56" t="n">
        <v>44910</v>
      </c>
    </row>
    <row r="891">
      <c r="B891" s="2" t="inlineStr">
        <is>
          <t>DED04C59E6A7</t>
        </is>
      </c>
      <c r="D891" s="65" t="inlineStr">
        <is>
          <t>PR2206-571</t>
        </is>
      </c>
      <c r="E891" t="inlineStr">
        <is>
          <t>HUPAC</t>
        </is>
      </c>
      <c r="F891" t="inlineStr">
        <is>
          <t>CARGO</t>
        </is>
      </c>
      <c r="G891" t="inlineStr">
        <is>
          <t>33 85 4956 710-9</t>
        </is>
      </c>
      <c r="J891" s="56" t="n">
        <v>44910</v>
      </c>
    </row>
    <row r="892">
      <c r="B892" s="2" t="inlineStr">
        <is>
          <t>EE63A98A1584</t>
        </is>
      </c>
      <c r="D892" s="65" t="inlineStr">
        <is>
          <t>PR2206-462</t>
        </is>
      </c>
      <c r="E892" t="inlineStr">
        <is>
          <t>HUPAC</t>
        </is>
      </c>
      <c r="F892" t="inlineStr">
        <is>
          <t>CARGO</t>
        </is>
      </c>
      <c r="G892" t="inlineStr">
        <is>
          <t>33 85 4956 673-9</t>
        </is>
      </c>
      <c r="J892" s="56" t="n">
        <v>44910</v>
      </c>
    </row>
    <row r="893">
      <c r="B893" s="2" t="inlineStr">
        <is>
          <t>FDCD8EB1DC05</t>
        </is>
      </c>
      <c r="D893" s="65" t="inlineStr">
        <is>
          <t>PR2206-450</t>
        </is>
      </c>
      <c r="E893" t="inlineStr">
        <is>
          <t>HUPAC</t>
        </is>
      </c>
      <c r="F893" t="inlineStr">
        <is>
          <t>CARGO</t>
        </is>
      </c>
      <c r="G893" t="inlineStr">
        <is>
          <t>33 85 4956 710-9</t>
        </is>
      </c>
      <c r="J893" s="56" t="n">
        <v>44910</v>
      </c>
    </row>
    <row r="894">
      <c r="B894" s="2" t="inlineStr">
        <is>
          <t>C14A486C51DA</t>
        </is>
      </c>
      <c r="D894" s="65" t="inlineStr">
        <is>
          <t>PR2203-239</t>
        </is>
      </c>
      <c r="E894" t="inlineStr">
        <is>
          <t>HUPAC</t>
        </is>
      </c>
      <c r="F894" t="inlineStr">
        <is>
          <t>CARGO</t>
        </is>
      </c>
      <c r="G894" t="inlineStr">
        <is>
          <t>33 85 4956 673-9</t>
        </is>
      </c>
      <c r="J894" s="56" t="n">
        <v>44910</v>
      </c>
    </row>
    <row r="895">
      <c r="B895" s="2" t="inlineStr">
        <is>
          <t>CB3BAA60ECE4</t>
        </is>
      </c>
      <c r="D895" s="65" t="inlineStr">
        <is>
          <t>PR2211-020</t>
        </is>
      </c>
      <c r="E895" t="inlineStr">
        <is>
          <t>HUPAC</t>
        </is>
      </c>
      <c r="F895" t="inlineStr">
        <is>
          <t>CARGO</t>
        </is>
      </c>
      <c r="G895" t="inlineStr">
        <is>
          <t>33 85 4506 221-2</t>
        </is>
      </c>
      <c r="J895" s="56" t="n">
        <v>44910</v>
      </c>
    </row>
    <row r="896">
      <c r="B896" s="2" t="inlineStr">
        <is>
          <t>CBBBD107BB89</t>
        </is>
      </c>
      <c r="D896" s="65" t="inlineStr">
        <is>
          <t>PR2206-440</t>
        </is>
      </c>
      <c r="E896" t="inlineStr">
        <is>
          <t>HUPAC</t>
        </is>
      </c>
      <c r="F896" t="inlineStr">
        <is>
          <t>CARGO</t>
        </is>
      </c>
      <c r="G896" t="inlineStr">
        <is>
          <t>33 85 4506 221-2</t>
        </is>
      </c>
      <c r="J896" s="56" t="n">
        <v>44910</v>
      </c>
    </row>
    <row r="897">
      <c r="B897" s="2" t="inlineStr">
        <is>
          <t>D7B622A6F064</t>
        </is>
      </c>
      <c r="D897" s="65" t="inlineStr">
        <is>
          <t>PR2206-426</t>
        </is>
      </c>
      <c r="E897" t="inlineStr">
        <is>
          <t>HUPAC</t>
        </is>
      </c>
      <c r="F897" t="inlineStr">
        <is>
          <t>CARGO</t>
        </is>
      </c>
      <c r="G897" t="inlineStr">
        <is>
          <t>33 85 4956 710-9</t>
        </is>
      </c>
      <c r="J897" s="56" t="n">
        <v>44910</v>
      </c>
    </row>
    <row r="898">
      <c r="B898" s="2" t="inlineStr">
        <is>
          <t>CEAAF499AF24</t>
        </is>
      </c>
      <c r="D898" s="65" t="inlineStr">
        <is>
          <t>PR2206-467</t>
        </is>
      </c>
      <c r="E898" t="inlineStr">
        <is>
          <t>HUPAC</t>
        </is>
      </c>
      <c r="F898" t="inlineStr">
        <is>
          <t>CARGO</t>
        </is>
      </c>
      <c r="G898" t="inlineStr">
        <is>
          <t>33 85 4956 673-9</t>
        </is>
      </c>
      <c r="J898" s="56" t="n">
        <v>44910</v>
      </c>
    </row>
    <row r="899">
      <c r="B899" s="2" t="inlineStr">
        <is>
          <t>E144CBC2D0F5</t>
        </is>
      </c>
      <c r="D899" s="65" t="inlineStr">
        <is>
          <t>PR2206-420</t>
        </is>
      </c>
      <c r="E899" t="inlineStr">
        <is>
          <t>HUPAC</t>
        </is>
      </c>
      <c r="F899" t="inlineStr">
        <is>
          <t>CARGO</t>
        </is>
      </c>
      <c r="G899" t="inlineStr">
        <is>
          <t>33 85 4956 673-9</t>
        </is>
      </c>
      <c r="J899" s="56" t="n">
        <v>44910</v>
      </c>
    </row>
    <row r="900">
      <c r="B900" s="2" t="inlineStr">
        <is>
          <t>EFA46ACE4161</t>
        </is>
      </c>
      <c r="D900" s="65" t="inlineStr">
        <is>
          <t>PR2206-502</t>
        </is>
      </c>
      <c r="E900" t="inlineStr">
        <is>
          <t>HUPAC</t>
        </is>
      </c>
      <c r="F900" t="inlineStr">
        <is>
          <t>CARGO</t>
        </is>
      </c>
      <c r="G900" t="inlineStr">
        <is>
          <t>33 85 4511 080-5</t>
        </is>
      </c>
      <c r="J900" s="56" t="n">
        <v>44910</v>
      </c>
    </row>
    <row r="901">
      <c r="B901" s="2" t="inlineStr">
        <is>
          <t>C4E0CA6C6EB3</t>
        </is>
      </c>
      <c r="D901" s="65" t="inlineStr">
        <is>
          <t>PR2206-405</t>
        </is>
      </c>
      <c r="E901" t="inlineStr">
        <is>
          <t>HUPAC</t>
        </is>
      </c>
      <c r="F901" t="inlineStr">
        <is>
          <t>CARGO</t>
        </is>
      </c>
      <c r="G901" t="inlineStr">
        <is>
          <t>33 85 4956 673-9</t>
        </is>
      </c>
      <c r="J901" s="56" t="n">
        <v>44910</v>
      </c>
    </row>
    <row r="902">
      <c r="B902" s="2" t="inlineStr">
        <is>
          <t>CFD6E41D547C</t>
        </is>
      </c>
      <c r="D902" s="65" t="inlineStr">
        <is>
          <t>PR2211-027</t>
        </is>
      </c>
      <c r="E902" t="inlineStr">
        <is>
          <t>HUPAC</t>
        </is>
      </c>
      <c r="F902" t="inlineStr">
        <is>
          <t>CARGO</t>
        </is>
      </c>
      <c r="G902" t="inlineStr">
        <is>
          <t>33 85 4556 814-3</t>
        </is>
      </c>
      <c r="J902" s="56" t="n">
        <v>44910</v>
      </c>
    </row>
    <row r="903">
      <c r="B903" s="2" t="inlineStr">
        <is>
          <t>D34B1ACF7C99</t>
        </is>
      </c>
      <c r="D903" s="65" t="inlineStr">
        <is>
          <t>PR2203-252</t>
        </is>
      </c>
      <c r="E903" t="inlineStr">
        <is>
          <t>HUPAC</t>
        </is>
      </c>
      <c r="F903" t="inlineStr">
        <is>
          <t>CARGO</t>
        </is>
      </c>
      <c r="G903" t="inlineStr">
        <is>
          <t>33 85 4556 814-3</t>
        </is>
      </c>
      <c r="J903" s="56" t="n">
        <v>44910</v>
      </c>
    </row>
    <row r="904">
      <c r="B904" s="2" t="inlineStr">
        <is>
          <t>C3A70416FBDB</t>
        </is>
      </c>
      <c r="D904" s="65" t="inlineStr">
        <is>
          <t>PR2203-160</t>
        </is>
      </c>
      <c r="E904" t="inlineStr">
        <is>
          <t>HUPAC</t>
        </is>
      </c>
      <c r="F904" t="inlineStr">
        <is>
          <t>CARGO</t>
        </is>
      </c>
      <c r="G904" t="inlineStr">
        <is>
          <t>33 85 4556 814-3</t>
        </is>
      </c>
      <c r="J904" s="56" t="n">
        <v>44910</v>
      </c>
    </row>
    <row r="905">
      <c r="B905" s="2" t="inlineStr">
        <is>
          <t>C04AA3F2408E</t>
        </is>
      </c>
      <c r="D905" s="65" t="inlineStr">
        <is>
          <t>PR2206-574</t>
        </is>
      </c>
      <c r="E905" t="inlineStr">
        <is>
          <t>HUPAC</t>
        </is>
      </c>
      <c r="F905" t="inlineStr">
        <is>
          <t>CARGO</t>
        </is>
      </c>
      <c r="G905" t="inlineStr">
        <is>
          <t>33 85 4506 221-2</t>
        </is>
      </c>
      <c r="J905" s="56" t="n">
        <v>44910</v>
      </c>
    </row>
    <row r="906">
      <c r="B906" s="2" t="inlineStr">
        <is>
          <t>F9BDA3A5B702</t>
        </is>
      </c>
      <c r="D906" s="65" t="inlineStr">
        <is>
          <t>PR2206-453</t>
        </is>
      </c>
      <c r="E906" t="inlineStr">
        <is>
          <t>HUPAC</t>
        </is>
      </c>
      <c r="F906" t="inlineStr">
        <is>
          <t>CARGO</t>
        </is>
      </c>
      <c r="G906" t="inlineStr">
        <is>
          <t>33 85 4956 710-9</t>
        </is>
      </c>
      <c r="J906" s="56" t="n">
        <v>44910</v>
      </c>
    </row>
    <row r="907">
      <c r="B907" s="2" t="inlineStr">
        <is>
          <t>CF70EBAC3092</t>
        </is>
      </c>
      <c r="D907" s="65" t="inlineStr">
        <is>
          <t>PR2206-463</t>
        </is>
      </c>
      <c r="E907" t="inlineStr">
        <is>
          <t>HUPAC</t>
        </is>
      </c>
      <c r="F907" t="inlineStr">
        <is>
          <t>CARGO</t>
        </is>
      </c>
      <c r="G907" t="inlineStr">
        <is>
          <t>33 85 4956 710-9</t>
        </is>
      </c>
      <c r="J907" s="56" t="n">
        <v>44910</v>
      </c>
    </row>
    <row r="908">
      <c r="B908" s="2" t="inlineStr">
        <is>
          <t>D66724A61644</t>
        </is>
      </c>
      <c r="D908" s="65" t="inlineStr">
        <is>
          <t>PR2206-417</t>
        </is>
      </c>
      <c r="E908" t="inlineStr">
        <is>
          <t>HUPAC</t>
        </is>
      </c>
      <c r="F908" t="inlineStr">
        <is>
          <t>CARGO</t>
        </is>
      </c>
      <c r="G908" t="inlineStr">
        <is>
          <t>33 85 4956 673-9</t>
        </is>
      </c>
      <c r="J908" s="56" t="n">
        <v>44910</v>
      </c>
    </row>
    <row r="909">
      <c r="B909" s="2" t="inlineStr">
        <is>
          <t>DB44F9BC9563</t>
        </is>
      </c>
      <c r="D909" s="65" t="inlineStr">
        <is>
          <t>PR2206-535</t>
        </is>
      </c>
      <c r="E909" t="inlineStr">
        <is>
          <t>HUPAC</t>
        </is>
      </c>
      <c r="F909" t="inlineStr">
        <is>
          <t>CARGO</t>
        </is>
      </c>
      <c r="G909" t="inlineStr">
        <is>
          <t>33 85 4956 710-9</t>
        </is>
      </c>
      <c r="J909" s="56" t="n">
        <v>44910</v>
      </c>
    </row>
    <row r="910">
      <c r="B910" s="2" t="inlineStr">
        <is>
          <t>F8EFC923996E</t>
        </is>
      </c>
      <c r="D910" s="65" t="inlineStr">
        <is>
          <t>PR2203-438</t>
        </is>
      </c>
      <c r="E910" t="inlineStr">
        <is>
          <t>HUPAC</t>
        </is>
      </c>
      <c r="F910" t="inlineStr">
        <is>
          <t>CARGO</t>
        </is>
      </c>
      <c r="G910" t="inlineStr">
        <is>
          <t xml:space="preserve">33 85 4956 699-4 </t>
        </is>
      </c>
      <c r="J910" s="56" t="n">
        <v>44910</v>
      </c>
    </row>
    <row r="911">
      <c r="B911" s="2" t="inlineStr">
        <is>
          <t>EF5822E01AF2</t>
        </is>
      </c>
      <c r="D911" s="65" t="inlineStr">
        <is>
          <t>PR2203-476</t>
        </is>
      </c>
      <c r="E911" t="inlineStr">
        <is>
          <t>HUPAC</t>
        </is>
      </c>
      <c r="F911" t="inlineStr">
        <is>
          <t>CARGO</t>
        </is>
      </c>
      <c r="G911" t="inlineStr">
        <is>
          <t>33 85 4956 710-9</t>
        </is>
      </c>
      <c r="J911" s="56" t="n">
        <v>44910</v>
      </c>
    </row>
    <row r="912">
      <c r="B912" s="2" t="inlineStr">
        <is>
          <t>DADFF84D64F2</t>
        </is>
      </c>
      <c r="D912" s="65" t="inlineStr">
        <is>
          <t>PR2203-300</t>
        </is>
      </c>
      <c r="E912" t="inlineStr">
        <is>
          <t>HUPAC</t>
        </is>
      </c>
      <c r="F912" t="inlineStr">
        <is>
          <t>CARGO</t>
        </is>
      </c>
      <c r="G912" t="inlineStr">
        <is>
          <t>33 85 4956 673-9</t>
        </is>
      </c>
      <c r="J912" s="56" t="n">
        <v>44910</v>
      </c>
    </row>
    <row r="913">
      <c r="B913" s="2" t="inlineStr">
        <is>
          <t>DC408DAC71C3</t>
        </is>
      </c>
      <c r="D913" s="65" t="inlineStr">
        <is>
          <t>PR2206-575</t>
        </is>
      </c>
      <c r="E913" t="inlineStr">
        <is>
          <t>HUPAC</t>
        </is>
      </c>
      <c r="F913" t="inlineStr">
        <is>
          <t>CARGO</t>
        </is>
      </c>
      <c r="G913" t="inlineStr">
        <is>
          <t>33 85 4556 814-3</t>
        </is>
      </c>
      <c r="J913" s="56" t="n">
        <v>44910</v>
      </c>
    </row>
    <row r="914">
      <c r="B914" s="2" t="inlineStr">
        <is>
          <t>CE2CA30AC1A5</t>
        </is>
      </c>
      <c r="D914" s="65" t="inlineStr">
        <is>
          <t>PR2206-490</t>
        </is>
      </c>
      <c r="E914" t="inlineStr">
        <is>
          <t>HUPAC</t>
        </is>
      </c>
      <c r="F914" t="inlineStr">
        <is>
          <t>CARGO</t>
        </is>
      </c>
      <c r="G914" t="inlineStr">
        <is>
          <t>33 85 4506 221-2</t>
        </is>
      </c>
      <c r="J914" s="56" t="n">
        <v>44910</v>
      </c>
    </row>
    <row r="915">
      <c r="B915" s="2" t="inlineStr">
        <is>
          <t>C88B6AE82333</t>
        </is>
      </c>
      <c r="D915" s="65" t="inlineStr">
        <is>
          <t>PR2206-465</t>
        </is>
      </c>
      <c r="E915" t="inlineStr">
        <is>
          <t>HUPAC</t>
        </is>
      </c>
      <c r="F915" t="inlineStr">
        <is>
          <t>CARGO</t>
        </is>
      </c>
      <c r="G915" t="inlineStr">
        <is>
          <t>33 85 4956 673-9</t>
        </is>
      </c>
      <c r="J915" s="56" t="n">
        <v>44910</v>
      </c>
    </row>
    <row r="916">
      <c r="B916" s="2" t="inlineStr">
        <is>
          <t>D3038BFE171D</t>
        </is>
      </c>
      <c r="D916" s="65" t="inlineStr">
        <is>
          <t>PR2203-368</t>
        </is>
      </c>
      <c r="E916" t="inlineStr">
        <is>
          <t>HUPAC</t>
        </is>
      </c>
      <c r="F916" t="inlineStr">
        <is>
          <t>CARGO</t>
        </is>
      </c>
      <c r="G916" t="inlineStr">
        <is>
          <t>33 85 4511 080-5</t>
        </is>
      </c>
      <c r="J916" s="56" t="n">
        <v>44910</v>
      </c>
    </row>
    <row r="917">
      <c r="B917" s="2" t="inlineStr">
        <is>
          <t>C3D3A10A9E9B</t>
        </is>
      </c>
      <c r="D917" s="25" t="inlineStr">
        <is>
          <t>PR2206-411</t>
        </is>
      </c>
      <c r="E917" t="inlineStr">
        <is>
          <t>RIOTINTO</t>
        </is>
      </c>
      <c r="F917" t="inlineStr">
        <is>
          <t>R</t>
        </is>
      </c>
      <c r="G917" t="inlineStr">
        <is>
          <t>ner ubidotse</t>
        </is>
      </c>
      <c r="J917" s="56" t="n">
        <v>44953</v>
      </c>
    </row>
    <row r="918">
      <c r="B918" s="2" t="inlineStr">
        <is>
          <t>EE4CD8993A29</t>
        </is>
      </c>
      <c r="D918" s="64" t="inlineStr">
        <is>
          <t>PR2203-185</t>
        </is>
      </c>
      <c r="E918" t="inlineStr">
        <is>
          <t>FERTAGUS</t>
        </is>
      </c>
      <c r="F918" t="inlineStr">
        <is>
          <t>R</t>
        </is>
      </c>
      <c r="G918" t="inlineStr">
        <is>
          <t>M3555</t>
        </is>
      </c>
      <c r="J918" t="inlineStr">
        <is>
          <t>2022/12</t>
        </is>
      </c>
    </row>
    <row r="919">
      <c r="B919" s="2" t="inlineStr">
        <is>
          <t>DCE99A586080</t>
        </is>
      </c>
      <c r="D919" s="64" t="inlineStr">
        <is>
          <t>PR2201-054</t>
        </is>
      </c>
      <c r="E919" t="inlineStr">
        <is>
          <t>FERTAGUS</t>
        </is>
      </c>
      <c r="F919" t="inlineStr">
        <is>
          <t>R</t>
        </is>
      </c>
      <c r="G919" t="inlineStr">
        <is>
          <t>M3505</t>
        </is>
      </c>
      <c r="J919" t="inlineStr">
        <is>
          <t>2022/12</t>
        </is>
      </c>
    </row>
    <row r="920">
      <c r="B920" s="2" t="inlineStr">
        <is>
          <t>D06E5B3AB7F7</t>
        </is>
      </c>
      <c r="D920" t="inlineStr">
        <is>
          <t>PR2203-115</t>
        </is>
      </c>
      <c r="E920" t="inlineStr">
        <is>
          <t>RIOTINTO</t>
        </is>
      </c>
      <c r="F920" t="inlineStr">
        <is>
          <t>R</t>
        </is>
      </c>
      <c r="J920" s="56" t="n">
        <v>44953</v>
      </c>
    </row>
    <row r="921">
      <c r="B921" s="2" t="inlineStr">
        <is>
          <t>FA2F2CC8CA8A</t>
        </is>
      </c>
      <c r="D921" t="inlineStr">
        <is>
          <t>PR2203-317</t>
        </is>
      </c>
      <c r="E921" t="inlineStr">
        <is>
          <t>RIOTINTO</t>
        </is>
      </c>
      <c r="F921" t="inlineStr">
        <is>
          <t>R</t>
        </is>
      </c>
      <c r="J921" s="56" t="n">
        <v>44953</v>
      </c>
    </row>
    <row r="922">
      <c r="B922" s="2" t="inlineStr">
        <is>
          <t>D738117799A4</t>
        </is>
      </c>
      <c r="D922" s="64" t="inlineStr">
        <is>
          <t>PR2211-017</t>
        </is>
      </c>
      <c r="E922" t="inlineStr">
        <is>
          <t>FERTAGUS</t>
        </is>
      </c>
      <c r="F922" t="inlineStr">
        <is>
          <t>R</t>
        </is>
      </c>
      <c r="G922" t="inlineStr">
        <is>
          <t>M3505</t>
        </is>
      </c>
      <c r="J922" t="inlineStr">
        <is>
          <t>2022/12</t>
        </is>
      </c>
    </row>
    <row r="923">
      <c r="B923" s="2" t="inlineStr">
        <is>
          <t>D9A3CC514029</t>
        </is>
      </c>
      <c r="D923" t="inlineStr">
        <is>
          <t>PR2203-221</t>
        </is>
      </c>
      <c r="E923" t="inlineStr">
        <is>
          <t>RIOTINTO</t>
        </is>
      </c>
      <c r="F923" t="inlineStr">
        <is>
          <t>R</t>
        </is>
      </c>
      <c r="J923" s="56" t="n">
        <v>44953</v>
      </c>
    </row>
    <row r="924">
      <c r="B924" s="2" t="inlineStr">
        <is>
          <t>E33D0DF829D4</t>
        </is>
      </c>
      <c r="D924" s="64" t="inlineStr">
        <is>
          <t>PR2206-525</t>
        </is>
      </c>
      <c r="E924" t="inlineStr">
        <is>
          <t>FERTAGUS</t>
        </is>
      </c>
      <c r="F924" t="inlineStr">
        <is>
          <t>R</t>
        </is>
      </c>
      <c r="G924" t="inlineStr">
        <is>
          <t>M3555</t>
        </is>
      </c>
      <c r="J924" t="inlineStr">
        <is>
          <t>2022/12</t>
        </is>
      </c>
    </row>
    <row r="925">
      <c r="B925" s="2" t="inlineStr">
        <is>
          <t>EEBDD52BEEEE</t>
        </is>
      </c>
      <c r="D925" s="64" t="inlineStr">
        <is>
          <t>PR2206-418</t>
        </is>
      </c>
      <c r="E925" t="inlineStr">
        <is>
          <t>FERTAGUS</t>
        </is>
      </c>
      <c r="F925" t="inlineStr">
        <is>
          <t>R</t>
        </is>
      </c>
      <c r="G925" t="inlineStr">
        <is>
          <t>R3555</t>
        </is>
      </c>
      <c r="J925" t="inlineStr">
        <is>
          <t>2022/12</t>
        </is>
      </c>
    </row>
    <row r="926">
      <c r="B926" s="2" t="inlineStr">
        <is>
          <t>C7A3930AA5FA</t>
        </is>
      </c>
      <c r="D926" s="64" t="inlineStr">
        <is>
          <t>PR2211-016</t>
        </is>
      </c>
      <c r="E926" t="inlineStr">
        <is>
          <t>FERTAGUS</t>
        </is>
      </c>
      <c r="F926" t="inlineStr">
        <is>
          <t>R</t>
        </is>
      </c>
      <c r="G926" t="inlineStr">
        <is>
          <t>R3505</t>
        </is>
      </c>
      <c r="J926" t="inlineStr">
        <is>
          <t>2022/12</t>
        </is>
      </c>
    </row>
    <row r="927">
      <c r="B927" s="2" t="inlineStr">
        <is>
          <t>C521A9816032</t>
        </is>
      </c>
      <c r="D927" s="64" t="inlineStr">
        <is>
          <t>PR2203-318</t>
        </is>
      </c>
      <c r="E927" t="inlineStr">
        <is>
          <t>FERTAGUS</t>
        </is>
      </c>
      <c r="F927" t="inlineStr">
        <is>
          <t>R</t>
        </is>
      </c>
      <c r="G927" t="inlineStr">
        <is>
          <t>M3555</t>
        </is>
      </c>
      <c r="J927" t="inlineStr">
        <is>
          <t>2022/12</t>
        </is>
      </c>
    </row>
    <row r="928">
      <c r="B928" s="2" t="inlineStr">
        <is>
          <t>C991723DFECD</t>
        </is>
      </c>
      <c r="D928" s="64" t="inlineStr">
        <is>
          <t>PR2203-415</t>
        </is>
      </c>
      <c r="E928" t="inlineStr">
        <is>
          <t>FERTAGUS</t>
        </is>
      </c>
      <c r="F928" t="inlineStr">
        <is>
          <t>R</t>
        </is>
      </c>
      <c r="G928" t="inlineStr">
        <is>
          <t>R3555</t>
        </is>
      </c>
      <c r="J928" t="inlineStr">
        <is>
          <t>2022/12</t>
        </is>
      </c>
    </row>
    <row r="929">
      <c r="B929" s="2" t="inlineStr">
        <is>
          <t>E57788FBA153</t>
        </is>
      </c>
      <c r="D929" t="inlineStr">
        <is>
          <t>PR2206-438</t>
        </is>
      </c>
      <c r="E929" t="inlineStr">
        <is>
          <t>RIOTINTO</t>
        </is>
      </c>
      <c r="F929" t="inlineStr">
        <is>
          <t>R</t>
        </is>
      </c>
      <c r="J929" s="56" t="n">
        <v>44953</v>
      </c>
    </row>
    <row r="930">
      <c r="B930" s="2" t="inlineStr">
        <is>
          <t>D63E5D44BA8E</t>
        </is>
      </c>
      <c r="D930" s="64" t="inlineStr">
        <is>
          <t>PR2206-427</t>
        </is>
      </c>
      <c r="E930" t="inlineStr">
        <is>
          <t>FERTAGUS</t>
        </is>
      </c>
      <c r="F930" t="inlineStr">
        <is>
          <t>R</t>
        </is>
      </c>
      <c r="G930" t="inlineStr">
        <is>
          <t>R3555</t>
        </is>
      </c>
      <c r="J930" t="inlineStr">
        <is>
          <t>2022/12</t>
        </is>
      </c>
    </row>
    <row r="931">
      <c r="B931" s="2" t="inlineStr">
        <is>
          <t>DF5C83C0107F</t>
        </is>
      </c>
      <c r="D931" t="inlineStr">
        <is>
          <t>PR2211-012</t>
        </is>
      </c>
      <c r="E931" t="inlineStr">
        <is>
          <t>RIOTINTO</t>
        </is>
      </c>
      <c r="F931" t="inlineStr">
        <is>
          <t>R</t>
        </is>
      </c>
      <c r="J931" s="56" t="n">
        <v>44953</v>
      </c>
    </row>
    <row r="932">
      <c r="B932" s="2" t="inlineStr">
        <is>
          <t>FE53BDE4F741</t>
        </is>
      </c>
      <c r="D932" t="inlineStr">
        <is>
          <t>PR2203-345</t>
        </is>
      </c>
      <c r="E932" t="inlineStr">
        <is>
          <t>RIOTINTO</t>
        </is>
      </c>
      <c r="F932" t="inlineStr">
        <is>
          <t>R</t>
        </is>
      </c>
      <c r="J932" s="56" t="n">
        <v>44953</v>
      </c>
    </row>
    <row r="933">
      <c r="B933" s="2" t="inlineStr">
        <is>
          <t>E23733BE9036</t>
        </is>
      </c>
      <c r="D933" s="64" t="inlineStr">
        <is>
          <t>PR2203-230</t>
        </is>
      </c>
      <c r="E933" t="inlineStr">
        <is>
          <t>FERTAGUS</t>
        </is>
      </c>
      <c r="F933" t="inlineStr">
        <is>
          <t>R</t>
        </is>
      </c>
      <c r="G933" t="inlineStr">
        <is>
          <t>R3505</t>
        </is>
      </c>
      <c r="J933" t="inlineStr">
        <is>
          <t>2022/12</t>
        </is>
      </c>
    </row>
    <row r="934">
      <c r="B934" s="2" t="inlineStr">
        <is>
          <t>C380CC5B9377</t>
        </is>
      </c>
      <c r="D934" s="64" t="inlineStr">
        <is>
          <t>PR2203-167</t>
        </is>
      </c>
      <c r="E934" t="inlineStr">
        <is>
          <t>FERTAGUS</t>
        </is>
      </c>
      <c r="F934" t="inlineStr">
        <is>
          <t>R</t>
        </is>
      </c>
      <c r="G934" t="inlineStr">
        <is>
          <t>M3555</t>
        </is>
      </c>
      <c r="J934" t="inlineStr">
        <is>
          <t>2022/12</t>
        </is>
      </c>
    </row>
    <row r="935">
      <c r="B935" s="2" t="inlineStr">
        <is>
          <t>E973D00C518B</t>
        </is>
      </c>
      <c r="D935" s="64" t="inlineStr">
        <is>
          <t>PR2206-398</t>
        </is>
      </c>
      <c r="E935" t="inlineStr">
        <is>
          <t>FERTAGUS</t>
        </is>
      </c>
      <c r="F935" t="inlineStr">
        <is>
          <t>R</t>
        </is>
      </c>
      <c r="G935" t="inlineStr">
        <is>
          <t>R3555</t>
        </is>
      </c>
      <c r="J935" t="inlineStr">
        <is>
          <t>2022/12</t>
        </is>
      </c>
    </row>
    <row r="936">
      <c r="B936" s="2" t="inlineStr">
        <is>
          <t>D3B26480B027</t>
        </is>
      </c>
      <c r="D936" s="64" t="inlineStr">
        <is>
          <t>PR2206-400</t>
        </is>
      </c>
      <c r="E936" t="inlineStr">
        <is>
          <t>FERTAGUS</t>
        </is>
      </c>
      <c r="F936" t="inlineStr">
        <is>
          <t>L</t>
        </is>
      </c>
      <c r="G936" t="inlineStr">
        <is>
          <t>R3555</t>
        </is>
      </c>
      <c r="J936" t="inlineStr">
        <is>
          <t>2022/12</t>
        </is>
      </c>
    </row>
    <row r="937">
      <c r="B937" s="2" t="inlineStr">
        <is>
          <t>E180C6F0A4A1</t>
        </is>
      </c>
      <c r="D937" s="64" t="inlineStr">
        <is>
          <t>PR2206-570</t>
        </is>
      </c>
      <c r="E937" t="inlineStr">
        <is>
          <t>FERTAGUS</t>
        </is>
      </c>
      <c r="F937" t="inlineStr">
        <is>
          <t>L</t>
        </is>
      </c>
      <c r="G937" t="inlineStr">
        <is>
          <t>R3555</t>
        </is>
      </c>
      <c r="J937" t="inlineStr">
        <is>
          <t>2022/12</t>
        </is>
      </c>
    </row>
    <row r="938">
      <c r="B938" s="2" t="inlineStr">
        <is>
          <t>E5A01B4B7AB0</t>
        </is>
      </c>
      <c r="D938" s="64" t="inlineStr">
        <is>
          <t>PR2203-401</t>
        </is>
      </c>
      <c r="E938" t="inlineStr">
        <is>
          <t>FERTAGUS</t>
        </is>
      </c>
      <c r="F938" t="inlineStr">
        <is>
          <t>L</t>
        </is>
      </c>
      <c r="G938" t="inlineStr">
        <is>
          <t>R3505</t>
        </is>
      </c>
      <c r="J938" t="inlineStr">
        <is>
          <t>2022/12</t>
        </is>
      </c>
    </row>
    <row r="939">
      <c r="B939" s="2" t="inlineStr">
        <is>
          <t>FC6A3C6B9EF8</t>
        </is>
      </c>
      <c r="D939" s="64" t="inlineStr">
        <is>
          <t>PR2206-442</t>
        </is>
      </c>
      <c r="E939" t="inlineStr">
        <is>
          <t>FERTAGUS</t>
        </is>
      </c>
      <c r="F939" t="inlineStr">
        <is>
          <t>L</t>
        </is>
      </c>
      <c r="G939" t="inlineStr">
        <is>
          <t>M3555</t>
        </is>
      </c>
      <c r="J939" t="inlineStr">
        <is>
          <t>2022/12</t>
        </is>
      </c>
    </row>
    <row r="940">
      <c r="B940" s="2" t="inlineStr">
        <is>
          <t>C6F6BFC82FDD</t>
        </is>
      </c>
      <c r="D940" s="64" t="inlineStr">
        <is>
          <t>PR2206-531</t>
        </is>
      </c>
      <c r="E940" t="inlineStr">
        <is>
          <t>FERTAGUS</t>
        </is>
      </c>
      <c r="F940" t="inlineStr">
        <is>
          <t>L</t>
        </is>
      </c>
      <c r="G940" t="inlineStr">
        <is>
          <t>M3555</t>
        </is>
      </c>
      <c r="J940" t="inlineStr">
        <is>
          <t>2022/12</t>
        </is>
      </c>
    </row>
    <row r="941">
      <c r="B941" s="2" t="inlineStr">
        <is>
          <t>C7F75F56C496</t>
        </is>
      </c>
      <c r="D941" s="64" t="inlineStr">
        <is>
          <t>PR2203-361</t>
        </is>
      </c>
      <c r="E941" t="inlineStr">
        <is>
          <t>FERTAGUS</t>
        </is>
      </c>
      <c r="F941" t="inlineStr">
        <is>
          <t>L</t>
        </is>
      </c>
      <c r="G941" t="inlineStr">
        <is>
          <t>M3505</t>
        </is>
      </c>
      <c r="J941" t="inlineStr">
        <is>
          <t>2022/12</t>
        </is>
      </c>
    </row>
    <row r="942">
      <c r="B942" s="2" t="inlineStr">
        <is>
          <t>EE9604A72CC8</t>
        </is>
      </c>
      <c r="D942" s="64" t="inlineStr">
        <is>
          <t>PR2203-033</t>
        </is>
      </c>
      <c r="E942" t="inlineStr">
        <is>
          <t>FERTAGUS</t>
        </is>
      </c>
      <c r="F942" t="inlineStr">
        <is>
          <t>L</t>
        </is>
      </c>
      <c r="G942" t="inlineStr">
        <is>
          <t>M3505</t>
        </is>
      </c>
      <c r="J942" t="inlineStr">
        <is>
          <t>2022/12</t>
        </is>
      </c>
    </row>
    <row r="943">
      <c r="B943" s="2" t="inlineStr">
        <is>
          <t>EFE67569A6C7</t>
        </is>
      </c>
      <c r="D943" s="64" t="inlineStr">
        <is>
          <t>PR2206-493</t>
        </is>
      </c>
      <c r="E943" t="inlineStr">
        <is>
          <t>FERTAGUS</t>
        </is>
      </c>
      <c r="F943" t="inlineStr">
        <is>
          <t>L</t>
        </is>
      </c>
      <c r="G943" t="inlineStr">
        <is>
          <t>R3505</t>
        </is>
      </c>
      <c r="J943" t="inlineStr">
        <is>
          <t>2022/12</t>
        </is>
      </c>
    </row>
    <row r="944">
      <c r="B944" s="2" t="inlineStr">
        <is>
          <t>DF7B077B976F</t>
        </is>
      </c>
      <c r="D944" s="64" t="inlineStr">
        <is>
          <t>PR2211-009</t>
        </is>
      </c>
      <c r="E944" t="inlineStr">
        <is>
          <t>FERTAGUS</t>
        </is>
      </c>
      <c r="F944" t="inlineStr">
        <is>
          <t>L</t>
        </is>
      </c>
      <c r="G944" t="inlineStr">
        <is>
          <t>R3555</t>
        </is>
      </c>
      <c r="J944" t="inlineStr">
        <is>
          <t>2022/12</t>
        </is>
      </c>
    </row>
    <row r="945">
      <c r="B945" s="2" t="inlineStr">
        <is>
          <t>D1EE6787A5D5</t>
        </is>
      </c>
      <c r="D945" s="64" t="inlineStr">
        <is>
          <t>PR2206-489</t>
        </is>
      </c>
      <c r="E945" t="inlineStr">
        <is>
          <t>FERTAGUS</t>
        </is>
      </c>
      <c r="F945" t="inlineStr">
        <is>
          <t>L</t>
        </is>
      </c>
      <c r="G945" t="inlineStr">
        <is>
          <t>R3505</t>
        </is>
      </c>
      <c r="J945" t="inlineStr">
        <is>
          <t>2022/12</t>
        </is>
      </c>
    </row>
    <row r="946">
      <c r="B946" s="2" t="inlineStr">
        <is>
          <t>F2C74C43CE11</t>
        </is>
      </c>
      <c r="D946" s="64" t="inlineStr">
        <is>
          <t>PR2211-025</t>
        </is>
      </c>
      <c r="E946" t="inlineStr">
        <is>
          <t>FERTAGUS</t>
        </is>
      </c>
      <c r="F946" t="inlineStr">
        <is>
          <t>L</t>
        </is>
      </c>
      <c r="G946" t="inlineStr">
        <is>
          <t>R3505</t>
        </is>
      </c>
      <c r="J946" t="inlineStr">
        <is>
          <t>2022/12</t>
        </is>
      </c>
    </row>
    <row r="947">
      <c r="B947" s="2" t="inlineStr">
        <is>
          <t>CA9C77375F6E</t>
        </is>
      </c>
      <c r="D947" s="64" t="inlineStr">
        <is>
          <t>PR2203-310</t>
        </is>
      </c>
      <c r="E947" t="inlineStr">
        <is>
          <t>FERTAGUS</t>
        </is>
      </c>
      <c r="F947" t="inlineStr">
        <is>
          <t>L</t>
        </is>
      </c>
      <c r="G947" t="inlineStr">
        <is>
          <t>M3505</t>
        </is>
      </c>
      <c r="J947" t="inlineStr">
        <is>
          <t>2022/12</t>
        </is>
      </c>
    </row>
    <row r="948">
      <c r="B948" s="2" t="inlineStr">
        <is>
          <t>EAA16AAC7801</t>
        </is>
      </c>
      <c r="D948" s="64" t="inlineStr">
        <is>
          <t>PR2206-564</t>
        </is>
      </c>
      <c r="E948" t="inlineStr">
        <is>
          <t>FERTAGUS</t>
        </is>
      </c>
      <c r="F948" t="inlineStr">
        <is>
          <t>L</t>
        </is>
      </c>
      <c r="G948" t="inlineStr">
        <is>
          <t>M3505</t>
        </is>
      </c>
      <c r="J948" t="inlineStr">
        <is>
          <t>2022/12</t>
        </is>
      </c>
    </row>
    <row r="949">
      <c r="B949" s="2" t="inlineStr">
        <is>
          <t>CAC518F4F81D</t>
        </is>
      </c>
      <c r="D949" s="64" t="inlineStr">
        <is>
          <t>PR2206-503</t>
        </is>
      </c>
      <c r="E949" t="inlineStr">
        <is>
          <t>FERTAGUS</t>
        </is>
      </c>
      <c r="F949" t="inlineStr">
        <is>
          <t>L</t>
        </is>
      </c>
      <c r="G949" t="inlineStr">
        <is>
          <t>M3505</t>
        </is>
      </c>
      <c r="J949" t="inlineStr">
        <is>
          <t>2022/12</t>
        </is>
      </c>
    </row>
    <row r="950">
      <c r="B950" s="2" t="inlineStr">
        <is>
          <t>C52F5E4AE9F6</t>
        </is>
      </c>
      <c r="D950" s="64" t="inlineStr">
        <is>
          <t>PR2211-007</t>
        </is>
      </c>
      <c r="E950" t="inlineStr">
        <is>
          <t>FERTAGUS</t>
        </is>
      </c>
      <c r="F950" t="inlineStr">
        <is>
          <t>L</t>
        </is>
      </c>
      <c r="G950" t="inlineStr">
        <is>
          <t>M3555</t>
        </is>
      </c>
      <c r="J950" t="inlineStr">
        <is>
          <t>2022/12</t>
        </is>
      </c>
    </row>
    <row r="951">
      <c r="B951" s="2" t="inlineStr">
        <is>
          <t>F31133663539</t>
        </is>
      </c>
      <c r="D951" s="64" t="inlineStr">
        <is>
          <t>PR2206-585</t>
        </is>
      </c>
      <c r="E951" t="inlineStr">
        <is>
          <t>FERTAGUS</t>
        </is>
      </c>
      <c r="F951" t="inlineStr">
        <is>
          <t>L</t>
        </is>
      </c>
      <c r="G951" t="inlineStr">
        <is>
          <t>M3555</t>
        </is>
      </c>
      <c r="J951" t="inlineStr">
        <is>
          <t>2022/12</t>
        </is>
      </c>
    </row>
    <row r="952">
      <c r="B952" s="2" t="inlineStr">
        <is>
          <t>F4AD18404344</t>
        </is>
      </c>
      <c r="D952" s="64" t="inlineStr">
        <is>
          <t>PR2203-414</t>
        </is>
      </c>
      <c r="E952" t="inlineStr">
        <is>
          <t>FERTAGUS</t>
        </is>
      </c>
      <c r="F952" t="inlineStr">
        <is>
          <t>L</t>
        </is>
      </c>
      <c r="G952" t="inlineStr">
        <is>
          <t>R3505</t>
        </is>
      </c>
      <c r="J952" t="inlineStr">
        <is>
          <t>2022/12</t>
        </is>
      </c>
    </row>
    <row r="953">
      <c r="B953" s="2" t="inlineStr">
        <is>
          <t>DAC47CDDC874</t>
        </is>
      </c>
      <c r="D953" s="64" t="inlineStr">
        <is>
          <t>PR2206-416</t>
        </is>
      </c>
      <c r="E953" t="inlineStr">
        <is>
          <t>FERTAGUS</t>
        </is>
      </c>
      <c r="F953" t="inlineStr">
        <is>
          <t>L</t>
        </is>
      </c>
      <c r="G953" t="inlineStr">
        <is>
          <t>M3505</t>
        </is>
      </c>
      <c r="J953" t="inlineStr">
        <is>
          <t>2022/12</t>
        </is>
      </c>
    </row>
    <row r="954">
      <c r="B954" s="2" t="inlineStr">
        <is>
          <t>EFE40A8C2BA8</t>
        </is>
      </c>
      <c r="D954" s="64" t="inlineStr">
        <is>
          <t>PR2206-443</t>
        </is>
      </c>
      <c r="E954" t="inlineStr">
        <is>
          <t>FERTAGUS</t>
        </is>
      </c>
      <c r="F954" t="inlineStr">
        <is>
          <t>L</t>
        </is>
      </c>
      <c r="G954" t="inlineStr">
        <is>
          <t>R3505</t>
        </is>
      </c>
      <c r="J954" t="inlineStr">
        <is>
          <t>2022/12</t>
        </is>
      </c>
    </row>
    <row r="955">
      <c r="B955" s="2" t="inlineStr">
        <is>
          <t>C64033A968CD</t>
        </is>
      </c>
      <c r="D955" s="64" t="inlineStr">
        <is>
          <t>PR2206-464</t>
        </is>
      </c>
      <c r="E955" t="inlineStr">
        <is>
          <t>FERTAGUS</t>
        </is>
      </c>
      <c r="F955" t="inlineStr">
        <is>
          <t>L</t>
        </is>
      </c>
      <c r="G955" t="inlineStr">
        <is>
          <t>R3555</t>
        </is>
      </c>
      <c r="J955" t="inlineStr">
        <is>
          <t>2022/12</t>
        </is>
      </c>
    </row>
    <row r="956">
      <c r="B956" s="2" t="inlineStr">
        <is>
          <t>E36D6628F3D6</t>
        </is>
      </c>
      <c r="D956" t="inlineStr">
        <is>
          <t>PR2203-358</t>
        </is>
      </c>
      <c r="E956" t="inlineStr">
        <is>
          <t>RIOTINTO</t>
        </is>
      </c>
      <c r="F956" t="inlineStr">
        <is>
          <t>CARGO</t>
        </is>
      </c>
      <c r="J956" s="56" t="n">
        <v>44953</v>
      </c>
    </row>
    <row r="957">
      <c r="B957" s="2" t="inlineStr">
        <is>
          <t>CA7733FE6F86</t>
        </is>
      </c>
      <c r="D957" t="inlineStr">
        <is>
          <t>PR2206-485</t>
        </is>
      </c>
      <c r="E957" t="inlineStr">
        <is>
          <t>RIOTINTO</t>
        </is>
      </c>
      <c r="F957" t="inlineStr">
        <is>
          <t>CARGO</t>
        </is>
      </c>
      <c r="J957" s="56" t="n">
        <v>44953</v>
      </c>
    </row>
    <row r="958">
      <c r="B958" s="2" t="inlineStr">
        <is>
          <t>F51A0607DF34</t>
        </is>
      </c>
      <c r="D958" t="inlineStr">
        <is>
          <t>PR2211-029</t>
        </is>
      </c>
      <c r="E958" t="inlineStr">
        <is>
          <t>RIOTINTO</t>
        </is>
      </c>
      <c r="F958" t="inlineStr">
        <is>
          <t>CARGO</t>
        </is>
      </c>
      <c r="J958" s="56" t="n">
        <v>44953</v>
      </c>
    </row>
    <row r="959">
      <c r="B959" s="2" t="inlineStr">
        <is>
          <t>EB9E86D599B3</t>
        </is>
      </c>
      <c r="D959" t="inlineStr">
        <is>
          <t>PR2211-001</t>
        </is>
      </c>
      <c r="E959" t="inlineStr">
        <is>
          <t>RIOTINTO</t>
        </is>
      </c>
      <c r="F959" t="inlineStr">
        <is>
          <t>CARGO</t>
        </is>
      </c>
      <c r="J959" s="56" t="n">
        <v>44953</v>
      </c>
    </row>
    <row r="960">
      <c r="B960" s="2" t="inlineStr">
        <is>
          <t>DCB6CC870AC3</t>
        </is>
      </c>
      <c r="D960" t="inlineStr">
        <is>
          <t>PR2203-484</t>
        </is>
      </c>
      <c r="E960" t="inlineStr">
        <is>
          <t>RIOTINTO</t>
        </is>
      </c>
      <c r="F960" t="inlineStr">
        <is>
          <t>CARGO</t>
        </is>
      </c>
      <c r="J960" s="56" t="n">
        <v>44953</v>
      </c>
    </row>
    <row r="961">
      <c r="B961" s="2" t="inlineStr">
        <is>
          <t>FC568A42C2EA</t>
        </is>
      </c>
      <c r="D961" t="inlineStr">
        <is>
          <t>PR2206-488</t>
        </is>
      </c>
      <c r="E961" t="inlineStr">
        <is>
          <t>RIOTINTO</t>
        </is>
      </c>
      <c r="F961" t="inlineStr">
        <is>
          <t>CARGO</t>
        </is>
      </c>
      <c r="J961" s="56" t="n">
        <v>44953</v>
      </c>
    </row>
    <row r="962">
      <c r="B962" s="2" t="inlineStr">
        <is>
          <t>E92B0B73675D</t>
        </is>
      </c>
      <c r="D962" t="inlineStr">
        <is>
          <t>PR2206-530</t>
        </is>
      </c>
      <c r="E962" t="inlineStr">
        <is>
          <t>RIOTINTO</t>
        </is>
      </c>
      <c r="F962" t="inlineStr">
        <is>
          <t>CARGO</t>
        </is>
      </c>
      <c r="J962" s="56" t="n">
        <v>44953</v>
      </c>
    </row>
    <row r="963">
      <c r="B963" s="2" t="inlineStr">
        <is>
          <t>DC6339D53C1B</t>
        </is>
      </c>
      <c r="D963" t="inlineStr">
        <is>
          <t>PR2206-396</t>
        </is>
      </c>
      <c r="E963" t="inlineStr">
        <is>
          <t>RIOTINTO</t>
        </is>
      </c>
      <c r="F963" t="inlineStr">
        <is>
          <t>CARGO</t>
        </is>
      </c>
      <c r="J963" s="56" t="n">
        <v>44953</v>
      </c>
    </row>
    <row r="964">
      <c r="B964" s="2" t="inlineStr">
        <is>
          <t>EF3BCD9FA283</t>
        </is>
      </c>
      <c r="D964" t="inlineStr">
        <is>
          <t>PR2203-400</t>
        </is>
      </c>
      <c r="E964" t="inlineStr">
        <is>
          <t>RIOTINTO</t>
        </is>
      </c>
      <c r="F964" t="inlineStr">
        <is>
          <t>CARGO</t>
        </is>
      </c>
      <c r="J964" s="56" t="n">
        <v>44953</v>
      </c>
    </row>
    <row r="965">
      <c r="B965" s="2" t="inlineStr">
        <is>
          <t>DFD7091C337F</t>
        </is>
      </c>
      <c r="D965" t="inlineStr">
        <is>
          <t>PR2206-556</t>
        </is>
      </c>
      <c r="E965" t="inlineStr">
        <is>
          <t>RIOTINTO</t>
        </is>
      </c>
      <c r="F965" t="inlineStr">
        <is>
          <t>CARGO</t>
        </is>
      </c>
      <c r="J965" s="56" t="n">
        <v>44953</v>
      </c>
    </row>
    <row r="966">
      <c r="B966" s="2" t="inlineStr">
        <is>
          <t>EB55961D2334</t>
        </is>
      </c>
      <c r="D966" t="inlineStr">
        <is>
          <t>PR2211-026</t>
        </is>
      </c>
      <c r="E966" t="inlineStr">
        <is>
          <t>RIOTINTO</t>
        </is>
      </c>
      <c r="F966" t="inlineStr">
        <is>
          <t>CARGO</t>
        </is>
      </c>
      <c r="J966" s="56" t="n">
        <v>44953</v>
      </c>
    </row>
    <row r="967">
      <c r="B967" s="2" t="inlineStr">
        <is>
          <t>FA2EDB2A18A2</t>
        </is>
      </c>
      <c r="D967" t="inlineStr">
        <is>
          <t>PR2206-521</t>
        </is>
      </c>
      <c r="E967" t="inlineStr">
        <is>
          <t>RIOTINTO</t>
        </is>
      </c>
      <c r="F967" t="inlineStr">
        <is>
          <t>CARGO</t>
        </is>
      </c>
      <c r="J967" s="56" t="n">
        <v>44953</v>
      </c>
    </row>
    <row r="968">
      <c r="B968" s="2" t="inlineStr">
        <is>
          <t>E6B4D0C25D63</t>
        </is>
      </c>
      <c r="D968" t="inlineStr">
        <is>
          <t>PR2203-409</t>
        </is>
      </c>
      <c r="E968" t="inlineStr">
        <is>
          <t>RIOTINTO</t>
        </is>
      </c>
      <c r="F968" t="inlineStr">
        <is>
          <t>CARGO</t>
        </is>
      </c>
      <c r="J968" s="56" t="n">
        <v>44953</v>
      </c>
    </row>
    <row r="969">
      <c r="B969" s="2" t="inlineStr">
        <is>
          <t>CAD10ECC6DE7</t>
        </is>
      </c>
      <c r="D969" t="inlineStr">
        <is>
          <t>PR2206-560</t>
        </is>
      </c>
      <c r="E969" t="inlineStr">
        <is>
          <t>RIOTINTO</t>
        </is>
      </c>
      <c r="F969" t="inlineStr">
        <is>
          <t>CARGO</t>
        </is>
      </c>
      <c r="J969" s="56" t="n">
        <v>44953</v>
      </c>
    </row>
    <row r="970">
      <c r="B970" s="2" t="inlineStr">
        <is>
          <t>C0550F60EBD8</t>
        </is>
      </c>
      <c r="D970" t="inlineStr">
        <is>
          <t>PR2203-469</t>
        </is>
      </c>
      <c r="E970" t="inlineStr">
        <is>
          <t>RIOTINTO</t>
        </is>
      </c>
      <c r="F970" t="inlineStr">
        <is>
          <t>CARGO</t>
        </is>
      </c>
      <c r="J970" s="56" t="n">
        <v>44953</v>
      </c>
    </row>
    <row r="971">
      <c r="B971" s="2" t="inlineStr">
        <is>
          <t>D40276AD32E5</t>
        </is>
      </c>
      <c r="D971" t="inlineStr">
        <is>
          <t>PR2203-387</t>
        </is>
      </c>
      <c r="E971" t="inlineStr">
        <is>
          <t>RIOTINTO</t>
        </is>
      </c>
      <c r="F971" t="inlineStr">
        <is>
          <t>CARGO</t>
        </is>
      </c>
      <c r="J971" s="56" t="n">
        <v>44953</v>
      </c>
    </row>
    <row r="972">
      <c r="B972" s="2" t="inlineStr">
        <is>
          <t>E871F29433F1</t>
        </is>
      </c>
      <c r="D972" t="inlineStr">
        <is>
          <t>PR2203-148</t>
        </is>
      </c>
      <c r="E972" t="inlineStr">
        <is>
          <t>RIOTINTO</t>
        </is>
      </c>
      <c r="F972" t="inlineStr">
        <is>
          <t>L</t>
        </is>
      </c>
      <c r="J972" s="56" t="n">
        <v>44953</v>
      </c>
    </row>
    <row r="973">
      <c r="B973" s="2" t="inlineStr">
        <is>
          <t>D8415EC1FA95</t>
        </is>
      </c>
      <c r="D973" t="inlineStr">
        <is>
          <t>PR2203-267</t>
        </is>
      </c>
      <c r="E973" t="inlineStr">
        <is>
          <t>SCHAEFFLER</t>
        </is>
      </c>
      <c r="F973" t="inlineStr">
        <is>
          <t>CARGO</t>
        </is>
      </c>
      <c r="J973" s="56" t="n">
        <v>44953</v>
      </c>
    </row>
    <row r="974">
      <c r="B974" s="2" t="inlineStr">
        <is>
          <t>DA19AAE88081</t>
        </is>
      </c>
      <c r="D974" t="inlineStr">
        <is>
          <t>PR2203-305</t>
        </is>
      </c>
      <c r="E974" t="inlineStr">
        <is>
          <t>SCHAEFFLER</t>
        </is>
      </c>
      <c r="F974" t="inlineStr">
        <is>
          <t>CARGO</t>
        </is>
      </c>
      <c r="J974" s="56" t="n">
        <v>44953</v>
      </c>
    </row>
    <row r="975">
      <c r="B975" s="2" t="inlineStr">
        <is>
          <t>E9B11154B728</t>
        </is>
      </c>
      <c r="D975" t="inlineStr">
        <is>
          <t>PR2203-312</t>
        </is>
      </c>
      <c r="E975" t="inlineStr">
        <is>
          <t>SCHAEFFLER</t>
        </is>
      </c>
      <c r="F975" t="inlineStr">
        <is>
          <t>CARGO</t>
        </is>
      </c>
      <c r="J975" s="56" t="n">
        <v>44953</v>
      </c>
    </row>
    <row r="976">
      <c r="B976" s="2" t="inlineStr">
        <is>
          <t>F2765BDB7305</t>
        </is>
      </c>
      <c r="D976" t="inlineStr">
        <is>
          <t>PR2203-293</t>
        </is>
      </c>
      <c r="E976" t="inlineStr">
        <is>
          <t>SCHAEFFLER</t>
        </is>
      </c>
      <c r="F976" t="inlineStr">
        <is>
          <t>CARGO</t>
        </is>
      </c>
      <c r="J976" s="56" t="n">
        <v>44953</v>
      </c>
    </row>
    <row r="977">
      <c r="B977" s="2" t="inlineStr">
        <is>
          <t>CCF6BBC9758F</t>
        </is>
      </c>
      <c r="D977" t="inlineStr">
        <is>
          <t>PR2203-286</t>
        </is>
      </c>
      <c r="E977" t="inlineStr">
        <is>
          <t>SCHAEFFLER</t>
        </is>
      </c>
      <c r="F977" t="inlineStr">
        <is>
          <t>CARGO</t>
        </is>
      </c>
      <c r="J977" s="56" t="n">
        <v>44953</v>
      </c>
    </row>
    <row r="978">
      <c r="B978" s="2" t="inlineStr">
        <is>
          <t>C56A57A9D669</t>
        </is>
      </c>
      <c r="D978" t="inlineStr">
        <is>
          <t>PR2203-272</t>
        </is>
      </c>
      <c r="E978" t="inlineStr">
        <is>
          <t>SCHAEFFLER</t>
        </is>
      </c>
      <c r="F978" t="inlineStr">
        <is>
          <t>CARGO</t>
        </is>
      </c>
      <c r="J978" s="56" t="n">
        <v>44953</v>
      </c>
    </row>
    <row r="979">
      <c r="B979" s="2" t="inlineStr">
        <is>
          <t>D1201BCD3C96</t>
        </is>
      </c>
      <c r="D979" t="inlineStr">
        <is>
          <t>PR2203-203</t>
        </is>
      </c>
      <c r="E979" t="inlineStr">
        <is>
          <t>SCHAEFFLER</t>
        </is>
      </c>
      <c r="F979" t="inlineStr">
        <is>
          <t>CARGO</t>
        </is>
      </c>
      <c r="J979" s="56" t="n">
        <v>44953</v>
      </c>
    </row>
    <row r="980">
      <c r="B980" s="2" t="inlineStr">
        <is>
          <t>E4AB1A511B9F</t>
        </is>
      </c>
      <c r="D980" t="inlineStr">
        <is>
          <t>PR2203-184</t>
        </is>
      </c>
      <c r="E980" t="inlineStr">
        <is>
          <t>SCHAEFFLER</t>
        </is>
      </c>
      <c r="F980" t="inlineStr">
        <is>
          <t>CARGO</t>
        </is>
      </c>
      <c r="J980" s="56" t="n">
        <v>44953</v>
      </c>
    </row>
    <row r="981">
      <c r="B981" s="2" t="inlineStr">
        <is>
          <t>EF57446F2566</t>
        </is>
      </c>
      <c r="D981" t="inlineStr">
        <is>
          <t>PR_V2_2301-001</t>
        </is>
      </c>
      <c r="E981" t="inlineStr">
        <is>
          <t>LTG</t>
        </is>
      </c>
      <c r="F981" t="inlineStr">
        <is>
          <t>LINK</t>
        </is>
      </c>
    </row>
    <row r="982">
      <c r="B982" s="2" t="inlineStr">
        <is>
          <t>C551CFDCA74D</t>
        </is>
      </c>
      <c r="D982" t="inlineStr">
        <is>
          <t>PR_V2_2301-002</t>
        </is>
      </c>
      <c r="E982" t="inlineStr">
        <is>
          <t>LTG</t>
        </is>
      </c>
      <c r="F982" t="inlineStr">
        <is>
          <t>LINK</t>
        </is>
      </c>
    </row>
    <row r="983">
      <c r="B983" s="2" t="inlineStr">
        <is>
          <t>CB92EACADE12</t>
        </is>
      </c>
      <c r="D983" t="inlineStr">
        <is>
          <t>PR_V2_2301-003</t>
        </is>
      </c>
      <c r="E983" t="inlineStr">
        <is>
          <t>LTG</t>
        </is>
      </c>
      <c r="F983" t="inlineStr">
        <is>
          <t>LINK</t>
        </is>
      </c>
    </row>
    <row r="984">
      <c r="B984" s="2" t="inlineStr">
        <is>
          <t>E3E9AA62E7AF</t>
        </is>
      </c>
      <c r="D984" t="inlineStr">
        <is>
          <t>PR_V2_2301-004</t>
        </is>
      </c>
      <c r="E984" t="inlineStr">
        <is>
          <t>LTG</t>
        </is>
      </c>
      <c r="F984" t="inlineStr">
        <is>
          <t>LINK</t>
        </is>
      </c>
    </row>
    <row r="985">
      <c r="B985" s="2" t="inlineStr">
        <is>
          <t>D3A2615CD07A</t>
        </is>
      </c>
      <c r="D985" t="inlineStr">
        <is>
          <t>PR2203-297</t>
        </is>
      </c>
      <c r="E985" t="inlineStr">
        <is>
          <t>RENFE</t>
        </is>
      </c>
      <c r="F985" t="inlineStr">
        <is>
          <t>Magnets</t>
        </is>
      </c>
      <c r="J985" s="56" t="n">
        <v>44951</v>
      </c>
    </row>
    <row r="986">
      <c r="B986" s="2" t="inlineStr">
        <is>
          <t>EA646F2B40BE</t>
        </is>
      </c>
      <c r="D986" t="inlineStr">
        <is>
          <t>PR2203-263</t>
        </is>
      </c>
      <c r="E986" t="inlineStr">
        <is>
          <t>SUJAN</t>
        </is>
      </c>
      <c r="F986" t="inlineStr">
        <is>
          <t>CARGO</t>
        </is>
      </c>
      <c r="J986" s="56" t="n">
        <v>44971</v>
      </c>
    </row>
    <row r="987">
      <c r="B987" s="2" t="inlineStr">
        <is>
          <t>CB8DB1B93011</t>
        </is>
      </c>
      <c r="D987" t="inlineStr">
        <is>
          <t>PR2203-281</t>
        </is>
      </c>
      <c r="E987" t="inlineStr">
        <is>
          <t>SUJAN</t>
        </is>
      </c>
      <c r="F987" t="inlineStr">
        <is>
          <t>CARGO</t>
        </is>
      </c>
      <c r="J987" s="56" t="n">
        <v>44971</v>
      </c>
    </row>
    <row r="988">
      <c r="B988" s="2" t="inlineStr">
        <is>
          <t>D91F7BC5C583</t>
        </is>
      </c>
      <c r="D988" t="inlineStr">
        <is>
          <t>PR2203-270</t>
        </is>
      </c>
      <c r="E988" t="inlineStr">
        <is>
          <t>SUJAN</t>
        </is>
      </c>
      <c r="F988" t="inlineStr">
        <is>
          <t>CARGO</t>
        </is>
      </c>
      <c r="J988" s="56" t="n">
        <v>44971</v>
      </c>
    </row>
    <row r="989">
      <c r="B989" s="2" t="inlineStr">
        <is>
          <t>ECC02018A581</t>
        </is>
      </c>
      <c r="D989" t="inlineStr">
        <is>
          <t>PR2206-041</t>
        </is>
      </c>
      <c r="E989" t="inlineStr">
        <is>
          <t>TRANSWAGGON</t>
        </is>
      </c>
      <c r="F989" t="inlineStr">
        <is>
          <t>CARGO</t>
        </is>
      </c>
      <c r="J989" s="56" t="n">
        <v>45083</v>
      </c>
    </row>
    <row r="990">
      <c r="B990" s="2" t="inlineStr">
        <is>
          <t>C5259E1F2352</t>
        </is>
      </c>
      <c r="D990" t="inlineStr">
        <is>
          <t>PR2206-474</t>
        </is>
      </c>
      <c r="E990" t="inlineStr">
        <is>
          <t>TRANSWAGGON</t>
        </is>
      </c>
      <c r="F990" t="inlineStr">
        <is>
          <t>CARGO</t>
        </is>
      </c>
      <c r="J990" s="56" t="n">
        <v>45083</v>
      </c>
    </row>
    <row r="991">
      <c r="B991" s="2" t="inlineStr">
        <is>
          <t>D6C5E064636A</t>
        </is>
      </c>
      <c r="D991" t="inlineStr">
        <is>
          <t>PR2206-195</t>
        </is>
      </c>
      <c r="E991" t="inlineStr">
        <is>
          <t>TRANSWAGGON</t>
        </is>
      </c>
      <c r="F991" t="inlineStr">
        <is>
          <t>CARGO</t>
        </is>
      </c>
      <c r="J991" s="56" t="n">
        <v>45083</v>
      </c>
    </row>
    <row r="992">
      <c r="B992" s="2" t="inlineStr">
        <is>
          <t>CB929D3BD75E</t>
        </is>
      </c>
      <c r="D992" t="inlineStr">
        <is>
          <t>PR2203-307</t>
        </is>
      </c>
      <c r="E992" t="inlineStr">
        <is>
          <t>TRANSWAGGON</t>
        </is>
      </c>
      <c r="F992" t="inlineStr">
        <is>
          <t>CARGO</t>
        </is>
      </c>
      <c r="J992" s="56" t="n">
        <v>45083</v>
      </c>
    </row>
    <row r="993">
      <c r="B993" s="2" t="inlineStr">
        <is>
          <t>CA5F0E3D5205</t>
        </is>
      </c>
      <c r="D993" t="inlineStr">
        <is>
          <t>PR2206-545</t>
        </is>
      </c>
      <c r="E993" t="inlineStr">
        <is>
          <t>TRANSWAGGON</t>
        </is>
      </c>
      <c r="F993" t="inlineStr">
        <is>
          <t>CARGO</t>
        </is>
      </c>
      <c r="J993" s="56" t="n">
        <v>45083</v>
      </c>
    </row>
    <row r="994">
      <c r="B994" s="2" t="inlineStr">
        <is>
          <t>FE3307BEAB3E</t>
        </is>
      </c>
      <c r="D994" t="inlineStr">
        <is>
          <t>PR2203-379</t>
        </is>
      </c>
      <c r="E994" t="inlineStr">
        <is>
          <t>TRANSWAGGON</t>
        </is>
      </c>
      <c r="F994" t="inlineStr">
        <is>
          <t>CARGO</t>
        </is>
      </c>
      <c r="J994" s="56" t="n">
        <v>45083</v>
      </c>
    </row>
    <row r="995">
      <c r="B995" s="2" t="inlineStr">
        <is>
          <t>D4D0DDA7EEE3</t>
        </is>
      </c>
      <c r="D995" t="inlineStr">
        <is>
          <t>PR2203-250</t>
        </is>
      </c>
      <c r="E995" t="inlineStr">
        <is>
          <t>TRANSWAGGON</t>
        </is>
      </c>
      <c r="F995" t="inlineStr">
        <is>
          <t>CARGO</t>
        </is>
      </c>
      <c r="J995" s="56" t="n">
        <v>45083</v>
      </c>
    </row>
    <row r="996">
      <c r="B996" s="2" t="inlineStr">
        <is>
          <t>EA9081526027</t>
        </is>
      </c>
      <c r="D996" t="inlineStr">
        <is>
          <t>PR2203-378</t>
        </is>
      </c>
      <c r="E996" t="inlineStr">
        <is>
          <t>TRANSWAGGON</t>
        </is>
      </c>
      <c r="F996" t="inlineStr">
        <is>
          <t>CARGO</t>
        </is>
      </c>
      <c r="J996" s="56" t="n">
        <v>45083</v>
      </c>
    </row>
    <row r="997">
      <c r="B997" s="2" t="inlineStr">
        <is>
          <t>EFC519DC2BC3</t>
        </is>
      </c>
      <c r="D997" t="inlineStr">
        <is>
          <t>PR2206-202</t>
        </is>
      </c>
      <c r="E997" t="inlineStr">
        <is>
          <t>TRANSWAGGON</t>
        </is>
      </c>
      <c r="F997" t="inlineStr">
        <is>
          <t>CARGO</t>
        </is>
      </c>
      <c r="J997" s="56" t="n">
        <v>45083</v>
      </c>
    </row>
    <row r="998">
      <c r="B998" s="2" t="inlineStr">
        <is>
          <t>CDF0CDF294D9</t>
        </is>
      </c>
      <c r="D998" t="inlineStr">
        <is>
          <t>PR2206-388</t>
        </is>
      </c>
      <c r="E998" t="inlineStr">
        <is>
          <t>TRANSWAGGON</t>
        </is>
      </c>
      <c r="F998" t="inlineStr">
        <is>
          <t>CARGO</t>
        </is>
      </c>
      <c r="J998" s="56" t="n">
        <v>45083</v>
      </c>
    </row>
    <row r="999">
      <c r="B999" s="2" t="inlineStr">
        <is>
          <t>EFD751FC2A8C</t>
        </is>
      </c>
      <c r="D999" t="inlineStr">
        <is>
          <t>PR2203-406</t>
        </is>
      </c>
      <c r="E999" t="inlineStr">
        <is>
          <t>TRANSWAGGON</t>
        </is>
      </c>
      <c r="F999" t="inlineStr">
        <is>
          <t>CARGO</t>
        </is>
      </c>
      <c r="J999" s="56" t="n">
        <v>45083</v>
      </c>
    </row>
    <row r="1000">
      <c r="B1000" s="2" t="inlineStr">
        <is>
          <t>C5C78BD5F85D</t>
        </is>
      </c>
      <c r="D1000" t="inlineStr">
        <is>
          <t>PR2206-544</t>
        </is>
      </c>
      <c r="E1000" t="inlineStr">
        <is>
          <t>TRANSWAGGON</t>
        </is>
      </c>
      <c r="F1000" t="inlineStr">
        <is>
          <t>CARGO</t>
        </is>
      </c>
      <c r="J1000" s="56" t="n">
        <v>45083</v>
      </c>
    </row>
    <row r="1001">
      <c r="B1001" s="2" t="inlineStr">
        <is>
          <t>D134B9045A27</t>
        </is>
      </c>
      <c r="D1001" t="inlineStr">
        <is>
          <t>PR2201-053</t>
        </is>
      </c>
      <c r="E1001" t="inlineStr">
        <is>
          <t>TRANSWAGGON</t>
        </is>
      </c>
      <c r="F1001" t="inlineStr">
        <is>
          <t>CARGO</t>
        </is>
      </c>
      <c r="J1001" s="56" t="n">
        <v>45083</v>
      </c>
    </row>
    <row r="1002">
      <c r="B1002" s="2" t="inlineStr">
        <is>
          <t>F2E33EABFD51</t>
        </is>
      </c>
      <c r="D1002" t="inlineStr">
        <is>
          <t>PR2203-202</t>
        </is>
      </c>
      <c r="E1002" t="inlineStr">
        <is>
          <t>TRANSWAGGON</t>
        </is>
      </c>
      <c r="F1002" t="inlineStr">
        <is>
          <t>CARGO</t>
        </is>
      </c>
      <c r="J1002" s="56" t="n">
        <v>45083</v>
      </c>
    </row>
    <row r="1003">
      <c r="B1003" s="2" t="inlineStr">
        <is>
          <t>F622A312B251</t>
        </is>
      </c>
      <c r="D1003" t="inlineStr">
        <is>
          <t>PR2203-287</t>
        </is>
      </c>
      <c r="E1003" t="inlineStr">
        <is>
          <t>TRANSWAGGON</t>
        </is>
      </c>
      <c r="F1003" t="inlineStr">
        <is>
          <t>CARGO</t>
        </is>
      </c>
      <c r="J1003" s="56" t="n">
        <v>45083</v>
      </c>
    </row>
    <row r="1004">
      <c r="B1004" s="2" t="inlineStr">
        <is>
          <t>F6CF4EE0B874</t>
        </is>
      </c>
      <c r="D1004" t="inlineStr">
        <is>
          <t>PR2206-080</t>
        </is>
      </c>
      <c r="E1004" t="inlineStr">
        <is>
          <t>TRANSWAGGON</t>
        </is>
      </c>
      <c r="F1004" t="inlineStr">
        <is>
          <t>CARGO</t>
        </is>
      </c>
      <c r="J1004" s="56" t="n">
        <v>45083</v>
      </c>
    </row>
    <row r="1005">
      <c r="B1005" s="2" t="inlineStr">
        <is>
          <t>DE4D0FF04247</t>
        </is>
      </c>
      <c r="D1005" t="inlineStr">
        <is>
          <t>PR2206-565</t>
        </is>
      </c>
      <c r="E1005" t="inlineStr">
        <is>
          <t>TRANSWAGGON</t>
        </is>
      </c>
      <c r="F1005" t="inlineStr">
        <is>
          <t>CARGO</t>
        </is>
      </c>
      <c r="J1005" s="56" t="n">
        <v>45083</v>
      </c>
    </row>
    <row r="1006">
      <c r="B1006" s="2" t="inlineStr">
        <is>
          <t>C5E4549B551C</t>
        </is>
      </c>
      <c r="D1006" t="inlineStr">
        <is>
          <t>PR2206-573</t>
        </is>
      </c>
      <c r="E1006" t="inlineStr">
        <is>
          <t>TRANSWAGGON</t>
        </is>
      </c>
      <c r="F1006" t="inlineStr">
        <is>
          <t>CARGO</t>
        </is>
      </c>
      <c r="J1006" s="56" t="n">
        <v>45083</v>
      </c>
    </row>
    <row r="1007">
      <c r="B1007" s="2" t="inlineStr">
        <is>
          <t>CAC5CD50F698</t>
        </is>
      </c>
      <c r="D1007" t="inlineStr">
        <is>
          <t>PR2206-077</t>
        </is>
      </c>
      <c r="E1007" t="inlineStr">
        <is>
          <t>TRANSWAGGON</t>
        </is>
      </c>
      <c r="F1007" t="inlineStr">
        <is>
          <t>CARGO</t>
        </is>
      </c>
      <c r="J1007" s="56" t="n">
        <v>45083</v>
      </c>
    </row>
    <row r="1008">
      <c r="B1008" s="2" t="inlineStr">
        <is>
          <t>F07AD46DDC48</t>
        </is>
      </c>
      <c r="D1008" t="inlineStr">
        <is>
          <t>PR2206-178</t>
        </is>
      </c>
      <c r="E1008" t="inlineStr">
        <is>
          <t>TRANSWAGGON</t>
        </is>
      </c>
      <c r="F1008" t="inlineStr">
        <is>
          <t>CARGO</t>
        </is>
      </c>
      <c r="J1008" s="56" t="n">
        <v>45083</v>
      </c>
    </row>
    <row r="1009">
      <c r="B1009" s="2" t="inlineStr">
        <is>
          <t>E97A46EF9C99</t>
        </is>
      </c>
      <c r="D1009" t="inlineStr">
        <is>
          <t>PR2206-058</t>
        </is>
      </c>
      <c r="E1009" t="inlineStr">
        <is>
          <t>TRANSWAGGON</t>
        </is>
      </c>
      <c r="F1009" t="inlineStr">
        <is>
          <t>CARGO</t>
        </is>
      </c>
      <c r="J1009" s="56" t="n">
        <v>45083</v>
      </c>
    </row>
    <row r="1010">
      <c r="B1010" s="2" t="inlineStr">
        <is>
          <t>E6D0F0A1EF42</t>
        </is>
      </c>
      <c r="D1010" t="inlineStr">
        <is>
          <t>PR2206-177</t>
        </is>
      </c>
      <c r="E1010" t="inlineStr">
        <is>
          <t>TRANSWAGGON</t>
        </is>
      </c>
      <c r="F1010" t="inlineStr">
        <is>
          <t>CARGO</t>
        </is>
      </c>
      <c r="J1010" s="56" t="n">
        <v>45083</v>
      </c>
    </row>
    <row r="1011">
      <c r="B1011" s="2" t="inlineStr">
        <is>
          <t>F6F8A72F761E</t>
        </is>
      </c>
      <c r="D1011" t="inlineStr">
        <is>
          <t>PR2206-428</t>
        </is>
      </c>
      <c r="E1011" t="inlineStr">
        <is>
          <t>TRANSWAGGON</t>
        </is>
      </c>
      <c r="F1011" t="inlineStr">
        <is>
          <t>CARGO</t>
        </is>
      </c>
      <c r="J1011" s="56" t="n">
        <v>45083</v>
      </c>
    </row>
    <row r="1012">
      <c r="B1012" s="2" t="inlineStr">
        <is>
          <t>FD21631EDDF4</t>
        </is>
      </c>
      <c r="D1012" t="inlineStr">
        <is>
          <t>PR2206-154</t>
        </is>
      </c>
      <c r="E1012" t="inlineStr">
        <is>
          <t>TRANSWAGGON</t>
        </is>
      </c>
      <c r="F1012" t="inlineStr">
        <is>
          <t>CARGO</t>
        </is>
      </c>
      <c r="J1012" s="56" t="n">
        <v>45083</v>
      </c>
    </row>
    <row r="1013">
      <c r="B1013" s="2" t="inlineStr">
        <is>
          <t>FEC76645C67E</t>
        </is>
      </c>
      <c r="D1013" t="inlineStr">
        <is>
          <t>PR2206-596</t>
        </is>
      </c>
      <c r="E1013" t="inlineStr">
        <is>
          <t>TRANSWAGGON</t>
        </is>
      </c>
      <c r="F1013" t="inlineStr">
        <is>
          <t>CARGO</t>
        </is>
      </c>
      <c r="J1013" s="56" t="n">
        <v>45083</v>
      </c>
    </row>
    <row r="1014">
      <c r="B1014" s="2" t="inlineStr">
        <is>
          <t>EB223CF1366C</t>
        </is>
      </c>
      <c r="D1014" t="inlineStr">
        <is>
          <t>PR2206-196</t>
        </is>
      </c>
      <c r="E1014" t="inlineStr">
        <is>
          <t>TRANSWAGGON</t>
        </is>
      </c>
      <c r="F1014" t="inlineStr">
        <is>
          <t>CARGO</t>
        </is>
      </c>
      <c r="J1014" s="56" t="n">
        <v>45083</v>
      </c>
    </row>
    <row r="1015">
      <c r="B1015" s="2" t="inlineStr">
        <is>
          <t>D0FDF83E1532</t>
        </is>
      </c>
      <c r="D1015" t="inlineStr">
        <is>
          <t>PR2206-213</t>
        </is>
      </c>
      <c r="E1015" t="inlineStr">
        <is>
          <t>TRANSWAGGON</t>
        </is>
      </c>
      <c r="F1015" t="inlineStr">
        <is>
          <t>CARGO</t>
        </is>
      </c>
      <c r="J1015" s="56" t="n">
        <v>45083</v>
      </c>
    </row>
    <row r="1016">
      <c r="B1016" s="2" t="inlineStr">
        <is>
          <t>CDE1A25DB6D4</t>
        </is>
      </c>
      <c r="D1016" t="inlineStr">
        <is>
          <t>PR2203-363</t>
        </is>
      </c>
      <c r="E1016" t="inlineStr">
        <is>
          <t>TRANSWAGGON</t>
        </is>
      </c>
      <c r="F1016" t="inlineStr">
        <is>
          <t>CARGO</t>
        </is>
      </c>
      <c r="J1016" s="56" t="n">
        <v>45083</v>
      </c>
    </row>
    <row r="1017">
      <c r="B1017" s="2" t="inlineStr">
        <is>
          <t>F75D7A13F249</t>
        </is>
      </c>
      <c r="D1017" t="inlineStr">
        <is>
          <t>PR2206-470</t>
        </is>
      </c>
      <c r="E1017" t="inlineStr">
        <is>
          <t>TRANSWAGGON</t>
        </is>
      </c>
      <c r="F1017" t="inlineStr">
        <is>
          <t>CARGO</t>
        </is>
      </c>
      <c r="J1017" s="56" t="n">
        <v>45083</v>
      </c>
    </row>
    <row r="1018">
      <c r="B1018" s="2" t="inlineStr">
        <is>
          <t>C8D7349FD7FC</t>
        </is>
      </c>
      <c r="D1018" t="inlineStr">
        <is>
          <t>PR2203-357</t>
        </is>
      </c>
      <c r="E1018" t="inlineStr">
        <is>
          <t>TRANSWAGGON</t>
        </is>
      </c>
      <c r="F1018" t="inlineStr">
        <is>
          <t>CARGO</t>
        </is>
      </c>
      <c r="J1018" s="56" t="n">
        <v>45083</v>
      </c>
    </row>
    <row r="1019">
      <c r="B1019" s="2" t="inlineStr">
        <is>
          <t>FF1ED14C6B53</t>
        </is>
      </c>
      <c r="D1019" t="inlineStr">
        <is>
          <t>PR2203-064</t>
        </is>
      </c>
      <c r="E1019" t="inlineStr">
        <is>
          <t>TRANSWAGGON</t>
        </is>
      </c>
      <c r="F1019" t="inlineStr">
        <is>
          <t>CARGO</t>
        </is>
      </c>
      <c r="J1019" s="56" t="n">
        <v>45083</v>
      </c>
    </row>
    <row r="1020">
      <c r="B1020" s="2" t="inlineStr">
        <is>
          <t>C1235A9292ED</t>
        </is>
      </c>
      <c r="D1020" t="inlineStr">
        <is>
          <t>PR2206-153</t>
        </is>
      </c>
      <c r="E1020" t="inlineStr">
        <is>
          <t>TRANSWAGGON</t>
        </is>
      </c>
      <c r="F1020" t="inlineStr">
        <is>
          <t>CARGO</t>
        </is>
      </c>
      <c r="J1020" s="56" t="n">
        <v>45083</v>
      </c>
    </row>
    <row r="1021">
      <c r="B1021" s="2" t="inlineStr">
        <is>
          <t>D82A2D4894EF</t>
        </is>
      </c>
      <c r="D1021" t="inlineStr">
        <is>
          <t>PR2206-500</t>
        </is>
      </c>
      <c r="E1021" t="inlineStr">
        <is>
          <t>TRANSWAGGON</t>
        </is>
      </c>
      <c r="F1021" t="inlineStr">
        <is>
          <t>CARGO</t>
        </is>
      </c>
      <c r="J1021" s="56" t="n">
        <v>45083</v>
      </c>
    </row>
    <row r="1022">
      <c r="B1022" s="2" t="inlineStr">
        <is>
          <t>CD8507758575</t>
        </is>
      </c>
      <c r="D1022" t="inlineStr">
        <is>
          <t>PR2203-328</t>
        </is>
      </c>
      <c r="E1022" t="inlineStr">
        <is>
          <t>TRANSWAGGON</t>
        </is>
      </c>
      <c r="F1022" t="inlineStr">
        <is>
          <t>CARGO</t>
        </is>
      </c>
      <c r="J1022" s="56" t="n">
        <v>45083</v>
      </c>
    </row>
    <row r="1023">
      <c r="B1023" s="2" t="inlineStr">
        <is>
          <t>D4B625CEAB13</t>
        </is>
      </c>
      <c r="D1023" t="inlineStr">
        <is>
          <t>PR2203-124</t>
        </is>
      </c>
      <c r="E1023" t="inlineStr">
        <is>
          <t>TRANSWAGGON</t>
        </is>
      </c>
      <c r="F1023" t="inlineStr">
        <is>
          <t>CARGO</t>
        </is>
      </c>
      <c r="J1023" s="56" t="n">
        <v>45083</v>
      </c>
    </row>
    <row r="1024">
      <c r="B1024" s="2" t="inlineStr">
        <is>
          <t>E45A9785D170</t>
        </is>
      </c>
      <c r="D1024" t="inlineStr">
        <is>
          <t>PR2206-208</t>
        </is>
      </c>
      <c r="E1024" t="inlineStr">
        <is>
          <t>TRANSWAGGON</t>
        </is>
      </c>
      <c r="F1024" t="inlineStr">
        <is>
          <t>CARGO</t>
        </is>
      </c>
      <c r="J1024" s="56" t="n">
        <v>45083</v>
      </c>
    </row>
    <row r="1025">
      <c r="B1025" s="2" t="inlineStr">
        <is>
          <t>D1DBD6A65D2B</t>
        </is>
      </c>
      <c r="D1025" t="inlineStr">
        <is>
          <t>PR2206-164</t>
        </is>
      </c>
      <c r="E1025" t="inlineStr">
        <is>
          <t>TRANSWAGGON</t>
        </is>
      </c>
      <c r="F1025" t="inlineStr">
        <is>
          <t>CARGO</t>
        </is>
      </c>
      <c r="J1025" s="56" t="n">
        <v>45083</v>
      </c>
    </row>
    <row r="1026">
      <c r="B1026" s="2" t="inlineStr">
        <is>
          <t>EFA82F88CB5B</t>
        </is>
      </c>
      <c r="D1026" t="inlineStr">
        <is>
          <t>PR2203-398</t>
        </is>
      </c>
      <c r="E1026" t="inlineStr">
        <is>
          <t>TRANSWAGGON</t>
        </is>
      </c>
      <c r="F1026" t="inlineStr">
        <is>
          <t>CARGO</t>
        </is>
      </c>
      <c r="J1026" s="56" t="n">
        <v>45083</v>
      </c>
    </row>
    <row r="1027">
      <c r="B1027" s="2" t="inlineStr">
        <is>
          <t>C823E2D34CD1</t>
        </is>
      </c>
      <c r="D1027" t="inlineStr">
        <is>
          <t>PR2203-314</t>
        </is>
      </c>
      <c r="E1027" t="inlineStr">
        <is>
          <t>TRANSWAGGON</t>
        </is>
      </c>
      <c r="F1027" t="inlineStr">
        <is>
          <t>CARGO</t>
        </is>
      </c>
      <c r="J1027" s="56" t="n">
        <v>45083</v>
      </c>
    </row>
    <row r="1028">
      <c r="B1028" s="2" t="inlineStr">
        <is>
          <t>FE6C7958A87E</t>
        </is>
      </c>
      <c r="D1028" t="inlineStr">
        <is>
          <t>PR2206-501</t>
        </is>
      </c>
      <c r="E1028" t="inlineStr">
        <is>
          <t>TRANSWAGGON</t>
        </is>
      </c>
      <c r="F1028" t="inlineStr">
        <is>
          <t>CARGO</t>
        </is>
      </c>
      <c r="J1028" s="56" t="n">
        <v>45083</v>
      </c>
    </row>
    <row r="1029">
      <c r="B1029" s="2" t="inlineStr">
        <is>
          <t>D591B9C32C3E</t>
        </is>
      </c>
      <c r="D1029" t="inlineStr">
        <is>
          <t>PR2203-411</t>
        </is>
      </c>
      <c r="F1029" t="inlineStr">
        <is>
          <t>CARGO</t>
        </is>
      </c>
      <c r="J1029" s="56" t="n"/>
    </row>
    <row r="1030">
      <c r="B1030" s="2" t="inlineStr">
        <is>
          <t>E491095B795A</t>
        </is>
      </c>
      <c r="D1030" t="inlineStr">
        <is>
          <t>PR2203-232</t>
        </is>
      </c>
      <c r="F1030" t="inlineStr">
        <is>
          <t>CARGO</t>
        </is>
      </c>
      <c r="J1030" s="56" t="n"/>
    </row>
    <row r="1031">
      <c r="B1031" s="2" t="inlineStr">
        <is>
          <t>D1DFDEE4F255</t>
        </is>
      </c>
      <c r="D1031" t="inlineStr">
        <is>
          <t>PR2203-072</t>
        </is>
      </c>
      <c r="F1031" t="inlineStr">
        <is>
          <t>CARGO</t>
        </is>
      </c>
    </row>
    <row r="1032">
      <c r="B1032" s="2" t="inlineStr">
        <is>
          <t>DC7DF73A85EA</t>
        </is>
      </c>
      <c r="D1032" t="inlineStr">
        <is>
          <t>PR2203-227</t>
        </is>
      </c>
      <c r="F1032" t="inlineStr">
        <is>
          <t>CARGO</t>
        </is>
      </c>
      <c r="J1032" s="56" t="n"/>
    </row>
    <row r="1033">
      <c r="B1033" s="2" t="inlineStr">
        <is>
          <t>C6C6F5D56247</t>
        </is>
      </c>
      <c r="D1033" t="inlineStr">
        <is>
          <t>PR2203-176</t>
        </is>
      </c>
      <c r="F1033" t="inlineStr">
        <is>
          <t>CARGO</t>
        </is>
      </c>
      <c r="J1033" s="56" t="n"/>
    </row>
    <row r="1034">
      <c r="B1034" s="2" t="inlineStr">
        <is>
          <t>FC788743CBA7</t>
        </is>
      </c>
      <c r="D1034" t="inlineStr">
        <is>
          <t>PR2203-291</t>
        </is>
      </c>
      <c r="F1034" t="inlineStr">
        <is>
          <t>CARGO</t>
        </is>
      </c>
      <c r="J1034" s="56" t="n"/>
    </row>
    <row r="1035">
      <c r="B1035" s="2" t="inlineStr">
        <is>
          <t>E15B72970F21</t>
        </is>
      </c>
      <c r="D1035" t="inlineStr">
        <is>
          <t>PR2203-223</t>
        </is>
      </c>
      <c r="F1035" t="inlineStr">
        <is>
          <t>CARGO</t>
        </is>
      </c>
      <c r="J1035" s="56" t="n"/>
    </row>
    <row r="1036">
      <c r="B1036" s="2" t="inlineStr">
        <is>
          <t>EC5ACF1684CC</t>
        </is>
      </c>
      <c r="D1036" t="inlineStr">
        <is>
          <t>PR2203-360</t>
        </is>
      </c>
      <c r="F1036" t="inlineStr">
        <is>
          <t>CARGO</t>
        </is>
      </c>
      <c r="J1036" s="56" t="n"/>
    </row>
    <row r="1037">
      <c r="B1037" s="2" t="inlineStr">
        <is>
          <t>F23835A8342B</t>
        </is>
      </c>
      <c r="D1037" t="inlineStr">
        <is>
          <t>PR2203-284</t>
        </is>
      </c>
      <c r="F1037" t="inlineStr">
        <is>
          <t>CARGO</t>
        </is>
      </c>
      <c r="J1037" s="56" t="n"/>
    </row>
    <row r="1038">
      <c r="B1038" s="2" t="inlineStr">
        <is>
          <t>E00DE53DDB23</t>
        </is>
      </c>
      <c r="D1038" t="inlineStr">
        <is>
          <t>PR2203-052</t>
        </is>
      </c>
      <c r="F1038" t="inlineStr">
        <is>
          <t>CARGO</t>
        </is>
      </c>
      <c r="J1038" s="56" t="n"/>
    </row>
    <row r="1039">
      <c r="B1039" s="2" t="inlineStr">
        <is>
          <t>EFE3CA090981</t>
        </is>
      </c>
      <c r="D1039" t="inlineStr">
        <is>
          <t>PR2203-350</t>
        </is>
      </c>
      <c r="F1039" t="inlineStr">
        <is>
          <t>CARGO</t>
        </is>
      </c>
      <c r="J1039" s="56" t="n"/>
    </row>
    <row r="1040">
      <c r="B1040" s="2" t="inlineStr">
        <is>
          <t>F6DF9D668BCD</t>
        </is>
      </c>
      <c r="D1040" t="inlineStr">
        <is>
          <t>PR2203-128</t>
        </is>
      </c>
      <c r="F1040" t="inlineStr">
        <is>
          <t>CARGO</t>
        </is>
      </c>
      <c r="J1040" s="56" t="n"/>
    </row>
    <row r="1041">
      <c r="B1041" s="2" t="inlineStr">
        <is>
          <t>ECDAF363EB1B</t>
        </is>
      </c>
      <c r="D1041" t="inlineStr">
        <is>
          <t>PR2203-XXX</t>
        </is>
      </c>
      <c r="F1041" t="inlineStr">
        <is>
          <t>CARGO</t>
        </is>
      </c>
      <c r="J1041" s="56" t="n"/>
    </row>
    <row r="1042">
      <c r="B1042" s="2" t="inlineStr">
        <is>
          <t>C3EDC556F03C</t>
        </is>
      </c>
      <c r="D1042" t="inlineStr">
        <is>
          <t>PR2203-251</t>
        </is>
      </c>
      <c r="F1042" t="inlineStr">
        <is>
          <t>CARGO</t>
        </is>
      </c>
      <c r="J1042" s="56" t="n"/>
    </row>
    <row r="1043">
      <c r="B1043" s="2" t="inlineStr">
        <is>
          <t>C6CD3D10A46A</t>
        </is>
      </c>
      <c r="D1043" t="inlineStr">
        <is>
          <t>PR2203-294</t>
        </is>
      </c>
      <c r="F1043" t="inlineStr">
        <is>
          <t>CARGO</t>
        </is>
      </c>
      <c r="J1043" s="56" t="n"/>
    </row>
    <row r="1044">
      <c r="B1044" s="2" t="inlineStr">
        <is>
          <t>D245F390B6AD</t>
        </is>
      </c>
      <c r="D1044" t="inlineStr">
        <is>
          <t>PR2203-063</t>
        </is>
      </c>
      <c r="F1044" t="inlineStr">
        <is>
          <t>CARGO</t>
        </is>
      </c>
      <c r="J1044" s="56" t="n"/>
    </row>
    <row r="1045">
      <c r="B1045" s="2" t="inlineStr">
        <is>
          <t>F14E8ED622F4</t>
        </is>
      </c>
      <c r="D1045" t="inlineStr">
        <is>
          <t>PR2203-182</t>
        </is>
      </c>
      <c r="E1045" t="inlineStr">
        <is>
          <t>CARGONET</t>
        </is>
      </c>
      <c r="F1045" t="inlineStr">
        <is>
          <t>CARGO</t>
        </is>
      </c>
      <c r="J1045" s="56" t="n">
        <v>45119</v>
      </c>
    </row>
    <row r="1046">
      <c r="B1046" s="2" t="inlineStr">
        <is>
          <t>E686C4C34056</t>
        </is>
      </c>
      <c r="D1046" t="inlineStr">
        <is>
          <t>PR2203-389</t>
        </is>
      </c>
      <c r="E1046" t="inlineStr">
        <is>
          <t>CARGONET</t>
        </is>
      </c>
      <c r="F1046" t="inlineStr">
        <is>
          <t>CARGO</t>
        </is>
      </c>
      <c r="J1046" s="56" t="n">
        <v>45119</v>
      </c>
    </row>
    <row r="1047">
      <c r="B1047" s="2" t="inlineStr">
        <is>
          <t>FB3D354C891E</t>
        </is>
      </c>
      <c r="D1047" t="inlineStr">
        <is>
          <t>PR2203-215</t>
        </is>
      </c>
      <c r="E1047" t="inlineStr">
        <is>
          <t>CARGONET</t>
        </is>
      </c>
      <c r="F1047" t="inlineStr">
        <is>
          <t>CARGO</t>
        </is>
      </c>
      <c r="J1047" s="56" t="n">
        <v>45119</v>
      </c>
    </row>
    <row r="1048">
      <c r="B1048" s="2" t="inlineStr">
        <is>
          <t>D89FB219A610</t>
        </is>
      </c>
      <c r="D1048" t="inlineStr">
        <is>
          <t>PR2203-346</t>
        </is>
      </c>
      <c r="E1048" t="inlineStr">
        <is>
          <t>CARGONET</t>
        </is>
      </c>
      <c r="F1048" t="inlineStr">
        <is>
          <t>CARGO</t>
        </is>
      </c>
      <c r="J1048" s="56" t="n">
        <v>45119</v>
      </c>
    </row>
    <row r="1049">
      <c r="B1049" s="2" t="inlineStr">
        <is>
          <t>C4D3C72A278A</t>
        </is>
      </c>
      <c r="D1049" t="inlineStr">
        <is>
          <t>PR2203-211</t>
        </is>
      </c>
      <c r="E1049" t="inlineStr">
        <is>
          <t>CARGONET</t>
        </is>
      </c>
      <c r="F1049" t="inlineStr">
        <is>
          <t>CARGO</t>
        </is>
      </c>
      <c r="J1049" s="56" t="n">
        <v>45119</v>
      </c>
    </row>
    <row r="1050">
      <c r="B1050" s="2" t="inlineStr">
        <is>
          <t>F13F8EF5CBF0</t>
        </is>
      </c>
      <c r="D1050" t="inlineStr">
        <is>
          <t>PR2203-057</t>
        </is>
      </c>
      <c r="E1050" t="inlineStr">
        <is>
          <t>CARGONET</t>
        </is>
      </c>
      <c r="F1050" t="inlineStr">
        <is>
          <t>CARGO</t>
        </is>
      </c>
      <c r="J1050" s="56" t="n">
        <v>45119</v>
      </c>
    </row>
    <row r="1051">
      <c r="B1051" s="2" t="inlineStr">
        <is>
          <t>E6FE974E133A</t>
        </is>
      </c>
      <c r="D1051" t="inlineStr">
        <is>
          <t>PR2203-327</t>
        </is>
      </c>
      <c r="E1051" t="inlineStr">
        <is>
          <t>CARGONET</t>
        </is>
      </c>
      <c r="F1051" t="inlineStr">
        <is>
          <t>CARGO</t>
        </is>
      </c>
      <c r="J1051" s="56" t="n">
        <v>45119</v>
      </c>
    </row>
    <row r="1052">
      <c r="B1052" s="2" t="inlineStr">
        <is>
          <t>CD3474556FE2</t>
        </is>
      </c>
      <c r="D1052" t="inlineStr">
        <is>
          <t>PR2203-151</t>
        </is>
      </c>
      <c r="E1052" t="inlineStr">
        <is>
          <t>CARGONET</t>
        </is>
      </c>
      <c r="F1052" t="inlineStr">
        <is>
          <t>CARGO</t>
        </is>
      </c>
      <c r="J1052" s="56" t="n">
        <v>45119</v>
      </c>
    </row>
    <row r="1053">
      <c r="B1053" s="2" t="inlineStr">
        <is>
          <t>CA706494AF54</t>
        </is>
      </c>
      <c r="D1053" t="inlineStr">
        <is>
          <t>PR2203-163</t>
        </is>
      </c>
      <c r="E1053" t="inlineStr">
        <is>
          <t>CARGONET</t>
        </is>
      </c>
      <c r="F1053" t="inlineStr">
        <is>
          <t>CARGO</t>
        </is>
      </c>
      <c r="J1053" s="56" t="n">
        <v>45119</v>
      </c>
    </row>
    <row r="1054">
      <c r="B1054" s="2" t="inlineStr">
        <is>
          <t>DD2BB9F3C8DF</t>
        </is>
      </c>
      <c r="D1054" t="inlineStr">
        <is>
          <t>PR2203-371</t>
        </is>
      </c>
      <c r="E1054" t="inlineStr">
        <is>
          <t>CARGONET</t>
        </is>
      </c>
      <c r="F1054" t="inlineStr">
        <is>
          <t>CARGO</t>
        </is>
      </c>
      <c r="J1054" s="56" t="n">
        <v>45119</v>
      </c>
    </row>
    <row r="1055">
      <c r="B1055" s="2" t="inlineStr">
        <is>
          <t>F97CD8503D12</t>
        </is>
      </c>
      <c r="D1055" t="inlineStr">
        <is>
          <t>PR2203-273</t>
        </is>
      </c>
      <c r="E1055" t="inlineStr">
        <is>
          <t>CARGONET</t>
        </is>
      </c>
      <c r="F1055" t="inlineStr">
        <is>
          <t>CARGO</t>
        </is>
      </c>
      <c r="J1055" s="56" t="n">
        <v>45119</v>
      </c>
    </row>
    <row r="1056">
      <c r="B1056" s="2" t="inlineStr">
        <is>
          <t>DEB0590EFAB9</t>
        </is>
      </c>
      <c r="D1056" t="inlineStr">
        <is>
          <t>PR2203-324</t>
        </is>
      </c>
      <c r="E1056" t="inlineStr">
        <is>
          <t>CARGONET</t>
        </is>
      </c>
      <c r="F1056" t="inlineStr">
        <is>
          <t>CARGO</t>
        </is>
      </c>
      <c r="J1056" s="56" t="n">
        <v>45119</v>
      </c>
    </row>
    <row r="1057">
      <c r="B1057" s="2" t="inlineStr">
        <is>
          <t>C48958A3DF38</t>
        </is>
      </c>
      <c r="D1057" t="inlineStr">
        <is>
          <t>PR2203-410</t>
        </is>
      </c>
      <c r="E1057" t="inlineStr">
        <is>
          <t>CARGONET</t>
        </is>
      </c>
      <c r="F1057" t="inlineStr">
        <is>
          <t>CARGO</t>
        </is>
      </c>
      <c r="J1057" s="56" t="n">
        <v>45119</v>
      </c>
    </row>
    <row r="1058">
      <c r="B1058" s="2" t="inlineStr">
        <is>
          <t>F0DB09968AF9</t>
        </is>
      </c>
      <c r="D1058" t="inlineStr">
        <is>
          <t>PR2203-224</t>
        </is>
      </c>
      <c r="E1058" t="inlineStr">
        <is>
          <t>CARGONET</t>
        </is>
      </c>
      <c r="F1058" t="inlineStr">
        <is>
          <t>CARGO</t>
        </is>
      </c>
      <c r="J1058" s="56" t="n">
        <v>45119</v>
      </c>
    </row>
    <row r="1059">
      <c r="B1059" s="2" t="inlineStr">
        <is>
          <t>D5364F4A15DA</t>
        </is>
      </c>
      <c r="D1059" t="inlineStr">
        <is>
          <t>PR2203-269</t>
        </is>
      </c>
      <c r="E1059" t="inlineStr">
        <is>
          <t>CARGONET</t>
        </is>
      </c>
      <c r="F1059" t="inlineStr">
        <is>
          <t>CARGO</t>
        </is>
      </c>
      <c r="J1059" s="56" t="n">
        <v>45119</v>
      </c>
    </row>
    <row r="1060">
      <c r="B1060" s="2" t="inlineStr">
        <is>
          <t>C5FCE51F43E0</t>
        </is>
      </c>
      <c r="D1060" t="inlineStr">
        <is>
          <t>PR2203-359</t>
        </is>
      </c>
      <c r="E1060" t="inlineStr">
        <is>
          <t>CARGONET</t>
        </is>
      </c>
      <c r="F1060" t="inlineStr">
        <is>
          <t>CARGO</t>
        </is>
      </c>
      <c r="J1060" s="56" t="n">
        <v>45119</v>
      </c>
    </row>
    <row r="1061">
      <c r="B1061" s="2" t="inlineStr">
        <is>
          <t>F202F0EA8E21</t>
        </is>
      </c>
      <c r="D1061" t="inlineStr">
        <is>
          <t>PR2203-158</t>
        </is>
      </c>
      <c r="E1061" t="inlineStr">
        <is>
          <t>CARGONET</t>
        </is>
      </c>
      <c r="F1061" t="inlineStr">
        <is>
          <t>CARGO</t>
        </is>
      </c>
      <c r="J1061" s="56" t="n">
        <v>45119</v>
      </c>
    </row>
    <row r="1062">
      <c r="B1062" s="2" t="inlineStr">
        <is>
          <t>EBAEAD8F68E5</t>
        </is>
      </c>
      <c r="D1062" t="inlineStr">
        <is>
          <t>PR2203-343</t>
        </is>
      </c>
      <c r="E1062" t="inlineStr">
        <is>
          <t>CARGONET</t>
        </is>
      </c>
      <c r="F1062" t="inlineStr">
        <is>
          <t>CARGO</t>
        </is>
      </c>
      <c r="J1062" s="56" t="n">
        <v>45119</v>
      </c>
    </row>
    <row r="1063">
      <c r="B1063" s="2" t="inlineStr">
        <is>
          <t>C2737DDFDC30</t>
        </is>
      </c>
      <c r="D1063" t="inlineStr">
        <is>
          <t>PR2203-325</t>
        </is>
      </c>
      <c r="E1063" t="inlineStr">
        <is>
          <t>CARGONET</t>
        </is>
      </c>
      <c r="F1063" t="inlineStr">
        <is>
          <t>CARGO</t>
        </is>
      </c>
      <c r="J1063" s="56" t="n">
        <v>45119</v>
      </c>
    </row>
    <row r="1064">
      <c r="B1064" s="2" t="inlineStr">
        <is>
          <t>C75EAD69669C</t>
        </is>
      </c>
      <c r="D1064" t="inlineStr">
        <is>
          <t>PR2203-367</t>
        </is>
      </c>
      <c r="E1064" t="inlineStr">
        <is>
          <t>CARGONET</t>
        </is>
      </c>
      <c r="F1064" t="inlineStr">
        <is>
          <t>CARGO</t>
        </is>
      </c>
      <c r="J1064" s="56" t="n">
        <v>45119</v>
      </c>
    </row>
    <row r="1065">
      <c r="B1065" s="2" t="inlineStr">
        <is>
          <t>D17350EDC925</t>
        </is>
      </c>
      <c r="D1065" t="inlineStr">
        <is>
          <t>PR2203-288</t>
        </is>
      </c>
      <c r="E1065" t="inlineStr">
        <is>
          <t>CARGONET</t>
        </is>
      </c>
      <c r="F1065" t="inlineStr">
        <is>
          <t>CARGO</t>
        </is>
      </c>
      <c r="J1065" s="56" t="n">
        <v>45119</v>
      </c>
    </row>
    <row r="1066">
      <c r="B1066" s="2" t="inlineStr">
        <is>
          <t>C279E37ABBD2</t>
        </is>
      </c>
      <c r="D1066" t="inlineStr">
        <is>
          <t>PR2203-067</t>
        </is>
      </c>
      <c r="E1066" t="inlineStr">
        <is>
          <t>CARGONET</t>
        </is>
      </c>
      <c r="F1066" t="inlineStr">
        <is>
          <t>CARGO</t>
        </is>
      </c>
      <c r="J1066" s="56" t="n">
        <v>45119</v>
      </c>
    </row>
    <row r="1067">
      <c r="B1067" s="2" t="inlineStr">
        <is>
          <t>C2D3807BBC32</t>
        </is>
      </c>
      <c r="D1067" t="inlineStr">
        <is>
          <t>PR2203-323</t>
        </is>
      </c>
      <c r="E1067" t="inlineStr">
        <is>
          <t>CARGONET</t>
        </is>
      </c>
      <c r="F1067" t="inlineStr">
        <is>
          <t>CARGO</t>
        </is>
      </c>
      <c r="J1067" s="56" t="n">
        <v>45119</v>
      </c>
    </row>
    <row r="1068">
      <c r="B1068" s="2" t="inlineStr">
        <is>
          <t>D4CE56768682</t>
        </is>
      </c>
      <c r="D1068" t="inlineStr">
        <is>
          <t>PR2203-459</t>
        </is>
      </c>
      <c r="E1068" t="inlineStr">
        <is>
          <t>CARGONET</t>
        </is>
      </c>
      <c r="F1068" t="inlineStr">
        <is>
          <t>CARGO</t>
        </is>
      </c>
      <c r="J1068" s="56" t="n">
        <v>45119</v>
      </c>
    </row>
    <row r="1069">
      <c r="B1069" s="2" t="inlineStr">
        <is>
          <t>D75A8588F893</t>
        </is>
      </c>
      <c r="D1069" t="inlineStr">
        <is>
          <t>PR2310-001</t>
        </is>
      </c>
      <c r="E1069" t="inlineStr">
        <is>
          <t>CFLCARGO</t>
        </is>
      </c>
      <c r="F1069" t="inlineStr">
        <is>
          <t>CARGO</t>
        </is>
      </c>
    </row>
    <row r="1070">
      <c r="B1070" s="2" t="inlineStr">
        <is>
          <t>D5E6AC2041B2</t>
        </is>
      </c>
      <c r="D1070" t="inlineStr">
        <is>
          <t>PR2310-002</t>
        </is>
      </c>
      <c r="E1070" t="inlineStr">
        <is>
          <t>CFLCARGO</t>
        </is>
      </c>
      <c r="F1070" t="inlineStr">
        <is>
          <t>CARGO</t>
        </is>
      </c>
    </row>
    <row r="1071">
      <c r="B1071" s="2" t="inlineStr">
        <is>
          <t>E68E54F96C0F</t>
        </is>
      </c>
      <c r="D1071" t="inlineStr">
        <is>
          <t>PR2310-003</t>
        </is>
      </c>
      <c r="E1071" t="inlineStr">
        <is>
          <t>CFLCARGO</t>
        </is>
      </c>
      <c r="F1071" t="inlineStr">
        <is>
          <t>CARGO</t>
        </is>
      </c>
    </row>
    <row r="1072">
      <c r="B1072" s="2" t="inlineStr">
        <is>
          <t>EA03AC5B9E36</t>
        </is>
      </c>
      <c r="D1072" t="inlineStr">
        <is>
          <t>PR2310-004</t>
        </is>
      </c>
      <c r="E1072" t="inlineStr">
        <is>
          <t>CFLCARGO</t>
        </is>
      </c>
      <c r="F1072" t="inlineStr">
        <is>
          <t>CARGO</t>
        </is>
      </c>
    </row>
    <row r="1073">
      <c r="B1073" s="2" t="inlineStr">
        <is>
          <t>CF8AEE2B1A97</t>
        </is>
      </c>
      <c r="D1073" t="inlineStr">
        <is>
          <t>PR2310-005</t>
        </is>
      </c>
      <c r="E1073" t="inlineStr">
        <is>
          <t>CFLCARGO</t>
        </is>
      </c>
      <c r="F1073" t="inlineStr">
        <is>
          <t>CARGO</t>
        </is>
      </c>
    </row>
    <row r="1074">
      <c r="B1074" s="2" t="inlineStr">
        <is>
          <t>D1143B74964C</t>
        </is>
      </c>
      <c r="D1074" t="inlineStr">
        <is>
          <t>PR2310-006</t>
        </is>
      </c>
      <c r="E1074" t="inlineStr">
        <is>
          <t>CFLCARGO</t>
        </is>
      </c>
      <c r="F1074" t="inlineStr">
        <is>
          <t>CARGO</t>
        </is>
      </c>
    </row>
    <row r="1075">
      <c r="B1075" s="2" t="inlineStr">
        <is>
          <t>FA1FCDDFE447</t>
        </is>
      </c>
      <c r="D1075" t="inlineStr">
        <is>
          <t>PR2310-007</t>
        </is>
      </c>
      <c r="E1075" t="inlineStr">
        <is>
          <t>CFLCARGO</t>
        </is>
      </c>
      <c r="F1075" t="inlineStr">
        <is>
          <t>CARGO</t>
        </is>
      </c>
    </row>
    <row r="1076">
      <c r="B1076" s="2" t="inlineStr">
        <is>
          <t>F980B1C668B2</t>
        </is>
      </c>
      <c r="D1076" t="inlineStr">
        <is>
          <t>PR2310-008</t>
        </is>
      </c>
      <c r="E1076" t="inlineStr">
        <is>
          <t>CFLCARGO</t>
        </is>
      </c>
      <c r="F1076" t="inlineStr">
        <is>
          <t>CARGO</t>
        </is>
      </c>
    </row>
    <row r="1077">
      <c r="B1077" s="2" t="inlineStr">
        <is>
          <t>E9AD1EBB6533</t>
        </is>
      </c>
      <c r="D1077" t="inlineStr">
        <is>
          <t>PR2310-009</t>
        </is>
      </c>
      <c r="E1077" t="inlineStr">
        <is>
          <t>CFLCARGO</t>
        </is>
      </c>
      <c r="F1077" t="inlineStr">
        <is>
          <t>CARGO</t>
        </is>
      </c>
    </row>
    <row r="1078">
      <c r="B1078" s="2" t="inlineStr">
        <is>
          <t>CAF64542DC6F</t>
        </is>
      </c>
      <c r="D1078" t="inlineStr">
        <is>
          <t>PR2310-010</t>
        </is>
      </c>
      <c r="E1078" t="inlineStr">
        <is>
          <t>CFLCARGO</t>
        </is>
      </c>
      <c r="F1078" t="inlineStr">
        <is>
          <t>CARGO</t>
        </is>
      </c>
    </row>
    <row r="1079">
      <c r="B1079" s="2" t="inlineStr">
        <is>
          <t>E94F35B0651F</t>
        </is>
      </c>
      <c r="D1079" t="inlineStr">
        <is>
          <t>PR2310-011</t>
        </is>
      </c>
      <c r="E1079" t="inlineStr">
        <is>
          <t>CFLCARGO</t>
        </is>
      </c>
      <c r="F1079" t="inlineStr">
        <is>
          <t>CARGO</t>
        </is>
      </c>
    </row>
    <row r="1080">
      <c r="B1080" s="2" t="inlineStr">
        <is>
          <t>FE350B769F5B</t>
        </is>
      </c>
      <c r="D1080" t="inlineStr">
        <is>
          <t>PR2310-012</t>
        </is>
      </c>
      <c r="E1080" t="inlineStr">
        <is>
          <t>CFLCARGO</t>
        </is>
      </c>
      <c r="F1080" t="inlineStr">
        <is>
          <t>CARGO</t>
        </is>
      </c>
    </row>
    <row r="1081">
      <c r="B1081" s="2" t="inlineStr">
        <is>
          <t>F7FDEADA1030</t>
        </is>
      </c>
      <c r="D1081" t="inlineStr">
        <is>
          <t>PR2310-013</t>
        </is>
      </c>
      <c r="E1081" t="inlineStr">
        <is>
          <t>CFLCARGO</t>
        </is>
      </c>
      <c r="F1081" t="inlineStr">
        <is>
          <t>CARGO</t>
        </is>
      </c>
    </row>
    <row r="1082">
      <c r="B1082" s="2" t="inlineStr">
        <is>
          <t>D4D550BE7AC3</t>
        </is>
      </c>
      <c r="D1082" t="inlineStr">
        <is>
          <t>PR2310-014</t>
        </is>
      </c>
      <c r="E1082" t="inlineStr">
        <is>
          <t>CFLCARGO</t>
        </is>
      </c>
      <c r="F1082" t="inlineStr">
        <is>
          <t>CARGO</t>
        </is>
      </c>
    </row>
    <row r="1083">
      <c r="B1083" s="2" t="inlineStr">
        <is>
          <t>D49F297A2C55</t>
        </is>
      </c>
      <c r="D1083" t="inlineStr">
        <is>
          <t>PR2310-015</t>
        </is>
      </c>
      <c r="E1083" t="inlineStr">
        <is>
          <t>CFLCARGO</t>
        </is>
      </c>
      <c r="F1083" t="inlineStr">
        <is>
          <t>CARGO</t>
        </is>
      </c>
    </row>
    <row r="1084">
      <c r="B1084" s="2" t="inlineStr">
        <is>
          <t>E4EABBA760E4</t>
        </is>
      </c>
      <c r="D1084" t="inlineStr">
        <is>
          <t>PR2310-016</t>
        </is>
      </c>
      <c r="E1084" t="inlineStr">
        <is>
          <t>CFLCARGO</t>
        </is>
      </c>
      <c r="F1084" t="inlineStr">
        <is>
          <t>CARGO</t>
        </is>
      </c>
    </row>
    <row r="1085">
      <c r="B1085" s="2" t="inlineStr">
        <is>
          <t>ECE954691081</t>
        </is>
      </c>
      <c r="D1085" t="inlineStr">
        <is>
          <t>PR2310-017</t>
        </is>
      </c>
      <c r="F1085" t="inlineStr">
        <is>
          <t>CARGO</t>
        </is>
      </c>
    </row>
    <row r="1086">
      <c r="B1086" s="2" t="inlineStr">
        <is>
          <t>CB40CFBFED08</t>
        </is>
      </c>
      <c r="D1086" t="inlineStr">
        <is>
          <t>PR2310-018</t>
        </is>
      </c>
      <c r="F1086" t="inlineStr">
        <is>
          <t>CARGO</t>
        </is>
      </c>
    </row>
  </sheetData>
  <autoFilter ref="A1:G1028"/>
  <conditionalFormatting sqref="A1:A1048576">
    <cfRule type="duplicateValues" priority="80" dxfId="15"/>
  </conditionalFormatting>
  <conditionalFormatting sqref="B1:B1048576">
    <cfRule type="duplicateValues" priority="89" dxfId="15"/>
  </conditionalFormatting>
  <conditionalFormatting sqref="C1:C411 C578:C1048576">
    <cfRule type="duplicateValues" priority="98" dxfId="15"/>
    <cfRule type="duplicateValues" priority="99" dxfId="15"/>
  </conditionalFormatting>
  <conditionalFormatting sqref="D1:D1048576">
    <cfRule type="duplicateValues" priority="118" dxfId="15"/>
  </conditionalFormatting>
  <conditionalFormatting sqref="I1:I1048576">
    <cfRule type="duplicateValues" priority="127" dxfId="15"/>
  </conditionalFormatting>
  <pageMargins left="0.7" right="0.7" top="0.75" bottom="0.75" header="0.3" footer="0.3"/>
  <pageSetup orientation="landscape" paperSize="261" horizontalDpi="180" verticalDpi="180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23"/>
  <sheetViews>
    <sheetView workbookViewId="0">
      <pane xSplit="2" topLeftCell="W1" activePane="topRight" state="frozen"/>
      <selection pane="topRight" activeCell="AB33" sqref="AB33"/>
    </sheetView>
  </sheetViews>
  <sheetFormatPr baseColWidth="8" defaultColWidth="8.85546875" defaultRowHeight="15"/>
  <cols>
    <col width="7.5703125" customWidth="1" min="1" max="1"/>
    <col width="18.5703125" bestFit="1" customWidth="1" style="14" min="2" max="2"/>
    <col width="29.28515625" bestFit="1" customWidth="1" min="3" max="3"/>
    <col width="7.5703125" bestFit="1" customWidth="1" style="43" min="4" max="4"/>
    <col width="8" bestFit="1" customWidth="1" style="44" min="5" max="5"/>
    <col width="6.85546875" bestFit="1" customWidth="1" style="45" min="6" max="6"/>
    <col width="3" bestFit="1" customWidth="1" style="43" min="7" max="7"/>
    <col width="3.7109375" bestFit="1" customWidth="1" style="44" min="8" max="8"/>
    <col width="7.5703125" bestFit="1" customWidth="1" style="44" min="9" max="9"/>
    <col width="4.28515625" bestFit="1" customWidth="1" style="44" min="10" max="10"/>
    <col width="5.5703125" bestFit="1" customWidth="1" style="44" min="11" max="11"/>
    <col width="4.5703125" bestFit="1" customWidth="1" style="45" min="12" max="12"/>
    <col width="3" bestFit="1" customWidth="1" style="43" min="13" max="13"/>
    <col width="5.5703125" bestFit="1" customWidth="1" style="44" min="14" max="14"/>
    <col width="6.140625" bestFit="1" customWidth="1" style="45" min="15" max="15"/>
    <col width="7" bestFit="1" customWidth="1" style="43" min="16" max="16"/>
    <col width="7.42578125" bestFit="1" customWidth="1" style="44" min="17" max="17"/>
    <col width="5.5703125" bestFit="1" customWidth="1" style="45" min="18" max="18"/>
    <col width="6.140625" bestFit="1" customWidth="1" style="43" min="19" max="19"/>
    <col width="8.5703125" bestFit="1" customWidth="1" style="44" min="20" max="20"/>
    <col width="7.140625" bestFit="1" customWidth="1" style="44" min="21" max="21"/>
    <col width="9" bestFit="1" customWidth="1" style="44" min="22" max="22"/>
    <col width="7.5703125" bestFit="1" customWidth="1" style="44" min="23" max="23"/>
    <col width="6.5703125" bestFit="1" customWidth="1" style="45" min="24" max="24"/>
    <col width="24" bestFit="1" customWidth="1" style="43" min="25" max="25"/>
    <col width="21.7109375" bestFit="1" customWidth="1" style="43" min="26" max="26"/>
    <col width="15" bestFit="1" customWidth="1" style="43" min="27" max="27"/>
    <col width="82.140625" customWidth="1" style="43" min="28" max="28"/>
    <col width="232.5703125" bestFit="1" customWidth="1" style="95" min="29" max="29"/>
    <col width="27.140625" customWidth="1" min="30" max="30"/>
    <col width="25.28515625" customWidth="1" min="31" max="31"/>
    <col width="25.140625" customWidth="1" min="32" max="32"/>
    <col width="55.42578125" customWidth="1" min="33" max="33"/>
  </cols>
  <sheetData>
    <row r="1" customFormat="1" s="42">
      <c r="B1" s="16" t="n"/>
      <c r="D1" s="117" t="inlineStr">
        <is>
          <t>speed_filter</t>
        </is>
      </c>
      <c r="E1" s="118" t="n"/>
      <c r="F1" s="119" t="n"/>
      <c r="G1" s="120" t="inlineStr">
        <is>
          <t>processing_intervals</t>
        </is>
      </c>
      <c r="H1" s="118" t="n"/>
      <c r="I1" s="118" t="n"/>
      <c r="J1" s="118" t="n"/>
      <c r="K1" s="118" t="n"/>
      <c r="L1" s="115" t="n">
        <v>2</v>
      </c>
      <c r="M1" s="117" t="inlineStr">
        <is>
          <t>BLE_intervals</t>
        </is>
      </c>
      <c r="N1" s="118" t="n"/>
      <c r="O1" s="119" t="n"/>
      <c r="P1" s="117" t="inlineStr">
        <is>
          <t>low_voltage</t>
        </is>
      </c>
      <c r="Q1" s="118" t="n"/>
      <c r="R1" s="119" t="n"/>
      <c r="S1" s="117" t="inlineStr">
        <is>
          <t>accelerometer</t>
        </is>
      </c>
      <c r="T1" s="118" t="n"/>
      <c r="U1" s="118" t="n"/>
      <c r="V1" s="118" t="n"/>
      <c r="W1" s="118" t="n"/>
      <c r="X1" s="119" t="n"/>
      <c r="Y1" s="84" t="inlineStr">
        <is>
          <t>log_filters</t>
        </is>
      </c>
      <c r="Z1" s="84" t="inlineStr">
        <is>
          <t>sensor_config</t>
        </is>
      </c>
      <c r="AA1" s="84" t="inlineStr">
        <is>
          <t>processing_mode</t>
        </is>
      </c>
      <c r="AB1" s="84" t="inlineStr">
        <is>
          <t>FW_URL</t>
        </is>
      </c>
      <c r="AC1" s="93" t="inlineStr">
        <is>
          <t>Settings string</t>
        </is>
      </c>
    </row>
    <row r="2" ht="56.25" customFormat="1" customHeight="1" s="6">
      <c r="A2" s="15" t="inlineStr">
        <is>
          <t>Setting code</t>
        </is>
      </c>
      <c r="B2" s="15" t="inlineStr">
        <is>
          <t>Setting</t>
        </is>
      </c>
      <c r="C2" s="15" t="inlineStr">
        <is>
          <t>Description</t>
        </is>
      </c>
      <c r="D2" s="46" t="inlineStr">
        <is>
          <t>lower speed</t>
        </is>
      </c>
      <c r="E2" s="47" t="inlineStr">
        <is>
          <t>higher speed</t>
        </is>
      </c>
      <c r="F2" s="69" t="inlineStr">
        <is>
          <t>deviation</t>
        </is>
      </c>
      <c r="G2" s="46" t="inlineStr">
        <is>
          <t>long Slot</t>
        </is>
      </c>
      <c r="H2" s="47" t="inlineStr">
        <is>
          <t>scan slot</t>
        </is>
      </c>
      <c r="I2" s="47" t="inlineStr">
        <is>
          <t>short period</t>
        </is>
      </c>
      <c r="J2" s="47" t="inlineStr">
        <is>
          <t>long period</t>
        </is>
      </c>
      <c r="K2" s="47" t="inlineStr">
        <is>
          <t>measure delay</t>
        </is>
      </c>
      <c r="L2" s="47" t="inlineStr">
        <is>
          <t>sensor second wake</t>
        </is>
      </c>
      <c r="M2" s="46" t="inlineStr">
        <is>
          <t>split</t>
        </is>
      </c>
      <c r="N2" s="47" t="inlineStr">
        <is>
          <t>time-out</t>
        </is>
      </c>
      <c r="O2" s="47" t="inlineStr">
        <is>
          <t>watchdog</t>
        </is>
      </c>
      <c r="P2" s="46" t="inlineStr">
        <is>
          <t>low limit, V</t>
        </is>
      </c>
      <c r="Q2" s="47" t="inlineStr">
        <is>
          <t>high limit, V</t>
        </is>
      </c>
      <c r="R2" s="47" t="inlineStr">
        <is>
          <t>test period, s</t>
        </is>
      </c>
      <c r="S2" s="46" t="inlineStr">
        <is>
          <t>ODR, Hz</t>
        </is>
      </c>
      <c r="T2" s="47" t="inlineStr">
        <is>
          <t>low g sense, g</t>
        </is>
      </c>
      <c r="U2" s="47" t="inlineStr">
        <is>
          <t>low g dur, s</t>
        </is>
      </c>
      <c r="V2" s="47" t="inlineStr">
        <is>
          <t>high g sense, g</t>
        </is>
      </c>
      <c r="W2" s="47" t="inlineStr">
        <is>
          <t>high g dur, s</t>
        </is>
      </c>
      <c r="X2" s="47" t="inlineStr">
        <is>
          <t>init (active / failed)</t>
        </is>
      </c>
      <c r="Y2" s="92" t="inlineStr">
        <is>
          <t>=30,sensors.process=1,sensors.comm=1</t>
        </is>
      </c>
      <c r="Z2" s="46" t="inlineStr">
        <is>
          <t>{\"RAIL_ACCEL_REC_RANGE_G\":16}</t>
        </is>
      </c>
      <c r="AA2" s="46" t="inlineStr">
        <is>
          <t>0(normal):1(test)</t>
        </is>
      </c>
      <c r="AB2" s="106" t="inlineStr">
        <is>
          <t>http://ec2-35-157-185-34.eu-central-1.compute.amazonaws.com:8090/sensor?2.1/0.22/</t>
        </is>
      </c>
      <c r="AC2" s="94" t="inlineStr">
        <is>
          <t>JSON</t>
        </is>
      </c>
    </row>
    <row r="3">
      <c r="A3" t="n">
        <v>1</v>
      </c>
      <c r="B3" s="14" t="inlineStr">
        <is>
          <t>Shipping</t>
        </is>
      </c>
      <c r="C3" t="inlineStr">
        <is>
          <t>Mode for shipping devices</t>
        </is>
      </c>
      <c r="D3" s="85" t="inlineStr">
        <is>
          <t>15.000000</t>
        </is>
      </c>
      <c r="E3" s="86" t="inlineStr">
        <is>
          <t>25.000000</t>
        </is>
      </c>
      <c r="F3" s="87" t="inlineStr">
        <is>
          <t>10.000000</t>
        </is>
      </c>
      <c r="G3" s="88" t="n">
        <v>40</v>
      </c>
      <c r="H3" s="89" t="n">
        <v>600</v>
      </c>
      <c r="I3" s="89">
        <f>3600*12</f>
        <v/>
      </c>
      <c r="J3" s="89">
        <f>3600*12</f>
        <v/>
      </c>
      <c r="K3" s="89" t="n">
        <v>10</v>
      </c>
      <c r="L3" s="90">
        <f>600*L$1</f>
        <v/>
      </c>
      <c r="M3" s="88" t="n">
        <v>1</v>
      </c>
      <c r="N3" s="89" t="n">
        <v>60</v>
      </c>
      <c r="O3" s="90" t="n">
        <v>300</v>
      </c>
      <c r="P3" s="85" t="inlineStr">
        <is>
          <t>2.500000</t>
        </is>
      </c>
      <c r="Q3" s="86" t="inlineStr">
        <is>
          <t>3.000000</t>
        </is>
      </c>
      <c r="R3" s="87" t="n">
        <v>3600</v>
      </c>
      <c r="S3" s="85" t="inlineStr">
        <is>
          <t>0.000000</t>
        </is>
      </c>
      <c r="T3" s="89" t="inlineStr">
        <is>
          <t>1.500000</t>
        </is>
      </c>
      <c r="U3" s="86" t="inlineStr">
        <is>
          <t>0.200000</t>
        </is>
      </c>
      <c r="V3" s="86" t="inlineStr">
        <is>
          <t>2.000000</t>
        </is>
      </c>
      <c r="W3" s="86" t="inlineStr">
        <is>
          <t>0.200000</t>
        </is>
      </c>
      <c r="X3" s="90" t="inlineStr">
        <is>
          <t>active</t>
        </is>
      </c>
      <c r="Y3" s="85" t="inlineStr">
        <is>
          <t>=30</t>
        </is>
      </c>
      <c r="Z3" s="85" t="inlineStr">
        <is>
          <t>{\"RAIL_ACCEL_REC_RANGE_G\":16}</t>
        </is>
      </c>
      <c r="AA3" s="85" t="inlineStr">
        <is>
          <t>0</t>
        </is>
      </c>
      <c r="AB3" s="85" t="n"/>
      <c r="AC3" s="96">
        <f>"{""" &amp; $D$1 &amp; """:""" &amp; $D3 &amp; "," &amp; $E3 &amp; "," &amp; $F3 &amp; """,""" &amp; $G$1 &amp; """:""" &amp; $G3 &amp; "," &amp; $H3 &amp; "," &amp; $I3 &amp; "," &amp; $J3 &amp; "," &amp; $K3 &amp; "," &amp; $L3 &amp; """,""" &amp; $M$1 &amp; """:""" &amp; $M3 &amp; "," &amp; $N3 &amp; "," &amp; $O3 &amp; """,""" &amp; $P$1 &amp; """:""" &amp; $P3 &amp; "," &amp; $Q3 &amp; "," &amp; $R3 &amp; """,""" &amp; $S$1 &amp; """:""" &amp; $S3 &amp; "," &amp; $T3 &amp; "," &amp; $U3 &amp; "," &amp; $V3 &amp; "," &amp; $W3 &amp; "," &amp; $X3 &amp; """,""" &amp; $AB$1 &amp; """:""" &amp; $AB3 &amp; """,""" &amp; $Y$1 &amp; """:""" &amp; $Y3 &amp; """,""" &amp; $Z$1 &amp; """:""" &amp; $Z3 &amp; """,""" &amp; $AA$1 &amp; """:""" &amp; $AA3 &amp; """}"</f>
        <v/>
      </c>
      <c r="AD3" s="91" t="n"/>
      <c r="AE3" s="91" t="n"/>
      <c r="AF3" s="91" t="n"/>
    </row>
    <row r="4">
      <c r="A4">
        <f>A3+1</f>
        <v/>
      </c>
      <c r="B4" s="14" t="inlineStr">
        <is>
          <t>Slow-5-12h</t>
        </is>
      </c>
      <c r="C4" t="inlineStr">
        <is>
          <t>Slow mode for low power operation</t>
        </is>
      </c>
      <c r="D4" s="88">
        <f>D3</f>
        <v/>
      </c>
      <c r="E4" s="86">
        <f>E3</f>
        <v/>
      </c>
      <c r="F4" s="90">
        <f>F3</f>
        <v/>
      </c>
      <c r="G4" s="88">
        <f>G3</f>
        <v/>
      </c>
      <c r="H4" s="89" t="n">
        <v>150</v>
      </c>
      <c r="I4" s="89">
        <f>3600*5</f>
        <v/>
      </c>
      <c r="J4" s="89">
        <f>3600*12</f>
        <v/>
      </c>
      <c r="K4" s="89">
        <f>K3</f>
        <v/>
      </c>
      <c r="L4" s="90">
        <f>200*L$1</f>
        <v/>
      </c>
      <c r="M4" s="88">
        <f>M3</f>
        <v/>
      </c>
      <c r="N4" s="89">
        <f>N3</f>
        <v/>
      </c>
      <c r="O4" s="90">
        <f>O3</f>
        <v/>
      </c>
      <c r="P4" s="85">
        <f>P3</f>
        <v/>
      </c>
      <c r="Q4" s="86">
        <f>Q3</f>
        <v/>
      </c>
      <c r="R4" s="87">
        <f>R3</f>
        <v/>
      </c>
      <c r="S4" s="85">
        <f>S3</f>
        <v/>
      </c>
      <c r="T4" s="86">
        <f>T3</f>
        <v/>
      </c>
      <c r="U4" s="86">
        <f>U3</f>
        <v/>
      </c>
      <c r="V4" s="86">
        <f>V3</f>
        <v/>
      </c>
      <c r="W4" s="86">
        <f>W3</f>
        <v/>
      </c>
      <c r="X4" s="90">
        <f>X3</f>
        <v/>
      </c>
      <c r="Y4" s="85" t="inlineStr">
        <is>
          <t>=30</t>
        </is>
      </c>
      <c r="Z4" s="85" t="inlineStr">
        <is>
          <t>{\"RAIL_ACCEL_REC_RANGE_G\":16}</t>
        </is>
      </c>
      <c r="AA4" s="85" t="inlineStr">
        <is>
          <t>0</t>
        </is>
      </c>
      <c r="AB4" s="85" t="n"/>
      <c r="AC4" s="96">
        <f>"{""" &amp; $D$1 &amp; """:""" &amp; $D4 &amp; "," &amp; $E4 &amp; "," &amp; $F4 &amp; """,""" &amp; $G$1 &amp; """:""" &amp; $G4 &amp; "," &amp; $H4 &amp; "," &amp; $I4 &amp; "," &amp; $J4 &amp; "," &amp; $K4 &amp; "," &amp; $L4 &amp; """,""" &amp; $M$1 &amp; """:""" &amp; $M4 &amp; "," &amp; $N4 &amp; "," &amp; $O4 &amp; """,""" &amp; $P$1 &amp; """:""" &amp; $P4 &amp; "," &amp; $Q4 &amp; "," &amp; $R4 &amp; """,""" &amp; $S$1 &amp; """:""" &amp; $S4 &amp; "," &amp; $T4 &amp; "," &amp; $U4 &amp; "," &amp; $V4 &amp; "," &amp; $W4 &amp; "," &amp; $X4 &amp; """,""" &amp; $AB$1 &amp; """:""" &amp; $AB4 &amp; """,""" &amp; $Y$1 &amp; """:""" &amp; $Y4 &amp; """,""" &amp; $Z$1 &amp; """:""" &amp; $Z4 &amp; """,""" &amp; $AA$1 &amp; """:""" &amp; $AA4 &amp; """}"</f>
        <v/>
      </c>
      <c r="AD4" s="91" t="n"/>
      <c r="AE4" s="91" t="n"/>
      <c r="AF4" s="91" t="n"/>
    </row>
    <row r="5">
      <c r="A5">
        <f>A4+1</f>
        <v/>
      </c>
      <c r="B5" s="14" t="inlineStr">
        <is>
          <t>Normal-4-12h</t>
        </is>
      </c>
      <c r="C5" t="inlineStr">
        <is>
          <t>Normal operation mode</t>
        </is>
      </c>
      <c r="D5" s="88">
        <f>D4</f>
        <v/>
      </c>
      <c r="E5" s="86">
        <f>E4</f>
        <v/>
      </c>
      <c r="F5" s="90">
        <f>F4</f>
        <v/>
      </c>
      <c r="G5" s="88">
        <f>G4</f>
        <v/>
      </c>
      <c r="H5" s="89" t="n">
        <v>150</v>
      </c>
      <c r="I5" s="89">
        <f>3600*4</f>
        <v/>
      </c>
      <c r="J5" s="89">
        <f>3600*12</f>
        <v/>
      </c>
      <c r="K5" s="89">
        <f>K4</f>
        <v/>
      </c>
      <c r="L5" s="90">
        <f>60*L$1</f>
        <v/>
      </c>
      <c r="M5" s="88">
        <f>M4</f>
        <v/>
      </c>
      <c r="N5" s="89">
        <f>N4</f>
        <v/>
      </c>
      <c r="O5" s="90">
        <f>O4</f>
        <v/>
      </c>
      <c r="P5" s="85">
        <f>P4</f>
        <v/>
      </c>
      <c r="Q5" s="86">
        <f>Q4</f>
        <v/>
      </c>
      <c r="R5" s="87">
        <f>R4</f>
        <v/>
      </c>
      <c r="S5" s="85">
        <f>S4</f>
        <v/>
      </c>
      <c r="T5" s="86">
        <f>T4</f>
        <v/>
      </c>
      <c r="U5" s="86">
        <f>U4</f>
        <v/>
      </c>
      <c r="V5" s="86">
        <f>V4</f>
        <v/>
      </c>
      <c r="W5" s="86">
        <f>W4</f>
        <v/>
      </c>
      <c r="X5" s="90">
        <f>X4</f>
        <v/>
      </c>
      <c r="Y5" s="85" t="inlineStr">
        <is>
          <t>=30</t>
        </is>
      </c>
      <c r="Z5" s="85" t="inlineStr">
        <is>
          <t>{\"RAIL_ACCEL_REC_RANGE_G\":16}</t>
        </is>
      </c>
      <c r="AA5" s="85" t="inlineStr">
        <is>
          <t>0</t>
        </is>
      </c>
      <c r="AB5" s="85" t="n"/>
      <c r="AC5" s="96">
        <f>"{""" &amp; $D$1 &amp; """:""" &amp; $D5 &amp; "," &amp; $E5 &amp; "," &amp; $F5 &amp; """,""" &amp; $G$1 &amp; """:""" &amp; $G5 &amp; "," &amp; $H5 &amp; "," &amp; $I5 &amp; "," &amp; $J5 &amp; "," &amp; $K5 &amp; "," &amp; $L5 &amp; """,""" &amp; $M$1 &amp; """:""" &amp; $M5 &amp; "," &amp; $N5 &amp; "," &amp; $O5 &amp; """,""" &amp; $P$1 &amp; """:""" &amp; $P5 &amp; "," &amp; $Q5 &amp; "," &amp; $R5 &amp; """,""" &amp; $S$1 &amp; """:""" &amp; $S5 &amp; "," &amp; $T5 &amp; "," &amp; $U5 &amp; "," &amp; $V5 &amp; "," &amp; $W5 &amp; "," &amp; $X5 &amp; """,""" &amp; $AB$1 &amp; """:""" &amp; $AB5 &amp; """,""" &amp; $Y$1 &amp; """:""" &amp; $Y5 &amp; """,""" &amp; $Z$1 &amp; """:""" &amp; $Z5 &amp; """,""" &amp; $AA$1 &amp; """:""" &amp; $AA5 &amp; """}"</f>
        <v/>
      </c>
      <c r="AD5" s="91" t="n"/>
      <c r="AE5" s="91" t="n"/>
      <c r="AF5" s="91" t="n"/>
    </row>
    <row r="6">
      <c r="A6">
        <f>A5+1</f>
        <v/>
      </c>
      <c r="B6" s="74" t="inlineStr">
        <is>
          <t>Fast-1-3h</t>
        </is>
      </c>
      <c r="C6" t="inlineStr">
        <is>
          <t>Fast mode for faster data collection</t>
        </is>
      </c>
      <c r="D6" s="88">
        <f>D5</f>
        <v/>
      </c>
      <c r="E6" s="86">
        <f>E5</f>
        <v/>
      </c>
      <c r="F6" s="90">
        <f>F5</f>
        <v/>
      </c>
      <c r="G6" s="88">
        <f>G5</f>
        <v/>
      </c>
      <c r="H6" s="89" t="n">
        <v>150</v>
      </c>
      <c r="I6" s="89">
        <f>3600*1</f>
        <v/>
      </c>
      <c r="J6" s="89">
        <f>3*3600</f>
        <v/>
      </c>
      <c r="K6" s="89">
        <f>K5</f>
        <v/>
      </c>
      <c r="L6" s="90">
        <f>60*L$1</f>
        <v/>
      </c>
      <c r="M6" s="88">
        <f>M5</f>
        <v/>
      </c>
      <c r="N6" s="89">
        <f>N5</f>
        <v/>
      </c>
      <c r="O6" s="90">
        <f>O5</f>
        <v/>
      </c>
      <c r="P6" s="85">
        <f>P5</f>
        <v/>
      </c>
      <c r="Q6" s="86">
        <f>Q5</f>
        <v/>
      </c>
      <c r="R6" s="87">
        <f>R5</f>
        <v/>
      </c>
      <c r="S6" s="85">
        <f>S5</f>
        <v/>
      </c>
      <c r="T6" s="86">
        <f>T5</f>
        <v/>
      </c>
      <c r="U6" s="86">
        <f>U5</f>
        <v/>
      </c>
      <c r="V6" s="86">
        <f>V5</f>
        <v/>
      </c>
      <c r="W6" s="86">
        <f>W5</f>
        <v/>
      </c>
      <c r="X6" s="90">
        <f>X5</f>
        <v/>
      </c>
      <c r="Y6" s="85" t="inlineStr">
        <is>
          <t>=30</t>
        </is>
      </c>
      <c r="Z6" s="85" t="inlineStr">
        <is>
          <t>{\"RAIL_ACCEL_REC_RANGE_G\":16}</t>
        </is>
      </c>
      <c r="AA6" s="85" t="inlineStr">
        <is>
          <t>0</t>
        </is>
      </c>
      <c r="AB6" s="85" t="n"/>
      <c r="AC6" s="96">
        <f>"{""" &amp; $D$1 &amp; """:""" &amp; $D6 &amp; "," &amp; $E6 &amp; "," &amp; $F6 &amp; """,""" &amp; $G$1 &amp; """:""" &amp; $G6 &amp; "," &amp; $H6 &amp; "," &amp; $I6 &amp; "," &amp; $J6 &amp; "," &amp; $K6 &amp; "," &amp; $L6 &amp; """,""" &amp; $M$1 &amp; """:""" &amp; $M6 &amp; "," &amp; $N6 &amp; "," &amp; $O6 &amp; """,""" &amp; $P$1 &amp; """:""" &amp; $P6 &amp; "," &amp; $Q6 &amp; "," &amp; $R6 &amp; """,""" &amp; $S$1 &amp; """:""" &amp; $S6 &amp; "," &amp; $T6 &amp; "," &amp; $U6 &amp; "," &amp; $V6 &amp; "," &amp; $W6 &amp; "," &amp; $X6 &amp; """,""" &amp; $AB$1 &amp; """:""" &amp; $AB6 &amp; """,""" &amp; $Y$1 &amp; """:""" &amp; $Y6 &amp; """,""" &amp; $Z$1 &amp; """:""" &amp; $Z6 &amp; """,""" &amp; $AA$1 &amp; """:""" &amp; $AA6 &amp; """}"</f>
        <v/>
      </c>
      <c r="AD6" s="91" t="n"/>
      <c r="AE6" s="91" t="n"/>
      <c r="AF6" s="91" t="n"/>
    </row>
    <row r="7">
      <c r="A7">
        <f>A6+1</f>
        <v/>
      </c>
      <c r="B7" s="73" t="inlineStr">
        <is>
          <t>Super Fast-20min-1h</t>
        </is>
      </c>
      <c r="C7" t="inlineStr">
        <is>
          <t>High energy consumption mode</t>
        </is>
      </c>
      <c r="D7" s="88">
        <f>D6</f>
        <v/>
      </c>
      <c r="E7" s="86">
        <f>E6</f>
        <v/>
      </c>
      <c r="F7" s="90">
        <f>F6</f>
        <v/>
      </c>
      <c r="G7" s="88">
        <f>G6</f>
        <v/>
      </c>
      <c r="H7" s="89" t="n">
        <v>150</v>
      </c>
      <c r="I7" s="89" t="n">
        <v>1200</v>
      </c>
      <c r="J7" s="89" t="n">
        <v>3600</v>
      </c>
      <c r="K7" s="89">
        <f>K6</f>
        <v/>
      </c>
      <c r="L7" s="90">
        <f>200*L$1</f>
        <v/>
      </c>
      <c r="M7" s="88">
        <f>M6</f>
        <v/>
      </c>
      <c r="N7" s="89">
        <f>N6</f>
        <v/>
      </c>
      <c r="O7" s="90">
        <f>O6</f>
        <v/>
      </c>
      <c r="P7" s="85">
        <f>P6</f>
        <v/>
      </c>
      <c r="Q7" s="86">
        <f>Q6</f>
        <v/>
      </c>
      <c r="R7" s="87">
        <f>R6</f>
        <v/>
      </c>
      <c r="S7" s="85">
        <f>S6</f>
        <v/>
      </c>
      <c r="T7" s="86">
        <f>T6</f>
        <v/>
      </c>
      <c r="U7" s="86">
        <f>U6</f>
        <v/>
      </c>
      <c r="V7" s="86">
        <f>V6</f>
        <v/>
      </c>
      <c r="W7" s="86">
        <f>W6</f>
        <v/>
      </c>
      <c r="X7" s="90">
        <f>X6</f>
        <v/>
      </c>
      <c r="Y7" s="85" t="inlineStr">
        <is>
          <t>=30</t>
        </is>
      </c>
      <c r="Z7" s="85" t="inlineStr">
        <is>
          <t>{\"RAIL_ACCEL_REC_RANGE_G\":16}</t>
        </is>
      </c>
      <c r="AA7" s="85" t="inlineStr">
        <is>
          <t>0</t>
        </is>
      </c>
      <c r="AB7" s="85" t="n"/>
      <c r="AC7" s="96">
        <f>"{""" &amp; $D$1 &amp; """:""" &amp; $D7 &amp; "," &amp; $E7 &amp; "," &amp; $F7 &amp; """,""" &amp; $G$1 &amp; """:""" &amp; $G7 &amp; "," &amp; $H7 &amp; "," &amp; $I7 &amp; "," &amp; $J7 &amp; "," &amp; $K7 &amp; "," &amp; $L7 &amp; """,""" &amp; $M$1 &amp; """:""" &amp; $M7 &amp; "," &amp; $N7 &amp; "," &amp; $O7 &amp; """,""" &amp; $P$1 &amp; """:""" &amp; $P7 &amp; "," &amp; $Q7 &amp; "," &amp; $R7 &amp; """,""" &amp; $S$1 &amp; """:""" &amp; $S7 &amp; "," &amp; $T7 &amp; "," &amp; $U7 &amp; "," &amp; $V7 &amp; "," &amp; $W7 &amp; "," &amp; $X7 &amp; """,""" &amp; $AB$1 &amp; """:""" &amp; $AB7 &amp; """,""" &amp; $Y$1 &amp; """:""" &amp; $Y7 &amp; """,""" &amp; $Z$1 &amp; """:""" &amp; $Z7 &amp; """,""" &amp; $AA$1 &amp; """:""" &amp; $AA7 &amp; """}"</f>
        <v/>
      </c>
      <c r="AD7" s="91" t="n"/>
      <c r="AE7" s="91" t="n"/>
      <c r="AF7" s="91" t="n"/>
    </row>
    <row r="8">
      <c r="A8">
        <f>A7+1</f>
        <v/>
      </c>
      <c r="B8" s="14" t="inlineStr">
        <is>
          <t>Assembly-20-20min</t>
        </is>
      </c>
      <c r="C8" t="inlineStr">
        <is>
          <t>For assembling sensors</t>
        </is>
      </c>
      <c r="D8" s="85" t="inlineStr">
        <is>
          <t>0.001000</t>
        </is>
      </c>
      <c r="E8" s="86" t="inlineStr">
        <is>
          <t>0.001000</t>
        </is>
      </c>
      <c r="F8" s="90">
        <f>F7</f>
        <v/>
      </c>
      <c r="G8" s="88">
        <f>G7</f>
        <v/>
      </c>
      <c r="H8" s="89" t="n">
        <v>800</v>
      </c>
      <c r="I8" s="89" t="n">
        <v>1200</v>
      </c>
      <c r="J8" s="89" t="n">
        <v>1200</v>
      </c>
      <c r="K8" s="89">
        <f>K7</f>
        <v/>
      </c>
      <c r="L8" s="90">
        <f>600*L$1</f>
        <v/>
      </c>
      <c r="M8" s="88">
        <f>M7</f>
        <v/>
      </c>
      <c r="N8" s="89">
        <f>N7</f>
        <v/>
      </c>
      <c r="O8" s="90">
        <f>O7</f>
        <v/>
      </c>
      <c r="P8" s="85">
        <f>P7</f>
        <v/>
      </c>
      <c r="Q8" s="86">
        <f>Q7</f>
        <v/>
      </c>
      <c r="R8" s="87">
        <f>R7</f>
        <v/>
      </c>
      <c r="S8" s="85" t="inlineStr">
        <is>
          <t>0.000000</t>
        </is>
      </c>
      <c r="T8" s="89" t="inlineStr">
        <is>
          <t>1.500000</t>
        </is>
      </c>
      <c r="U8" s="86" t="inlineStr">
        <is>
          <t>0.200000</t>
        </is>
      </c>
      <c r="V8" s="86" t="inlineStr">
        <is>
          <t>2.000000</t>
        </is>
      </c>
      <c r="W8" s="86" t="inlineStr">
        <is>
          <t>0.200000</t>
        </is>
      </c>
      <c r="X8" s="90" t="inlineStr">
        <is>
          <t>active</t>
        </is>
      </c>
      <c r="Y8" s="85" t="inlineStr">
        <is>
          <t>=30</t>
        </is>
      </c>
      <c r="Z8" s="85" t="inlineStr">
        <is>
          <t>{\"RAIL_ACCEL_REC_RANGE_G\":16}</t>
        </is>
      </c>
      <c r="AA8" s="85" t="inlineStr">
        <is>
          <t>0</t>
        </is>
      </c>
      <c r="AB8" s="85" t="n"/>
      <c r="AC8" s="96">
        <f>"{""" &amp; $D$1 &amp; """:""" &amp; $D8 &amp; "," &amp; $E8 &amp; "," &amp; $F8 &amp; """,""" &amp; $G$1 &amp; """:""" &amp; $G8 &amp; "," &amp; $H8 &amp; "," &amp; $I8 &amp; "," &amp; $J8 &amp; "," &amp; $K8 &amp; "," &amp; $L8 &amp; """,""" &amp; $M$1 &amp; """:""" &amp; $M8 &amp; "," &amp; $N8 &amp; "," &amp; $O8 &amp; """,""" &amp; $P$1 &amp; """:""" &amp; $P8 &amp; "," &amp; $Q8 &amp; "," &amp; $R8 &amp; """,""" &amp; $S$1 &amp; """:""" &amp; $S8 &amp; "," &amp; $T8 &amp; "," &amp; $U8 &amp; "," &amp; $V8 &amp; "," &amp; $W8 &amp; "," &amp; $X8 &amp; """,""" &amp; $AB$1 &amp; """:""" &amp; $AB8 &amp; """,""" &amp; $Y$1 &amp; """:""" &amp; $Y8 &amp; """,""" &amp; $Z$1 &amp; """:""" &amp; $Z8 &amp; """,""" &amp; $AA$1 &amp; """:""" &amp; $AA8 &amp; """}"</f>
        <v/>
      </c>
      <c r="AD8" s="91" t="n"/>
      <c r="AE8" s="91" t="n"/>
      <c r="AF8" s="91" t="n"/>
    </row>
    <row r="9" ht="22.5" customHeight="1">
      <c r="A9">
        <f>A8+1</f>
        <v/>
      </c>
      <c r="B9" s="14" t="inlineStr">
        <is>
          <t>New FW Test</t>
        </is>
      </c>
      <c r="C9" t="inlineStr">
        <is>
          <t>For LTG tests</t>
        </is>
      </c>
      <c r="D9" s="85" t="inlineStr">
        <is>
          <t>0.001000</t>
        </is>
      </c>
      <c r="E9" s="86" t="inlineStr">
        <is>
          <t>0.001000</t>
        </is>
      </c>
      <c r="F9" s="90">
        <f>F8</f>
        <v/>
      </c>
      <c r="G9" s="88">
        <f>G8</f>
        <v/>
      </c>
      <c r="H9" s="89" t="n">
        <v>600</v>
      </c>
      <c r="I9" s="89" t="n">
        <v>1200</v>
      </c>
      <c r="J9" s="89" t="n">
        <v>3600</v>
      </c>
      <c r="K9" s="89">
        <f>K8</f>
        <v/>
      </c>
      <c r="L9" s="90">
        <f>200*L$1</f>
        <v/>
      </c>
      <c r="M9" s="88">
        <f>M8</f>
        <v/>
      </c>
      <c r="N9" s="89">
        <f>N8</f>
        <v/>
      </c>
      <c r="O9" s="90">
        <f>O8</f>
        <v/>
      </c>
      <c r="P9" s="85">
        <f>P8</f>
        <v/>
      </c>
      <c r="Q9" s="86">
        <f>Q8</f>
        <v/>
      </c>
      <c r="R9" s="87">
        <f>R8</f>
        <v/>
      </c>
      <c r="S9" s="85">
        <f>S8</f>
        <v/>
      </c>
      <c r="T9" s="86">
        <f>T8</f>
        <v/>
      </c>
      <c r="U9" s="86">
        <f>U8</f>
        <v/>
      </c>
      <c r="V9" s="86">
        <f>V8</f>
        <v/>
      </c>
      <c r="W9" s="86">
        <f>W8</f>
        <v/>
      </c>
      <c r="X9" s="90">
        <f>X8</f>
        <v/>
      </c>
      <c r="Y9" s="92" t="inlineStr">
        <is>
          <t>=30,sensors.process=1,sensors.comm=1</t>
        </is>
      </c>
      <c r="Z9" s="85" t="inlineStr">
        <is>
          <t>{\"RAIL_ACCEL_REC_RANGE_G\":16}</t>
        </is>
      </c>
      <c r="AA9" s="85" t="inlineStr">
        <is>
          <t>0</t>
        </is>
      </c>
      <c r="AB9" s="105" t="inlineStr">
        <is>
          <t>http://ec2-35-157-185-34.eu-central-1.compute.amazonaws.com:8090/sensor?2.1/2.5/</t>
        </is>
      </c>
      <c r="AC9" s="96">
        <f>"{""" &amp; $D$1 &amp; """:""" &amp; $D9 &amp; "," &amp; $E9 &amp; "," &amp; $F9 &amp; """,""" &amp; $G$1 &amp; """:""" &amp; $G9 &amp; "," &amp; $H9 &amp; "," &amp; $I9 &amp; "," &amp; $J9 &amp; "," &amp; $K9 &amp; "," &amp; $L9 &amp; """,""" &amp; $M$1 &amp; """:""" &amp; $M9 &amp; "," &amp; $N9 &amp; "," &amp; $O9 &amp; """,""" &amp; $P$1 &amp; """:""" &amp; $P9 &amp; "," &amp; $Q9 &amp; "," &amp; $R9 &amp; """,""" &amp; $S$1 &amp; """:""" &amp; $S9 &amp; "," &amp; $T9 &amp; "," &amp; $U9 &amp; "," &amp; $V9 &amp; "," &amp; $W9 &amp; "," &amp; $X9 &amp; """,""" &amp; $AB$1 &amp; """:""" &amp; $AB9 &amp; """,""" &amp; $Y$1 &amp; """:""" &amp; $Y9 &amp; """,""" &amp; $Z$1 &amp; """:""" &amp; $Z9 &amp; """,""" &amp; $AA$1 &amp; """:""" &amp; $AA9 &amp; """}"</f>
        <v/>
      </c>
      <c r="AD9" s="91" t="n"/>
      <c r="AE9" s="91" t="n"/>
      <c r="AF9" s="91" t="n"/>
    </row>
    <row r="10" ht="22.5" customHeight="1">
      <c r="A10">
        <f>A9+1</f>
        <v/>
      </c>
      <c r="B10" s="14" t="inlineStr">
        <is>
          <t>TEST_F1-30min-4h</t>
        </is>
      </c>
      <c r="C10" t="inlineStr">
        <is>
          <t>Testing parameters 1</t>
        </is>
      </c>
      <c r="D10" s="85" t="inlineStr">
        <is>
          <t>0.000000</t>
        </is>
      </c>
      <c r="E10" s="86" t="inlineStr">
        <is>
          <t>0.000000</t>
        </is>
      </c>
      <c r="F10" s="90">
        <f>F9</f>
        <v/>
      </c>
      <c r="G10" s="88">
        <f>G9</f>
        <v/>
      </c>
      <c r="H10" s="89" t="n">
        <v>150</v>
      </c>
      <c r="I10" s="89" t="n">
        <v>1800</v>
      </c>
      <c r="J10" s="89">
        <f>3600*4</f>
        <v/>
      </c>
      <c r="K10" s="89" t="n">
        <v>10</v>
      </c>
      <c r="L10" s="90">
        <f>200*L$1</f>
        <v/>
      </c>
      <c r="M10" s="88">
        <f>M9</f>
        <v/>
      </c>
      <c r="N10" s="89">
        <f>N9</f>
        <v/>
      </c>
      <c r="O10" s="90">
        <f>O9</f>
        <v/>
      </c>
      <c r="P10" s="85">
        <f>P9</f>
        <v/>
      </c>
      <c r="Q10" s="86">
        <f>Q9</f>
        <v/>
      </c>
      <c r="R10" s="87">
        <f>R9</f>
        <v/>
      </c>
      <c r="S10" s="85">
        <f>S9</f>
        <v/>
      </c>
      <c r="T10" s="86">
        <f>T9</f>
        <v/>
      </c>
      <c r="U10" s="86">
        <f>U9</f>
        <v/>
      </c>
      <c r="V10" s="86">
        <f>V9</f>
        <v/>
      </c>
      <c r="W10" s="86">
        <f>W9</f>
        <v/>
      </c>
      <c r="X10" s="90">
        <f>X9</f>
        <v/>
      </c>
      <c r="Y10" s="92" t="inlineStr">
        <is>
          <t>=30,sensors.process=1,sensors.comm=1</t>
        </is>
      </c>
      <c r="Z10" s="85" t="inlineStr">
        <is>
          <t>{\"RAIL_ACCEL_REC_RANGE_G\":16}</t>
        </is>
      </c>
      <c r="AA10" s="85" t="inlineStr">
        <is>
          <t>0</t>
        </is>
      </c>
      <c r="AB10" s="106" t="inlineStr">
        <is>
          <t>http://ec2-35-157-185-34.eu-central-1.compute.amazonaws.com:8090/sensor?2.1/0.24/</t>
        </is>
      </c>
      <c r="AC10" s="96">
        <f>"{""" &amp; $D$1 &amp; """:""" &amp; $D10 &amp; "," &amp; $E10 &amp; "," &amp; $F10 &amp; """,""" &amp; $G$1 &amp; """:""" &amp; $G10 &amp; "," &amp; $H10 &amp; "," &amp; $I10 &amp; "," &amp; $J10 &amp; "," &amp; $K10 &amp; "," &amp; $L10 &amp; """,""" &amp; $M$1 &amp; """:""" &amp; $M10 &amp; "," &amp; $N10 &amp; "," &amp; $O10 &amp; """,""" &amp; $P$1 &amp; """:""" &amp; $P10 &amp; "," &amp; $Q10 &amp; "," &amp; $R10 &amp; """,""" &amp; $S$1 &amp; """:""" &amp; $S10 &amp; "," &amp; $T10 &amp; "," &amp; $U10 &amp; "," &amp; $V10 &amp; "," &amp; $W10 &amp; "," &amp; $X10 &amp; """,""" &amp; $AB$1 &amp; """:""" &amp; $AB10 &amp; """,""" &amp; $Y$1 &amp; """:""" &amp; $Y10 &amp; """,""" &amp; $Z$1 &amp; """:""" &amp; $Z10 &amp; """,""" &amp; $AA$1 &amp; """:""" &amp; $AA10 &amp; """}"</f>
        <v/>
      </c>
      <c r="AD10" s="91" t="n"/>
      <c r="AE10" s="91" t="n"/>
      <c r="AF10" s="91" t="n"/>
    </row>
    <row r="11">
      <c r="A11">
        <f>A10+1</f>
        <v/>
      </c>
      <c r="B11" s="14" t="inlineStr">
        <is>
          <t>Recovery-6-6h</t>
        </is>
      </c>
      <c r="C11" t="inlineStr">
        <is>
          <t>Mode for GW recovery</t>
        </is>
      </c>
      <c r="D11" s="85" t="inlineStr">
        <is>
          <t>30.000000</t>
        </is>
      </c>
      <c r="E11" s="86" t="inlineStr">
        <is>
          <t>40.000000</t>
        </is>
      </c>
      <c r="F11" s="90">
        <f>F10</f>
        <v/>
      </c>
      <c r="G11" s="88">
        <f>G10</f>
        <v/>
      </c>
      <c r="H11" s="89" t="n">
        <v>10</v>
      </c>
      <c r="I11" s="89">
        <f>3600*6</f>
        <v/>
      </c>
      <c r="J11" s="89">
        <f>3600*6</f>
        <v/>
      </c>
      <c r="K11" s="89" t="n">
        <v>10</v>
      </c>
      <c r="L11" s="90">
        <f>300*L$1</f>
        <v/>
      </c>
      <c r="M11" s="88">
        <f>M10</f>
        <v/>
      </c>
      <c r="N11" s="89">
        <f>N10</f>
        <v/>
      </c>
      <c r="O11" s="90">
        <f>O10</f>
        <v/>
      </c>
      <c r="P11" s="85">
        <f>P10</f>
        <v/>
      </c>
      <c r="Q11" s="86">
        <f>Q10</f>
        <v/>
      </c>
      <c r="R11" s="87">
        <f>R10</f>
        <v/>
      </c>
      <c r="S11" s="85">
        <f>S10</f>
        <v/>
      </c>
      <c r="T11" s="86">
        <f>T10</f>
        <v/>
      </c>
      <c r="U11" s="86">
        <f>U10</f>
        <v/>
      </c>
      <c r="V11" s="86">
        <f>V10</f>
        <v/>
      </c>
      <c r="W11" s="86">
        <f>W10</f>
        <v/>
      </c>
      <c r="X11" s="90">
        <f>X10</f>
        <v/>
      </c>
      <c r="Y11" s="85" t="inlineStr">
        <is>
          <t>=30</t>
        </is>
      </c>
      <c r="Z11" s="85" t="inlineStr">
        <is>
          <t>{\"RAIL_ACCEL_REC_RANGE_G\":16}</t>
        </is>
      </c>
      <c r="AA11" s="85" t="inlineStr">
        <is>
          <t>0</t>
        </is>
      </c>
      <c r="AB11" s="85" t="n"/>
      <c r="AC11" s="96">
        <f>"{""" &amp; $D$1 &amp; """:""" &amp; $D11 &amp; "," &amp; $E11 &amp; "," &amp; $F11 &amp; """,""" &amp; $G$1 &amp; """:""" &amp; $G11 &amp; "," &amp; $H11 &amp; "," &amp; $I11 &amp; "," &amp; $J11 &amp; "," &amp; $K11 &amp; "," &amp; $L11 &amp; """,""" &amp; $M$1 &amp; """:""" &amp; $M11 &amp; "," &amp; $N11 &amp; "," &amp; $O11 &amp; """,""" &amp; $P$1 &amp; """:""" &amp; $P11 &amp; "," &amp; $Q11 &amp; "," &amp; $R11 &amp; """,""" &amp; $S$1 &amp; """:""" &amp; $S11 &amp; "," &amp; $T11 &amp; "," &amp; $U11 &amp; "," &amp; $V11 &amp; "," &amp; $W11 &amp; "," &amp; $X11 &amp; """,""" &amp; $AB$1 &amp; """:""" &amp; $AB11 &amp; """,""" &amp; $Y$1 &amp; """:""" &amp; $Y11 &amp; """,""" &amp; $Z$1 &amp; """:""" &amp; $Z11 &amp; """,""" &amp; $AA$1 &amp; """:""" &amp; $AA11 &amp; """}"</f>
        <v/>
      </c>
      <c r="AD11" s="91" t="n"/>
      <c r="AE11" s="91" t="n"/>
      <c r="AF11" s="91" t="n"/>
    </row>
    <row r="12">
      <c r="A12">
        <f>A11+1</f>
        <v/>
      </c>
      <c r="B12" s="14" t="inlineStr">
        <is>
          <t>Discovery</t>
        </is>
      </c>
      <c r="C12" t="inlineStr">
        <is>
          <t>Find all desynchronized sensors</t>
        </is>
      </c>
      <c r="D12" s="85" t="inlineStr">
        <is>
          <t>15.000000</t>
        </is>
      </c>
      <c r="E12" s="86" t="inlineStr">
        <is>
          <t>25.000000</t>
        </is>
      </c>
      <c r="F12" s="90">
        <f>F11</f>
        <v/>
      </c>
      <c r="G12" s="88">
        <f>G11</f>
        <v/>
      </c>
      <c r="H12" s="89" t="n">
        <v>600</v>
      </c>
      <c r="I12" s="89" t="n">
        <v>1200</v>
      </c>
      <c r="J12" s="89">
        <f>3600*2</f>
        <v/>
      </c>
      <c r="K12" s="89" t="n">
        <v>10</v>
      </c>
      <c r="L12" s="90">
        <f>300*L$1</f>
        <v/>
      </c>
      <c r="M12" s="88" t="n">
        <v>1</v>
      </c>
      <c r="N12" s="89" t="n">
        <v>60</v>
      </c>
      <c r="O12" s="90" t="n">
        <v>300</v>
      </c>
      <c r="P12" s="85" t="inlineStr">
        <is>
          <t>2.500000</t>
        </is>
      </c>
      <c r="Q12" s="86" t="inlineStr">
        <is>
          <t>3.000000</t>
        </is>
      </c>
      <c r="R12" s="87" t="n">
        <v>3600</v>
      </c>
      <c r="S12" s="85" t="inlineStr">
        <is>
          <t>0.000000</t>
        </is>
      </c>
      <c r="T12" s="89" t="inlineStr">
        <is>
          <t>1.500000</t>
        </is>
      </c>
      <c r="U12" s="86" t="inlineStr">
        <is>
          <t>0.200000</t>
        </is>
      </c>
      <c r="V12" s="86" t="inlineStr">
        <is>
          <t>2.000000</t>
        </is>
      </c>
      <c r="W12" s="86" t="inlineStr">
        <is>
          <t>0.200000</t>
        </is>
      </c>
      <c r="X12" s="90" t="inlineStr">
        <is>
          <t>active</t>
        </is>
      </c>
      <c r="Y12" s="85" t="inlineStr">
        <is>
          <t>=30</t>
        </is>
      </c>
      <c r="Z12" s="85" t="inlineStr">
        <is>
          <t>{\"RAIL_ACCEL_REC_RANGE_G\":16}</t>
        </is>
      </c>
      <c r="AA12" s="85" t="inlineStr">
        <is>
          <t>0</t>
        </is>
      </c>
      <c r="AB12" s="85" t="n"/>
      <c r="AC12" s="96">
        <f>"{""" &amp; $D$1 &amp; """:""" &amp; $D12 &amp; "," &amp; $E12 &amp; "," &amp; $F12 &amp; """,""" &amp; $G$1 &amp; """:""" &amp; $G12 &amp; "," &amp; $H12 &amp; "," &amp; $I12 &amp; "," &amp; $J12 &amp; "," &amp; $K12 &amp; "," &amp; $L12 &amp; """,""" &amp; $M$1 &amp; """:""" &amp; $M12 &amp; "," &amp; $N12 &amp; "," &amp; $O12 &amp; """,""" &amp; $P$1 &amp; """:""" &amp; $P12 &amp; "," &amp; $Q12 &amp; "," &amp; $R12 &amp; """,""" &amp; $S$1 &amp; """:""" &amp; $S12 &amp; "," &amp; $T12 &amp; "," &amp; $U12 &amp; "," &amp; $V12 &amp; "," &amp; $W12 &amp; "," &amp; $X12 &amp; """,""" &amp; $AB$1 &amp; """:""" &amp; $AB12 &amp; """,""" &amp; $Y$1 &amp; """:""" &amp; $Y12 &amp; """,""" &amp; $Z$1 &amp; """:""" &amp; $Z12 &amp; """,""" &amp; $AA$1 &amp; """:""" &amp; $AA12 &amp; """}"</f>
        <v/>
      </c>
      <c r="AD12" s="91" t="n"/>
      <c r="AE12" s="91" t="n"/>
      <c r="AF12" s="91" t="n"/>
    </row>
    <row r="13" ht="22.5" customHeight="1">
      <c r="A13">
        <f>A12+1</f>
        <v/>
      </c>
      <c r="B13" s="14" t="inlineStr">
        <is>
          <t>TEST_F2-30min-1h</t>
        </is>
      </c>
      <c r="C13" t="inlineStr">
        <is>
          <t>Testing parameters 2</t>
        </is>
      </c>
      <c r="D13" s="85" t="inlineStr">
        <is>
          <t>0.000000</t>
        </is>
      </c>
      <c r="E13" s="86" t="inlineStr">
        <is>
          <t>0.000000</t>
        </is>
      </c>
      <c r="F13" s="90">
        <f>F10</f>
        <v/>
      </c>
      <c r="G13" s="88">
        <f>G12</f>
        <v/>
      </c>
      <c r="H13" s="89" t="n">
        <v>600</v>
      </c>
      <c r="I13" s="89" t="n">
        <v>1800</v>
      </c>
      <c r="J13" s="89">
        <f>3600</f>
        <v/>
      </c>
      <c r="K13" s="89" t="n">
        <v>10</v>
      </c>
      <c r="L13" s="90">
        <f>200*L$1</f>
        <v/>
      </c>
      <c r="M13" s="88">
        <f>M11</f>
        <v/>
      </c>
      <c r="N13" s="89">
        <f>N11</f>
        <v/>
      </c>
      <c r="O13" s="90">
        <f>O11</f>
        <v/>
      </c>
      <c r="P13" s="85">
        <f>P11</f>
        <v/>
      </c>
      <c r="Q13" s="86">
        <f>Q11</f>
        <v/>
      </c>
      <c r="R13" s="87">
        <f>R11</f>
        <v/>
      </c>
      <c r="S13" s="85">
        <f>S11</f>
        <v/>
      </c>
      <c r="T13" s="86">
        <f>T11</f>
        <v/>
      </c>
      <c r="U13" s="86">
        <f>U11</f>
        <v/>
      </c>
      <c r="V13" s="86">
        <f>V11</f>
        <v/>
      </c>
      <c r="W13" s="86">
        <f>W11</f>
        <v/>
      </c>
      <c r="X13" s="90">
        <f>X11</f>
        <v/>
      </c>
      <c r="Y13" s="92" t="inlineStr">
        <is>
          <t>=30,sensors.process=1,sensors.comm=1</t>
        </is>
      </c>
      <c r="Z13" s="85" t="inlineStr">
        <is>
          <t>{\"RAIL_ACCEL_REC_RANGE_G\":16}</t>
        </is>
      </c>
      <c r="AA13" s="85" t="inlineStr">
        <is>
          <t>0</t>
        </is>
      </c>
      <c r="AB13" s="105" t="inlineStr">
        <is>
          <t>http://ec2-35-157-185-34.eu-central-1.compute.amazonaws.com:8090/sensor?2.1/0.26/</t>
        </is>
      </c>
      <c r="AC13" s="96">
        <f>"{""" &amp; $D$1 &amp; """:""" &amp; $D13 &amp; "," &amp; $E13 &amp; "," &amp; $F13 &amp; """,""" &amp; $G$1 &amp; """:""" &amp; $G13 &amp; "," &amp; $H13 &amp; "," &amp; $I13 &amp; "," &amp; $J13 &amp; "," &amp; $K13 &amp; "," &amp; $L13 &amp; """,""" &amp; $M$1 &amp; """:""" &amp; $M13 &amp; "," &amp; $N13 &amp; "," &amp; $O13 &amp; """,""" &amp; $P$1 &amp; """:""" &amp; $P13 &amp; "," &amp; $Q13 &amp; "," &amp; $R13 &amp; """,""" &amp; $S$1 &amp; """:""" &amp; $S13 &amp; "," &amp; $T13 &amp; "," &amp; $U13 &amp; "," &amp; $V13 &amp; "," &amp; $W13 &amp; "," &amp; $X13 &amp; """,""" &amp; $AB$1 &amp; """:""" &amp; $AB13 &amp; """,""" &amp; $Y$1 &amp; """:""" &amp; $Y13 &amp; """,""" &amp; $Z$1 &amp; """:""" &amp; $Z13 &amp; """,""" &amp; $AA$1 &amp; """:""" &amp; $AA13 &amp; """}"</f>
        <v/>
      </c>
      <c r="AD13" s="91" t="n"/>
      <c r="AE13" s="91" t="n"/>
      <c r="AF13" s="91" t="n"/>
    </row>
    <row r="14">
      <c r="A14">
        <f>A13+1</f>
        <v/>
      </c>
      <c r="B14" s="14" t="inlineStr">
        <is>
          <t>Normal-2-6h</t>
        </is>
      </c>
      <c r="C14" t="inlineStr">
        <is>
          <t>Normal mode with 2h+6h interval</t>
        </is>
      </c>
      <c r="D14" s="85">
        <f>D5</f>
        <v/>
      </c>
      <c r="E14" s="86">
        <f>E5</f>
        <v/>
      </c>
      <c r="F14" s="90">
        <f>F5</f>
        <v/>
      </c>
      <c r="G14" s="88">
        <f>G13</f>
        <v/>
      </c>
      <c r="H14" s="89" t="n">
        <v>150</v>
      </c>
      <c r="I14" s="89">
        <f>3600*2</f>
        <v/>
      </c>
      <c r="J14" s="89">
        <f>3600*6</f>
        <v/>
      </c>
      <c r="K14" s="89">
        <f>K5</f>
        <v/>
      </c>
      <c r="L14" s="90">
        <f>L5*L$1</f>
        <v/>
      </c>
      <c r="M14" s="88">
        <f>M5</f>
        <v/>
      </c>
      <c r="N14" s="89">
        <f>N5</f>
        <v/>
      </c>
      <c r="O14" s="90">
        <f>O5</f>
        <v/>
      </c>
      <c r="P14" s="85">
        <f>P5</f>
        <v/>
      </c>
      <c r="Q14" s="86">
        <f>Q5</f>
        <v/>
      </c>
      <c r="R14" s="87">
        <f>R5</f>
        <v/>
      </c>
      <c r="S14" s="85">
        <f>S5</f>
        <v/>
      </c>
      <c r="T14" s="86">
        <f>T5</f>
        <v/>
      </c>
      <c r="U14" s="86">
        <f>U5</f>
        <v/>
      </c>
      <c r="V14" s="86">
        <f>V5</f>
        <v/>
      </c>
      <c r="W14" s="86">
        <f>W5</f>
        <v/>
      </c>
      <c r="X14" s="90">
        <f>X5</f>
        <v/>
      </c>
      <c r="Y14" s="85" t="inlineStr">
        <is>
          <t>=30</t>
        </is>
      </c>
      <c r="Z14" s="85" t="inlineStr">
        <is>
          <t>{\"RAIL_ACCEL_REC_RANGE_G\":16}</t>
        </is>
      </c>
      <c r="AA14" s="85" t="inlineStr">
        <is>
          <t>0</t>
        </is>
      </c>
      <c r="AB14" s="85" t="n"/>
      <c r="AC14" s="96">
        <f>"{""" &amp; $D$1 &amp; """:""" &amp; $D14 &amp; "," &amp; $E14 &amp; "," &amp; $F14 &amp; """,""" &amp; $G$1 &amp; """:""" &amp; $G14 &amp; "," &amp; $H14 &amp; "," &amp; $I14 &amp; "," &amp; $J14 &amp; "," &amp; $K14 &amp; "," &amp; $L14 &amp; """,""" &amp; $M$1 &amp; """:""" &amp; $M14 &amp; "," &amp; $N14 &amp; "," &amp; $O14 &amp; """,""" &amp; $P$1 &amp; """:""" &amp; $P14 &amp; "," &amp; $Q14 &amp; "," &amp; $R14 &amp; """,""" &amp; $S$1 &amp; """:""" &amp; $S14 &amp; "," &amp; $T14 &amp; "," &amp; $U14 &amp; "," &amp; $V14 &amp; "," &amp; $W14 &amp; "," &amp; $X14 &amp; """,""" &amp; $AB$1 &amp; """:""" &amp; $AB14 &amp; """,""" &amp; $Y$1 &amp; """:""" &amp; $Y14 &amp; """,""" &amp; $Z$1 &amp; """:""" &amp; $Z14 &amp; """,""" &amp; $AA$1 &amp; """:""" &amp; $AA14 &amp; """}"</f>
        <v/>
      </c>
      <c r="AD14" s="91" t="n"/>
      <c r="AE14" s="91" t="n"/>
      <c r="AF14" s="91" t="n"/>
    </row>
    <row r="15">
      <c r="A15">
        <f>A14+1</f>
        <v/>
      </c>
      <c r="B15" s="14" t="inlineStr">
        <is>
          <t>Certification</t>
        </is>
      </c>
      <c r="C15" t="inlineStr">
        <is>
          <t>Mode for certification bodies</t>
        </is>
      </c>
      <c r="D15" s="85" t="inlineStr">
        <is>
          <t>15.000000</t>
        </is>
      </c>
      <c r="E15" s="86" t="inlineStr">
        <is>
          <t>25.000000</t>
        </is>
      </c>
      <c r="F15" s="90" t="inlineStr">
        <is>
          <t>10.000000</t>
        </is>
      </c>
      <c r="G15" s="88">
        <f>G14</f>
        <v/>
      </c>
      <c r="H15" s="89" t="n">
        <v>300</v>
      </c>
      <c r="I15" s="89" t="n">
        <v>14400</v>
      </c>
      <c r="J15" s="89" t="n">
        <v>43200</v>
      </c>
      <c r="K15" s="89" t="n">
        <v>10</v>
      </c>
      <c r="L15" s="90">
        <f>200*L$1</f>
        <v/>
      </c>
      <c r="M15" s="88" t="n">
        <v>1</v>
      </c>
      <c r="N15" s="89" t="n">
        <v>60</v>
      </c>
      <c r="O15" s="90" t="n">
        <v>300</v>
      </c>
      <c r="P15" s="85" t="inlineStr">
        <is>
          <t>2.500000</t>
        </is>
      </c>
      <c r="Q15" s="86" t="inlineStr">
        <is>
          <t>3.000000</t>
        </is>
      </c>
      <c r="R15" s="87" t="n">
        <v>3600</v>
      </c>
      <c r="S15" s="85" t="inlineStr">
        <is>
          <t>0.000000</t>
        </is>
      </c>
      <c r="T15" s="86" t="inlineStr">
        <is>
          <t>1.500000</t>
        </is>
      </c>
      <c r="U15" s="86" t="inlineStr">
        <is>
          <t>0.200000</t>
        </is>
      </c>
      <c r="V15" s="86" t="inlineStr">
        <is>
          <t>2.000000</t>
        </is>
      </c>
      <c r="W15" s="86" t="inlineStr">
        <is>
          <t>0.200000</t>
        </is>
      </c>
      <c r="X15" s="90" t="inlineStr">
        <is>
          <t>active</t>
        </is>
      </c>
      <c r="Y15" s="85" t="inlineStr">
        <is>
          <t>=30</t>
        </is>
      </c>
      <c r="Z15" s="85" t="inlineStr">
        <is>
          <t>{\"RAIL_ACCEL_REC_RANGE_G\":16}</t>
        </is>
      </c>
      <c r="AA15" s="85" t="inlineStr">
        <is>
          <t>1</t>
        </is>
      </c>
      <c r="AB15" s="85" t="n"/>
      <c r="AC15" s="96">
        <f>"{""" &amp; $D$1 &amp; """:""" &amp; $D15 &amp; "," &amp; $E15 &amp; "," &amp; $F15 &amp; """,""" &amp; $G$1 &amp; """:""" &amp; $G15 &amp; "," &amp; $H15 &amp; "," &amp; $I15 &amp; "," &amp; $J15 &amp; "," &amp; $K15 &amp; "," &amp; $L15 &amp; """,""" &amp; $M$1 &amp; """:""" &amp; $M15 &amp; "," &amp; $N15 &amp; "," &amp; $O15 &amp; """,""" &amp; $P$1 &amp; """:""" &amp; $P15 &amp; "," &amp; $Q15 &amp; "," &amp; $R15 &amp; """,""" &amp; $S$1 &amp; """:""" &amp; $S15 &amp; "," &amp; $T15 &amp; "," &amp; $U15 &amp; "," &amp; $V15 &amp; "," &amp; $W15 &amp; "," &amp; $X15 &amp; """,""" &amp; $AB$1 &amp; """:""" &amp; $AB15 &amp; """,""" &amp; $Y$1 &amp; """:""" &amp; $Y15 &amp; """,""" &amp; $Z$1 &amp; """:""" &amp; $Z15 &amp; """,""" &amp; $AA$1 &amp; """:""" &amp; $AA15 &amp; """}"</f>
        <v/>
      </c>
      <c r="AD15" s="91" t="n"/>
      <c r="AE15" s="91" t="n"/>
      <c r="AF15" s="91" t="n"/>
    </row>
    <row r="16">
      <c r="A16">
        <f>A15+1</f>
        <v/>
      </c>
      <c r="B16" s="14" t="inlineStr">
        <is>
          <t>Reserved-1</t>
        </is>
      </c>
      <c r="C16" t="inlineStr">
        <is>
          <t>Normal operation mode</t>
        </is>
      </c>
      <c r="D16" s="88">
        <f>D15</f>
        <v/>
      </c>
      <c r="E16" s="86">
        <f>E15</f>
        <v/>
      </c>
      <c r="F16" s="90">
        <f>F15</f>
        <v/>
      </c>
      <c r="G16" s="88">
        <f>G15</f>
        <v/>
      </c>
      <c r="H16" s="89" t="n">
        <v>400</v>
      </c>
      <c r="I16" s="89">
        <f>3600*4</f>
        <v/>
      </c>
      <c r="J16" s="89">
        <f>3600*12</f>
        <v/>
      </c>
      <c r="K16" s="89">
        <f>K15</f>
        <v/>
      </c>
      <c r="L16" s="90">
        <f>200*L$1</f>
        <v/>
      </c>
      <c r="M16" s="88">
        <f>M15</f>
        <v/>
      </c>
      <c r="N16" s="89">
        <f>N15</f>
        <v/>
      </c>
      <c r="O16" s="90">
        <f>O15</f>
        <v/>
      </c>
      <c r="P16" s="85">
        <f>P15</f>
        <v/>
      </c>
      <c r="Q16" s="86">
        <f>Q15</f>
        <v/>
      </c>
      <c r="R16" s="87">
        <f>R15</f>
        <v/>
      </c>
      <c r="S16" s="85">
        <f>S15</f>
        <v/>
      </c>
      <c r="T16" s="86">
        <f>T15</f>
        <v/>
      </c>
      <c r="U16" s="86">
        <f>U15</f>
        <v/>
      </c>
      <c r="V16" s="86">
        <f>V15</f>
        <v/>
      </c>
      <c r="W16" s="86">
        <f>W15</f>
        <v/>
      </c>
      <c r="X16" s="90">
        <f>X15</f>
        <v/>
      </c>
      <c r="Y16" s="85" t="inlineStr">
        <is>
          <t>=30</t>
        </is>
      </c>
      <c r="Z16" s="85" t="inlineStr">
        <is>
          <t>{\"RAIL_ACCEL_REC_RANGE_G\":16}</t>
        </is>
      </c>
      <c r="AA16" s="85" t="inlineStr">
        <is>
          <t>0</t>
        </is>
      </c>
      <c r="AB16" s="85" t="n"/>
      <c r="AC16" s="96">
        <f>"{""" &amp; $D$1 &amp; """:""" &amp; $D16 &amp; "," &amp; $E16 &amp; "," &amp; $F16 &amp; """,""" &amp; $G$1 &amp; """:""" &amp; $G16 &amp; "," &amp; $H16 &amp; "," &amp; $I16 &amp; "," &amp; $J16 &amp; "," &amp; $K16 &amp; "," &amp; $L16 &amp; """,""" &amp; $M$1 &amp; """:""" &amp; $M16 &amp; "," &amp; $N16 &amp; "," &amp; $O16 &amp; """,""" &amp; $P$1 &amp; """:""" &amp; $P16 &amp; "," &amp; $Q16 &amp; "," &amp; $R16 &amp; """,""" &amp; $S$1 &amp; """:""" &amp; $S16 &amp; "," &amp; $T16 &amp; "," &amp; $U16 &amp; "," &amp; $V16 &amp; "," &amp; $W16 &amp; "," &amp; $X16 &amp; """,""" &amp; $AB$1 &amp; """:""" &amp; $AB16 &amp; """,""" &amp; $Y$1 &amp; """:""" &amp; $Y16 &amp; """,""" &amp; $Z$1 &amp; """:""" &amp; $Z16 &amp; """,""" &amp; $AA$1 &amp; """:""" &amp; $AA16 &amp; """}"</f>
        <v/>
      </c>
      <c r="AD16" s="91" t="n"/>
      <c r="AE16" s="91" t="n"/>
      <c r="AF16" s="91" t="n"/>
    </row>
    <row r="17">
      <c r="A17">
        <f>A16+1</f>
        <v/>
      </c>
      <c r="B17" s="74" t="inlineStr">
        <is>
          <t>Reserved-2</t>
        </is>
      </c>
      <c r="C17" t="inlineStr">
        <is>
          <t>Fast mode for faster data collection</t>
        </is>
      </c>
      <c r="D17" s="88">
        <f>D16</f>
        <v/>
      </c>
      <c r="E17" s="86">
        <f>E16</f>
        <v/>
      </c>
      <c r="F17" s="90">
        <f>F16</f>
        <v/>
      </c>
      <c r="G17" s="88">
        <f>G16</f>
        <v/>
      </c>
      <c r="H17" s="89" t="n">
        <v>300</v>
      </c>
      <c r="I17" s="89">
        <f>3600*1</f>
        <v/>
      </c>
      <c r="J17" s="89">
        <f>3*3600</f>
        <v/>
      </c>
      <c r="K17" s="89">
        <f>K16</f>
        <v/>
      </c>
      <c r="L17" s="90">
        <f>200*L$1</f>
        <v/>
      </c>
      <c r="M17" s="88">
        <f>M16</f>
        <v/>
      </c>
      <c r="N17" s="89">
        <f>N16</f>
        <v/>
      </c>
      <c r="O17" s="90">
        <f>O16</f>
        <v/>
      </c>
      <c r="P17" s="85">
        <f>P16</f>
        <v/>
      </c>
      <c r="Q17" s="86">
        <f>Q16</f>
        <v/>
      </c>
      <c r="R17" s="87">
        <f>R16</f>
        <v/>
      </c>
      <c r="S17" s="85">
        <f>S16</f>
        <v/>
      </c>
      <c r="T17" s="86">
        <f>T16</f>
        <v/>
      </c>
      <c r="U17" s="86">
        <f>U16</f>
        <v/>
      </c>
      <c r="V17" s="86">
        <f>V16</f>
        <v/>
      </c>
      <c r="W17" s="86">
        <f>W16</f>
        <v/>
      </c>
      <c r="X17" s="90">
        <f>X16</f>
        <v/>
      </c>
      <c r="Y17" s="85" t="inlineStr">
        <is>
          <t>=30</t>
        </is>
      </c>
      <c r="Z17" s="85" t="inlineStr">
        <is>
          <t>{\"RAIL_ACCEL_REC_RANGE_G\":16}</t>
        </is>
      </c>
      <c r="AA17" s="85" t="inlineStr">
        <is>
          <t>0</t>
        </is>
      </c>
      <c r="AB17" s="85" t="n"/>
      <c r="AC17" s="96">
        <f>"{""" &amp; $D$1 &amp; """:""" &amp; $D17 &amp; "," &amp; $E17 &amp; "," &amp; $F17 &amp; """,""" &amp; $G$1 &amp; """:""" &amp; $G17 &amp; "," &amp; $H17 &amp; "," &amp; $I17 &amp; "," &amp; $J17 &amp; "," &amp; $K17 &amp; "," &amp; $L17 &amp; """,""" &amp; $M$1 &amp; """:""" &amp; $M17 &amp; "," &amp; $N17 &amp; "," &amp; $O17 &amp; """,""" &amp; $P$1 &amp; """:""" &amp; $P17 &amp; "," &amp; $Q17 &amp; "," &amp; $R17 &amp; """,""" &amp; $S$1 &amp; """:""" &amp; $S17 &amp; "," &amp; $T17 &amp; "," &amp; $U17 &amp; "," &amp; $V17 &amp; "," &amp; $W17 &amp; "," &amp; $X17 &amp; """,""" &amp; $AB$1 &amp; """:""" &amp; $AB17 &amp; """,""" &amp; $Y$1 &amp; """:""" &amp; $Y17 &amp; """,""" &amp; $Z$1 &amp; """:""" &amp; $Z17 &amp; """,""" &amp; $AA$1 &amp; """:""" &amp; $AA17 &amp; """}"</f>
        <v/>
      </c>
      <c r="AD17" s="91" t="n"/>
      <c r="AE17" s="91" t="n"/>
      <c r="AF17" s="91" t="n"/>
    </row>
    <row r="18" ht="22.5" customHeight="1">
      <c r="A18">
        <f>A17+1</f>
        <v/>
      </c>
      <c r="B18" s="14" t="inlineStr">
        <is>
          <t>TEST_F3-10min-10min</t>
        </is>
      </c>
      <c r="C18" t="inlineStr">
        <is>
          <t>Testing parameters 3</t>
        </is>
      </c>
      <c r="D18" s="85" t="inlineStr">
        <is>
          <t>0.000000</t>
        </is>
      </c>
      <c r="E18" s="86" t="inlineStr">
        <is>
          <t>0.000000</t>
        </is>
      </c>
      <c r="F18" s="90">
        <f>F15</f>
        <v/>
      </c>
      <c r="G18" s="88">
        <f>G17</f>
        <v/>
      </c>
      <c r="H18" s="89" t="n">
        <v>120</v>
      </c>
      <c r="I18" s="89" t="n">
        <v>600</v>
      </c>
      <c r="J18" s="89" t="n">
        <v>600</v>
      </c>
      <c r="K18" s="89" t="n">
        <v>10</v>
      </c>
      <c r="L18" s="90">
        <f>120*L$1</f>
        <v/>
      </c>
      <c r="M18" s="88">
        <f>M16</f>
        <v/>
      </c>
      <c r="N18" s="89">
        <f>N16</f>
        <v/>
      </c>
      <c r="O18" s="90">
        <f>O16</f>
        <v/>
      </c>
      <c r="P18" s="85">
        <f>P16</f>
        <v/>
      </c>
      <c r="Q18" s="86">
        <f>Q16</f>
        <v/>
      </c>
      <c r="R18" s="87">
        <f>R16</f>
        <v/>
      </c>
      <c r="S18" s="85">
        <f>S16</f>
        <v/>
      </c>
      <c r="T18" s="86">
        <f>T16</f>
        <v/>
      </c>
      <c r="U18" s="86">
        <f>U16</f>
        <v/>
      </c>
      <c r="V18" s="86">
        <f>V16</f>
        <v/>
      </c>
      <c r="W18" s="86">
        <f>W16</f>
        <v/>
      </c>
      <c r="X18" s="90">
        <f>X16</f>
        <v/>
      </c>
      <c r="Y18" s="92" t="inlineStr">
        <is>
          <t>=30,sensors.process=1,sensors.comm=1</t>
        </is>
      </c>
      <c r="Z18" s="85" t="inlineStr">
        <is>
          <t>{\"RAIL_ACCEL_REC_RANGE_G\":16}</t>
        </is>
      </c>
      <c r="AA18" s="85" t="inlineStr">
        <is>
          <t>0</t>
        </is>
      </c>
      <c r="AB18" s="105" t="n"/>
      <c r="AC18" s="96">
        <f>"{""" &amp; $D$1 &amp; """:""" &amp; $D18 &amp; "," &amp; $E18 &amp; "," &amp; $F18 &amp; """,""" &amp; $G$1 &amp; """:""" &amp; $G18 &amp; "," &amp; $H18 &amp; "," &amp; $I18 &amp; "," &amp; $J18 &amp; "," &amp; $K18 &amp; "," &amp; $L18 &amp; """,""" &amp; $M$1 &amp; """:""" &amp; $M18 &amp; "," &amp; $N18 &amp; "," &amp; $O18 &amp; """,""" &amp; $P$1 &amp; """:""" &amp; $P18 &amp; "," &amp; $Q18 &amp; "," &amp; $R18 &amp; """,""" &amp; $S$1 &amp; """:""" &amp; $S18 &amp; "," &amp; $T18 &amp; "," &amp; $U18 &amp; "," &amp; $V18 &amp; "," &amp; $W18 &amp; "," &amp; $X18 &amp; """,""" &amp; $AB$1 &amp; """:""" &amp; $AB18 &amp; """,""" &amp; $Y$1 &amp; """:""" &amp; $Y18 &amp; """,""" &amp; $Z$1 &amp; """:""" &amp; $Z18 &amp; """,""" &amp; $AA$1 &amp; """:""" &amp; $AA18 &amp; """}"</f>
        <v/>
      </c>
      <c r="AD18" s="91" t="n"/>
      <c r="AE18" s="91" t="n"/>
      <c r="AF18" s="91" t="n"/>
    </row>
    <row r="19" ht="22.5" customHeight="1">
      <c r="A19">
        <f>A18+1</f>
        <v/>
      </c>
      <c r="B19" s="14" t="inlineStr">
        <is>
          <t>TEST_F4-1h-1h</t>
        </is>
      </c>
      <c r="C19" t="inlineStr">
        <is>
          <t>Testing parameters 4</t>
        </is>
      </c>
      <c r="D19" s="85" t="inlineStr">
        <is>
          <t>0.000000</t>
        </is>
      </c>
      <c r="E19" s="86" t="inlineStr">
        <is>
          <t>0.000000</t>
        </is>
      </c>
      <c r="F19" s="90">
        <f>F16</f>
        <v/>
      </c>
      <c r="G19" s="88">
        <f>G18</f>
        <v/>
      </c>
      <c r="H19" s="89" t="n">
        <v>600</v>
      </c>
      <c r="I19" s="89" t="n">
        <v>3600</v>
      </c>
      <c r="J19" s="89" t="n">
        <v>3600</v>
      </c>
      <c r="K19" s="89" t="n">
        <v>10</v>
      </c>
      <c r="L19" s="90">
        <f>200*L$1</f>
        <v/>
      </c>
      <c r="M19" s="88">
        <f>M17</f>
        <v/>
      </c>
      <c r="N19" s="89">
        <f>N17</f>
        <v/>
      </c>
      <c r="O19" s="90">
        <f>O17</f>
        <v/>
      </c>
      <c r="P19" s="85">
        <f>P17</f>
        <v/>
      </c>
      <c r="Q19" s="86">
        <f>Q17</f>
        <v/>
      </c>
      <c r="R19" s="87">
        <f>R17</f>
        <v/>
      </c>
      <c r="S19" s="85">
        <f>S17</f>
        <v/>
      </c>
      <c r="T19" s="86">
        <f>T17</f>
        <v/>
      </c>
      <c r="U19" s="86">
        <f>U17</f>
        <v/>
      </c>
      <c r="V19" s="86">
        <f>V17</f>
        <v/>
      </c>
      <c r="W19" s="86">
        <f>W17</f>
        <v/>
      </c>
      <c r="X19" s="90">
        <f>X17</f>
        <v/>
      </c>
      <c r="Y19" s="92" t="inlineStr">
        <is>
          <t>=30,sensors.process=1,sensors.comm=1</t>
        </is>
      </c>
      <c r="Z19" s="85" t="inlineStr">
        <is>
          <t>{\"RAIL_ACCEL_REC_RANGE_G\":16}</t>
        </is>
      </c>
      <c r="AA19" s="85" t="inlineStr">
        <is>
          <t>0</t>
        </is>
      </c>
      <c r="AB19" s="105" t="inlineStr">
        <is>
          <t>http://ec2-35-157-185-34.eu-central-1.compute.amazonaws.com:8090/sensor?2.1/0.26/</t>
        </is>
      </c>
      <c r="AC19" s="96">
        <f>"{""" &amp; $D$1 &amp; """:""" &amp; $D19 &amp; "," &amp; $E19 &amp; "," &amp; $F19 &amp; """,""" &amp; $G$1 &amp; """:""" &amp; $G19 &amp; "," &amp; $H19 &amp; "," &amp; $I19 &amp; "," &amp; $J19 &amp; "," &amp; $K19 &amp; "," &amp; $L19 &amp; """,""" &amp; $M$1 &amp; """:""" &amp; $M19 &amp; "," &amp; $N19 &amp; "," &amp; $O19 &amp; """,""" &amp; $P$1 &amp; """:""" &amp; $P19 &amp; "," &amp; $Q19 &amp; "," &amp; $R19 &amp; """,""" &amp; $S$1 &amp; """:""" &amp; $S19 &amp; "," &amp; $T19 &amp; "," &amp; $U19 &amp; "," &amp; $V19 &amp; "," &amp; $W19 &amp; "," &amp; $X19 &amp; """,""" &amp; $AB$1 &amp; """:""" &amp; $AB19 &amp; """,""" &amp; $Y$1 &amp; """:""" &amp; $Y19 &amp; """,""" &amp; $Z$1 &amp; """:""" &amp; $Z19 &amp; """,""" &amp; $AA$1 &amp; """:""" &amp; $AA19 &amp; """}"</f>
        <v/>
      </c>
      <c r="AD19" s="91" t="n"/>
      <c r="AE19" s="91" t="n"/>
      <c r="AF19" s="91" t="n"/>
    </row>
    <row r="20">
      <c r="A20">
        <f>A19+1</f>
        <v/>
      </c>
      <c r="B20" s="112" t="inlineStr">
        <is>
          <t>NO_SPEED_2h</t>
        </is>
      </c>
      <c r="C20" t="inlineStr">
        <is>
          <t>Speed filter off</t>
        </is>
      </c>
      <c r="D20" s="88" t="inlineStr">
        <is>
          <t>0.000000</t>
        </is>
      </c>
      <c r="E20" s="86" t="inlineStr">
        <is>
          <t>0.000000</t>
        </is>
      </c>
      <c r="F20" s="90" t="inlineStr">
        <is>
          <t>10.000000</t>
        </is>
      </c>
      <c r="G20" s="88">
        <f>G19</f>
        <v/>
      </c>
      <c r="H20" s="89" t="n">
        <v>150</v>
      </c>
      <c r="I20" s="89">
        <f>3600*2</f>
        <v/>
      </c>
      <c r="J20" s="89">
        <f>3600*2</f>
        <v/>
      </c>
      <c r="K20" s="89">
        <f>K19</f>
        <v/>
      </c>
      <c r="L20" s="90">
        <f>120*L$1</f>
        <v/>
      </c>
      <c r="M20" s="88">
        <f>M19</f>
        <v/>
      </c>
      <c r="N20" s="89">
        <f>N19</f>
        <v/>
      </c>
      <c r="O20" s="90">
        <f>O19</f>
        <v/>
      </c>
      <c r="P20" s="85">
        <f>P19</f>
        <v/>
      </c>
      <c r="Q20" s="86">
        <f>Q19</f>
        <v/>
      </c>
      <c r="R20" s="87">
        <f>R19</f>
        <v/>
      </c>
      <c r="S20" s="85">
        <f>S19</f>
        <v/>
      </c>
      <c r="T20" s="86">
        <f>T19</f>
        <v/>
      </c>
      <c r="U20" s="86">
        <f>U19</f>
        <v/>
      </c>
      <c r="V20" s="86">
        <f>V19</f>
        <v/>
      </c>
      <c r="W20" s="86">
        <f>W19</f>
        <v/>
      </c>
      <c r="X20" s="90">
        <f>X19</f>
        <v/>
      </c>
      <c r="Y20" s="85" t="inlineStr">
        <is>
          <t>=30</t>
        </is>
      </c>
      <c r="Z20" s="85" t="inlineStr">
        <is>
          <t>{\"RAIL_ACCEL_REC_RANGE_G\":16}</t>
        </is>
      </c>
      <c r="AA20" s="85" t="inlineStr">
        <is>
          <t>0</t>
        </is>
      </c>
      <c r="AB20" s="85" t="n"/>
      <c r="AC20" s="96">
        <f>"{""" &amp; $D$1 &amp; """:""" &amp; $D20 &amp; "," &amp; $E20 &amp; "," &amp; $F20 &amp; """,""" &amp; $G$1 &amp; """:""" &amp; $G20 &amp; "," &amp; $H20 &amp; "," &amp; $I20 &amp; "," &amp; $J20 &amp; "," &amp; $K20 &amp; "," &amp; $L20 &amp; """,""" &amp; $M$1 &amp; """:""" &amp; $M20 &amp; "," &amp; $N20 &amp; "," &amp; $O20 &amp; """,""" &amp; $P$1 &amp; """:""" &amp; $P20 &amp; "," &amp; $Q20 &amp; "," &amp; $R20 &amp; """,""" &amp; $S$1 &amp; """:""" &amp; $S20 &amp; "," &amp; $T20 &amp; "," &amp; $U20 &amp; "," &amp; $V20 &amp; "," &amp; $W20 &amp; "," &amp; $X20 &amp; """,""" &amp; $AB$1 &amp; """:""" &amp; $AB20 &amp; """,""" &amp; $Y$1 &amp; """:""" &amp; $Y20 &amp; """,""" &amp; $Z$1 &amp; """:""" &amp; $Z20 &amp; """,""" &amp; $AA$1 &amp; """:""" &amp; $AA20 &amp; """}"</f>
        <v/>
      </c>
      <c r="AD20" s="91" t="n"/>
    </row>
    <row r="21" ht="22.5" customHeight="1">
      <c r="A21" t="n">
        <v>19</v>
      </c>
      <c r="B21" s="14" t="inlineStr">
        <is>
          <t>One-sensor-fast-test</t>
        </is>
      </c>
      <c r="C21" t="inlineStr">
        <is>
          <t>Fast mode for one sensor</t>
        </is>
      </c>
      <c r="D21" s="88">
        <f>D20</f>
        <v/>
      </c>
      <c r="E21" s="86">
        <f>E20</f>
        <v/>
      </c>
      <c r="F21" s="90">
        <f>F20</f>
        <v/>
      </c>
      <c r="G21" s="88" t="n">
        <v>40</v>
      </c>
      <c r="H21" s="89" t="n">
        <v>60</v>
      </c>
      <c r="I21" s="89" t="n">
        <v>300</v>
      </c>
      <c r="J21" s="89" t="n">
        <v>300</v>
      </c>
      <c r="K21" s="89" t="n">
        <v>4</v>
      </c>
      <c r="L21" s="90">
        <f>60*L$1</f>
        <v/>
      </c>
      <c r="M21" s="88" t="n">
        <v>1</v>
      </c>
      <c r="N21" s="89" t="n">
        <v>60</v>
      </c>
      <c r="O21" s="90" t="n">
        <v>300</v>
      </c>
      <c r="P21" s="85" t="inlineStr">
        <is>
          <t>2.500000</t>
        </is>
      </c>
      <c r="Q21" s="86" t="inlineStr">
        <is>
          <t>3.000000</t>
        </is>
      </c>
      <c r="R21" s="87" t="n">
        <v>3600</v>
      </c>
      <c r="S21" s="85">
        <f>S20</f>
        <v/>
      </c>
      <c r="T21" s="86">
        <f>T20</f>
        <v/>
      </c>
      <c r="U21" s="86">
        <f>U20</f>
        <v/>
      </c>
      <c r="V21" s="86">
        <f>V20</f>
        <v/>
      </c>
      <c r="W21" s="86">
        <f>W20</f>
        <v/>
      </c>
      <c r="X21" s="90">
        <f>X20</f>
        <v/>
      </c>
      <c r="Y21" s="92" t="inlineStr">
        <is>
          <t>=30,sensors.process=1,sensors.comm=1</t>
        </is>
      </c>
      <c r="Z21" s="85" t="inlineStr">
        <is>
          <t>{\"RAIL_ACCEL_REC_RANGE_G\":16}</t>
        </is>
      </c>
      <c r="AA21" s="85" t="inlineStr">
        <is>
          <t>0</t>
        </is>
      </c>
      <c r="AC21" s="96">
        <f>"{""" &amp; $D$1 &amp; """:""" &amp; $D21 &amp; "," &amp; $E21 &amp; "," &amp; $F21 &amp; """,""" &amp; $G$1 &amp; """:""" &amp; $G21 &amp; "," &amp; $H21 &amp; "," &amp; $I21 &amp; "," &amp; $J21 &amp; "," &amp; $K21 &amp; "," &amp; $L21 &amp; """,""" &amp; $M$1 &amp; """:""" &amp; $M21 &amp; "," &amp; $N21 &amp; "," &amp; $O21 &amp; """,""" &amp; $P$1 &amp; """:""" &amp; $P21 &amp; "," &amp; $Q21 &amp; "," &amp; $R21 &amp; """,""" &amp; $S$1 &amp; """:""" &amp; $S21 &amp; "," &amp; $T21 &amp; "," &amp; $U21 &amp; "," &amp; $V21 &amp; "," &amp; $W21 &amp; "," &amp; $X21 &amp; """,""" &amp; $AB$1 &amp; """:""" &amp; $AB21 &amp; """,""" &amp; $Y$1 &amp; """:""" &amp; $Y21 &amp; """,""" &amp; $Z$1 &amp; """:""" &amp; $Z21 &amp; """,""" &amp; $AA$1 &amp; """:""" &amp; $AA21 &amp; """}"</f>
        <v/>
      </c>
    </row>
    <row r="22">
      <c r="A22">
        <f>A21+1</f>
        <v/>
      </c>
      <c r="B22" s="14" t="inlineStr">
        <is>
          <t>Shipping-no-GW</t>
        </is>
      </c>
      <c r="C22" t="inlineStr">
        <is>
          <t>Mode for shipping sensors only</t>
        </is>
      </c>
      <c r="D22" s="85" t="inlineStr">
        <is>
          <t>15.000000</t>
        </is>
      </c>
      <c r="E22" s="86" t="inlineStr">
        <is>
          <t>25.000000</t>
        </is>
      </c>
      <c r="F22" s="87" t="inlineStr">
        <is>
          <t>10.000000</t>
        </is>
      </c>
      <c r="G22" s="88" t="n">
        <v>40</v>
      </c>
      <c r="H22" s="89" t="n">
        <v>600</v>
      </c>
      <c r="I22" s="89" t="n">
        <v>3600</v>
      </c>
      <c r="J22" s="89" t="n">
        <v>3600</v>
      </c>
      <c r="K22" s="89" t="n">
        <v>10</v>
      </c>
      <c r="L22" s="90">
        <f>3600*4*L$1</f>
        <v/>
      </c>
      <c r="M22" s="88" t="n">
        <v>1</v>
      </c>
      <c r="N22" s="89" t="n">
        <v>60</v>
      </c>
      <c r="O22" s="90" t="n">
        <v>300</v>
      </c>
      <c r="P22" s="85" t="inlineStr">
        <is>
          <t>2.500000</t>
        </is>
      </c>
      <c r="Q22" s="86" t="inlineStr">
        <is>
          <t>3.000000</t>
        </is>
      </c>
      <c r="R22" s="87" t="n">
        <v>3600</v>
      </c>
      <c r="S22" s="85" t="inlineStr">
        <is>
          <t>0.000000</t>
        </is>
      </c>
      <c r="T22" s="89" t="inlineStr">
        <is>
          <t>1.500000</t>
        </is>
      </c>
      <c r="U22" s="86" t="inlineStr">
        <is>
          <t>0.200000</t>
        </is>
      </c>
      <c r="V22" s="86" t="inlineStr">
        <is>
          <t>2.000000</t>
        </is>
      </c>
      <c r="W22" s="86" t="inlineStr">
        <is>
          <t>0.200000</t>
        </is>
      </c>
      <c r="X22" s="90" t="inlineStr">
        <is>
          <t>active</t>
        </is>
      </c>
      <c r="Y22" s="85" t="inlineStr">
        <is>
          <t>=30</t>
        </is>
      </c>
      <c r="Z22" s="85" t="inlineStr">
        <is>
          <t>{\"RAIL_ACCEL_REC_RANGE_G\":16}</t>
        </is>
      </c>
      <c r="AA22" s="85" t="inlineStr">
        <is>
          <t>0</t>
        </is>
      </c>
      <c r="AB22" s="85" t="n"/>
      <c r="AC22" s="96">
        <f>"{""" &amp; $D$1 &amp; """:""" &amp; $D22 &amp; "," &amp; $E22 &amp; "," &amp; $F22 &amp; """,""" &amp; $G$1 &amp; """:""" &amp; $G22 &amp; "," &amp; $H22 &amp; "," &amp; $I22 &amp; "," &amp; $J22 &amp; "," &amp; $K22 &amp; "," &amp; $L22 &amp; """,""" &amp; $M$1 &amp; """:""" &amp; $M22 &amp; "," &amp; $N22 &amp; "," &amp; $O22 &amp; """,""" &amp; $P$1 &amp; """:""" &amp; $P22 &amp; "," &amp; $Q22 &amp; "," &amp; $R22 &amp; """,""" &amp; $S$1 &amp; """:""" &amp; $S22 &amp; "," &amp; $T22 &amp; "," &amp; $U22 &amp; "," &amp; $V22 &amp; "," &amp; $W22 &amp; "," &amp; $X22 &amp; """,""" &amp; $AB$1 &amp; """:""" &amp; $AB22 &amp; """,""" &amp; $Y$1 &amp; """:""" &amp; $Y22 &amp; """,""" &amp; $Z$1 &amp; """:""" &amp; $Z22 &amp; """,""" &amp; $AA$1 &amp; """:""" &amp; $AA22 &amp; """}"</f>
        <v/>
      </c>
    </row>
    <row r="23" ht="22.5" customHeight="1">
      <c r="A23">
        <f>A22+1</f>
        <v/>
      </c>
      <c r="B23" s="14" t="inlineStr">
        <is>
          <t>DD_ONLY_discovery</t>
        </is>
      </c>
      <c r="C23" t="inlineStr">
        <is>
          <t>Discovery mode for sensors in office</t>
        </is>
      </c>
      <c r="D23" s="85" t="inlineStr">
        <is>
          <t>15.000000</t>
        </is>
      </c>
      <c r="E23" s="86" t="inlineStr">
        <is>
          <t>25.000000</t>
        </is>
      </c>
      <c r="F23" s="87" t="inlineStr">
        <is>
          <t>10.000000</t>
        </is>
      </c>
      <c r="G23" s="88" t="n">
        <v>40</v>
      </c>
      <c r="H23" s="89" t="n">
        <v>3700</v>
      </c>
      <c r="I23" s="89">
        <f>H23*1.2</f>
        <v/>
      </c>
      <c r="J23" s="89" t="n">
        <v>1800</v>
      </c>
      <c r="K23" s="89" t="n">
        <v>10</v>
      </c>
      <c r="L23" s="90">
        <f>1800*L$1</f>
        <v/>
      </c>
      <c r="M23" s="88" t="n">
        <v>1</v>
      </c>
      <c r="N23" s="89" t="n">
        <v>60</v>
      </c>
      <c r="O23" s="90" t="n">
        <v>300</v>
      </c>
      <c r="P23" s="85" t="inlineStr">
        <is>
          <t>2.500000</t>
        </is>
      </c>
      <c r="Q23" s="86" t="inlineStr">
        <is>
          <t>3.000000</t>
        </is>
      </c>
      <c r="R23" s="87" t="n">
        <v>3600</v>
      </c>
      <c r="S23" s="85" t="inlineStr">
        <is>
          <t>0.000000</t>
        </is>
      </c>
      <c r="T23" s="89" t="inlineStr">
        <is>
          <t>1.500000</t>
        </is>
      </c>
      <c r="U23" s="86" t="inlineStr">
        <is>
          <t>0.200000</t>
        </is>
      </c>
      <c r="V23" s="86" t="inlineStr">
        <is>
          <t>2.000000</t>
        </is>
      </c>
      <c r="W23" s="86" t="inlineStr">
        <is>
          <t>0.200000</t>
        </is>
      </c>
      <c r="X23" s="90" t="inlineStr">
        <is>
          <t>active</t>
        </is>
      </c>
      <c r="Y23" s="92" t="inlineStr">
        <is>
          <t>=30,sensors.process=1,sensors.comm=1</t>
        </is>
      </c>
      <c r="Z23" s="85" t="inlineStr">
        <is>
          <t>{\"RAIL_ACCEL_REC_RANGE_G\":16}</t>
        </is>
      </c>
      <c r="AA23" s="85" t="inlineStr">
        <is>
          <t>0</t>
        </is>
      </c>
      <c r="AB23" s="105" t="inlineStr">
        <is>
          <t>http://ec2-35-157-185-34.eu-central-1.compute.amazonaws.com:8090/sensor?2.2/0.30/</t>
        </is>
      </c>
      <c r="AC23" s="96">
        <f>"{""" &amp; $D$1 &amp; """:""" &amp; $D23 &amp; "," &amp; $E23 &amp; "," &amp; $F23 &amp; """,""" &amp; $G$1 &amp; """:""" &amp; $G23 &amp; "," &amp; $H23 &amp; "," &amp; $I23 &amp; "," &amp; $J23 &amp; "," &amp; $K23 &amp; "," &amp; $L23 &amp; """,""" &amp; $M$1 &amp; """:""" &amp; $M23 &amp; "," &amp; $N23 &amp; "," &amp; $O23 &amp; """,""" &amp; $P$1 &amp; """:""" &amp; $P23 &amp; "," &amp; $Q23 &amp; "," &amp; $R23 &amp; """,""" &amp; $S$1 &amp; """:""" &amp; $S23 &amp; "," &amp; $T23 &amp; "," &amp; $U23 &amp; "," &amp; $V23 &amp; "," &amp; $W23 &amp; "," &amp; $X23 &amp; """,""" &amp; $AB$1 &amp; """:""" &amp; $AB23 &amp; """,""" &amp; $Y$1 &amp; """:""" &amp; $Y23 &amp; """,""" &amp; $Z$1 &amp; """:""" &amp; $Z23 &amp; """,""" &amp; $AA$1 &amp; """:""" &amp; $AA23 &amp; """}"</f>
        <v/>
      </c>
    </row>
  </sheetData>
  <mergeCells count="5">
    <mergeCell ref="P1:R1"/>
    <mergeCell ref="S1:X1"/>
    <mergeCell ref="G1:K1"/>
    <mergeCell ref="M1:O1"/>
    <mergeCell ref="D1:F1"/>
  </mergeCells>
  <conditionalFormatting sqref="B1 B3:B1048576">
    <cfRule type="cellIs" priority="1" operator="equal" dxfId="14">
      <formula>"Normal-V33"</formula>
    </cfRule>
    <cfRule type="cellIs" priority="2" operator="equal" dxfId="13">
      <formula>"Discovery"</formula>
    </cfRule>
    <cfRule type="cellIs" priority="3" operator="equal" dxfId="12">
      <formula>"Normal-2-6h"</formula>
    </cfRule>
    <cfRule type="cellIs" priority="4" operator="equal" dxfId="11">
      <formula>"TEST_F2-30min-1h"</formula>
    </cfRule>
    <cfRule type="cellIs" priority="5" operator="equal" dxfId="10">
      <formula>"TEST_F1-30min-4h"</formula>
    </cfRule>
    <cfRule type="cellIs" priority="6" operator="equal" dxfId="4">
      <formula>"Normal-4-12h"</formula>
    </cfRule>
    <cfRule type="cellIs" priority="7" operator="equal" dxfId="3">
      <formula>"Super Fast-20min-1h"</formula>
    </cfRule>
    <cfRule type="cellIs" priority="8" operator="equal" dxfId="2">
      <formula>"Slow-5-12h"</formula>
    </cfRule>
    <cfRule type="cellIs" priority="9" operator="equal" dxfId="1">
      <formula>"Shipping"</formula>
    </cfRule>
    <cfRule type="cellIs" priority="10" operator="equal" dxfId="0">
      <formula>"Fast-1-3h"</formula>
    </cfRule>
  </conditionalFormatting>
  <hyperlinks>
    <hyperlink ref="AB2" r:id="rId1"/>
    <hyperlink ref="AB9" r:id="rId2"/>
    <hyperlink ref="AB10" r:id="rId3"/>
    <hyperlink ref="AB13" r:id="rId4"/>
    <hyperlink ref="AB19" r:id="rId5"/>
    <hyperlink ref="AB23" r:id="rId6"/>
  </hyperlinks>
  <pageMargins left="0.7" right="0.7" top="0.75" bottom="0.75" header="0.3" footer="0.3"/>
  <pageSetup orientation="landscape" paperSize="261" horizontalDpi="180" verticalDpi="18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19" sqref="C19"/>
    </sheetView>
  </sheetViews>
  <sheetFormatPr baseColWidth="8" defaultColWidth="8.85546875" defaultRowHeight="15"/>
  <cols>
    <col width="11" bestFit="1" customWidth="1" min="2" max="2"/>
    <col width="29.140625" bestFit="1" customWidth="1" min="3" max="3"/>
  </cols>
  <sheetData>
    <row r="1" ht="30" customHeight="1">
      <c r="A1" s="15" t="inlineStr">
        <is>
          <t>Wagon Nr.</t>
        </is>
      </c>
      <c r="B1" s="14" t="inlineStr">
        <is>
          <t>Wagon type</t>
        </is>
      </c>
      <c r="C1" s="15" t="inlineStr">
        <is>
          <t>Description</t>
        </is>
      </c>
    </row>
    <row r="2">
      <c r="A2" t="n">
        <v>1</v>
      </c>
      <c r="B2" s="14" t="inlineStr">
        <is>
          <t>Shipping</t>
        </is>
      </c>
      <c r="C2" t="inlineStr">
        <is>
          <t>Mode for shipping devices</t>
        </is>
      </c>
    </row>
    <row r="3">
      <c r="A3">
        <f>A2+1</f>
        <v/>
      </c>
      <c r="B3" s="19" t="inlineStr">
        <is>
          <t>Slow</t>
        </is>
      </c>
      <c r="C3" t="inlineStr">
        <is>
          <t>Slow mode for low power operation</t>
        </is>
      </c>
    </row>
    <row r="4">
      <c r="A4">
        <f>A3+1</f>
        <v/>
      </c>
      <c r="B4" s="14" t="inlineStr">
        <is>
          <t>Normal</t>
        </is>
      </c>
      <c r="C4" t="inlineStr">
        <is>
          <t>Normal operation mode</t>
        </is>
      </c>
    </row>
    <row r="5">
      <c r="A5">
        <f>A4+1</f>
        <v/>
      </c>
      <c r="B5" s="55" t="inlineStr">
        <is>
          <t>Fast</t>
        </is>
      </c>
      <c r="C5" t="inlineStr">
        <is>
          <t>Fast mode for faster data collection</t>
        </is>
      </c>
    </row>
    <row r="6">
      <c r="A6">
        <f>A5+1</f>
        <v/>
      </c>
      <c r="B6" s="54" t="inlineStr">
        <is>
          <t>Super Fast</t>
        </is>
      </c>
      <c r="C6" t="inlineStr">
        <is>
          <t>High energy consumption mode</t>
        </is>
      </c>
    </row>
    <row r="7">
      <c r="A7" t="n">
        <v>6</v>
      </c>
      <c r="B7" s="14" t="inlineStr">
        <is>
          <t>Assembly</t>
        </is>
      </c>
      <c r="C7" t="inlineStr">
        <is>
          <t>For assembling sensors</t>
        </is>
      </c>
    </row>
    <row r="8">
      <c r="A8" t="n">
        <v>7</v>
      </c>
      <c r="B8" s="14" t="inlineStr">
        <is>
          <t>New FW Test</t>
        </is>
      </c>
      <c r="C8" t="inlineStr">
        <is>
          <t>For LTG tests</t>
        </is>
      </c>
    </row>
  </sheetData>
  <conditionalFormatting sqref="B1:B8">
    <cfRule type="cellIs" priority="1" operator="equal" dxfId="4">
      <formula>"Normal"</formula>
    </cfRule>
    <cfRule type="cellIs" priority="2" operator="equal" dxfId="3">
      <formula>"Super Fast"</formula>
    </cfRule>
    <cfRule type="cellIs" priority="3" operator="equal" dxfId="2">
      <formula>"Slow"</formula>
    </cfRule>
    <cfRule type="cellIs" priority="4" operator="equal" dxfId="1">
      <formula>"Shipping"</formula>
    </cfRule>
    <cfRule type="cellIs" priority="5" operator="equal" dxfId="0">
      <formula>"Fast"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5" sqref="L25"/>
    </sheetView>
  </sheetViews>
  <sheetFormatPr baseColWidth="8" defaultColWidth="8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2024-02-21T12:13:35Z</dcterms:modified>
  <cp:lastModifiedBy>Justinas Šyvokas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0x010100CD2AB07EA7653348A7B0A9A822E488AB</vt:lpwstr>
  </property>
</Properties>
</file>